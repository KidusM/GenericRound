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unitednations.sharepoint.com/sites/ICSC-COLD/Shared Documents/2026 Round/New York/MICROSITE/HQ Documents/Documents/Staff/Documents uploaded in the Microsite/"/>
    </mc:Choice>
  </mc:AlternateContent>
  <xr:revisionPtr revIDLastSave="44" documentId="8_{79291417-13B2-473F-BF2B-F078B8921163}" xr6:coauthVersionLast="47" xr6:coauthVersionMax="47" xr10:uidLastSave="{E0BF64E5-0A32-4A56-AFA7-EDB2DF31DD5F}"/>
  <bookViews>
    <workbookView xWindow="28680" yWindow="-120" windowWidth="29040" windowHeight="17520" tabRatio="823" xr2:uid="{53BEC6BB-81D2-48C9-85A7-3DAEB6E3F6A3}"/>
  </bookViews>
  <sheets>
    <sheet name="Data Table" sheetId="2" r:id="rId1"/>
    <sheet name="Summary" sheetId="3" r:id="rId2"/>
    <sheet name="Monthly Expenses" sheetId="4" r:id="rId3"/>
    <sheet name="Yearly and Education Expenses" sheetId="5" r:id="rId4"/>
    <sheet name="Infrequent Expenses" sheetId="9" r:id="rId5"/>
    <sheet name="FX Rates" sheetId="8" state="hidden" r:id="rId6"/>
    <sheet name="UN Treasury" sheetId="6" state="hidden" r:id="rId7"/>
    <sheet name="Reference" sheetId="7" state="hidden" r:id="rId8"/>
    <sheet name="Summary Table Toggle" sheetId="10" state="hidden" r:id="rId9"/>
  </sheets>
  <externalReferences>
    <externalReference r:id="rId10"/>
  </externalReferences>
  <definedNames>
    <definedName name="Alcohol_and_Tobacco">Reference!$H$2:$H$3</definedName>
    <definedName name="Clothing_and_Footwear">Reference!$I$2:$I$5</definedName>
    <definedName name="DS_Country_List">Reference!$C$2:$C$206</definedName>
    <definedName name="DS_Currency_List">Reference!$D$2:$D$206</definedName>
    <definedName name="DSCountry">'Data Table'!$C$3</definedName>
    <definedName name="Education">Reference!$J$2:$J$16</definedName>
    <definedName name="Food_and_Non_Alcoholic_Beverages">Reference!$K$2:$K$3</definedName>
    <definedName name="Furniture_Household_and_Routine_Home_Maintenance">Reference!$L$2:$L$9</definedName>
    <definedName name="FXRatesTable">'FX Rates'!$A$1:$BQ$152</definedName>
    <definedName name="GroupList">[1]Reference!$N$1:$N$14</definedName>
    <definedName name="Health_Out_of_Pocket">Reference!$M$2:$M$6</definedName>
    <definedName name="Housing">Reference!$N$2:$N$3</definedName>
    <definedName name="Information_and_Communication">Reference!$O$2:$O$3</definedName>
    <definedName name="InsideOutside">[1]Reference!$K$1:$K$2</definedName>
    <definedName name="InsideOutsideList">Reference!$E$2:$E$3</definedName>
    <definedName name="Insurance_and_Financial_Services">Reference!$P$2:$P$5</definedName>
    <definedName name="ISOCodeList">'FX Rates'!$A$2:$A$152</definedName>
    <definedName name="ISOList">[1]Reference!$AH$1:$AH$152</definedName>
    <definedName name="Item_List">Reference!$Y$2:$Y$80</definedName>
    <definedName name="Item_List_Number">Reference!$W$2:$W$80</definedName>
    <definedName name="ItemCategoryList">Reference!$G$2:$G$15</definedName>
    <definedName name="Month_List">Reference!$B$2:$B$13</definedName>
    <definedName name="Month_Number">Reference!$A$2:$A$13</definedName>
    <definedName name="Other">Reference!$Q$2:$Q$4</definedName>
    <definedName name="Personal_and_Miscellaneous_Goods_and_Services">Reference!$R$2:$R$8</definedName>
    <definedName name="Recreation_and_Culture">Reference!$S$2:$S$11</definedName>
    <definedName name="Restaurants_and_Accommodation_Services">Reference!$T$2:$T$4</definedName>
    <definedName name="Summary_View_Explainer">Reference!$AB$2:$AB$7</definedName>
    <definedName name="Summary_View_List">Reference!$AA$2:$AA$7</definedName>
    <definedName name="SummaryTableToggleTable">'Summary Table Toggle'!$B$4:$H$18</definedName>
    <definedName name="SummaryToggleAllTime">'Summary Table Toggle'!$E$4:$E$18</definedName>
    <definedName name="SummaryToggleAllTimeLC">'Summary Table Toggle'!$F$4:$F$18</definedName>
    <definedName name="SummaryToggleCategory">'Summary Table Toggle'!$B$4:$B$18</definedName>
    <definedName name="SummaryToggleEstimatedMonth">'Summary Table Toggle'!$G$4:$G$18</definedName>
    <definedName name="SummaryToggleEstimatedMonthLC">'Summary Table Toggle'!$H$4:$H$18</definedName>
    <definedName name="SummaryTogglePast30">'Summary Table Toggle'!$C$4:$C$18</definedName>
    <definedName name="SummaryTogglePast30LC">'Summary Table Toggle'!$D$4:$D$18</definedName>
    <definedName name="SummaryView">Summary!$C$4</definedName>
    <definedName name="Time_Span">Reference!$X$2:$X$80</definedName>
    <definedName name="Transport">Reference!$U$2:$U$13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152" i="8" l="1"/>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1" i="8" a="1"/>
  <c r="B1" i="8" s="1"/>
  <c r="E22" i="4"/>
  <c r="J17" i="2"/>
  <c r="E42" i="4"/>
  <c r="H42" i="4"/>
  <c r="J9" i="2"/>
  <c r="J10" i="2"/>
  <c r="J11" i="2"/>
  <c r="J12" i="2"/>
  <c r="J13" i="2"/>
  <c r="F11" i="9" s="1"/>
  <c r="J14" i="2"/>
  <c r="J15" i="2"/>
  <c r="J16" i="2"/>
  <c r="J18" i="2"/>
  <c r="J19" i="2"/>
  <c r="J20" i="2"/>
  <c r="J21" i="2"/>
  <c r="J22" i="2"/>
  <c r="J23" i="2"/>
  <c r="J24" i="2"/>
  <c r="J25" i="2"/>
  <c r="H26" i="4" s="1"/>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BO152" i="8"/>
  <c r="AO44" i="8"/>
  <c r="AN44" i="8"/>
  <c r="AO32" i="8"/>
  <c r="AN32" i="8"/>
  <c r="BM26" i="8"/>
  <c r="BL26" i="8"/>
  <c r="BG22" i="8"/>
  <c r="BF22" i="8"/>
  <c r="BP19" i="8"/>
  <c r="BC19" i="8"/>
  <c r="P18" i="8"/>
  <c r="O18" i="8"/>
  <c r="J17" i="8"/>
  <c r="BM16" i="8"/>
  <c r="E16" i="8"/>
  <c r="BH15" i="8"/>
  <c r="BO14" i="8"/>
  <c r="BC14" i="8"/>
  <c r="BJ13" i="8"/>
  <c r="AX13" i="8"/>
  <c r="BE12" i="8"/>
  <c r="AS12" i="8"/>
  <c r="AZ11" i="8"/>
  <c r="AN11" i="8"/>
  <c r="AU10" i="8"/>
  <c r="AI10" i="8"/>
  <c r="AQ9" i="8"/>
  <c r="AG9" i="8"/>
  <c r="BD8" i="8"/>
  <c r="AW8" i="8"/>
  <c r="O8" i="8"/>
  <c r="H8" i="8"/>
  <c r="AJ7" i="8"/>
  <c r="AI7" i="8"/>
  <c r="BK6" i="8"/>
  <c r="BF6" i="8"/>
  <c r="W6" i="8"/>
  <c r="S6" i="8"/>
  <c r="AY5" i="8"/>
  <c r="AU5" i="8"/>
  <c r="L5" i="8"/>
  <c r="H5" i="8"/>
  <c r="AN4" i="8"/>
  <c r="AI4" i="8"/>
  <c r="BO3" i="8"/>
  <c r="BK3" i="8"/>
  <c r="AC3" i="8"/>
  <c r="Y3" i="8"/>
  <c r="BH2" i="8"/>
  <c r="BD2" i="8"/>
  <c r="X2" i="8"/>
  <c r="T2" i="8"/>
  <c r="D74" i="8"/>
  <c r="D6" i="3"/>
  <c r="C18" i="3"/>
  <c r="C13" i="3"/>
  <c r="C8" i="3"/>
  <c r="H14" i="9"/>
  <c r="E14" i="9"/>
  <c r="F13" i="9"/>
  <c r="E13" i="9"/>
  <c r="H12" i="9"/>
  <c r="E12" i="9"/>
  <c r="E11" i="9"/>
  <c r="H9" i="9"/>
  <c r="E9" i="9"/>
  <c r="H7" i="9"/>
  <c r="E7" i="9"/>
  <c r="F5" i="9"/>
  <c r="E5" i="9"/>
  <c r="E5" i="5"/>
  <c r="F60" i="5"/>
  <c r="E60" i="5"/>
  <c r="H58" i="5"/>
  <c r="E58" i="5"/>
  <c r="H57" i="5"/>
  <c r="E57" i="5"/>
  <c r="F56" i="5"/>
  <c r="E56" i="5"/>
  <c r="H55" i="5"/>
  <c r="E55" i="5"/>
  <c r="H54" i="5"/>
  <c r="E54" i="5"/>
  <c r="F53" i="5"/>
  <c r="E53" i="5"/>
  <c r="H52" i="5"/>
  <c r="E52" i="5"/>
  <c r="H50" i="5"/>
  <c r="E50" i="5"/>
  <c r="F49" i="5"/>
  <c r="E49" i="5"/>
  <c r="H48" i="5"/>
  <c r="E48" i="5"/>
  <c r="H47" i="5"/>
  <c r="E47" i="5"/>
  <c r="F46" i="5"/>
  <c r="E46" i="5"/>
  <c r="H45" i="5"/>
  <c r="E45" i="5"/>
  <c r="H44" i="5"/>
  <c r="E44" i="5"/>
  <c r="H42" i="5"/>
  <c r="E42" i="5"/>
  <c r="H40" i="5"/>
  <c r="E40" i="5"/>
  <c r="H39" i="5"/>
  <c r="E39" i="5"/>
  <c r="F38" i="5"/>
  <c r="E38" i="5"/>
  <c r="F37" i="5"/>
  <c r="E37" i="5"/>
  <c r="F36" i="5"/>
  <c r="E36" i="5"/>
  <c r="H34" i="5"/>
  <c r="E34" i="5"/>
  <c r="H32" i="5"/>
  <c r="E32" i="5"/>
  <c r="F30" i="5"/>
  <c r="E30" i="5"/>
  <c r="F29" i="5"/>
  <c r="E29" i="5"/>
  <c r="H28" i="5"/>
  <c r="E28" i="5"/>
  <c r="F27" i="5"/>
  <c r="E27" i="5"/>
  <c r="F25" i="5"/>
  <c r="E25" i="5"/>
  <c r="H23" i="5"/>
  <c r="E23" i="5"/>
  <c r="H22" i="5"/>
  <c r="E22" i="5"/>
  <c r="F21" i="5"/>
  <c r="E21" i="5"/>
  <c r="H20" i="5"/>
  <c r="E20" i="5"/>
  <c r="H18" i="5"/>
  <c r="E18" i="5"/>
  <c r="E17" i="5"/>
  <c r="H16" i="5"/>
  <c r="E16" i="5"/>
  <c r="F15" i="5"/>
  <c r="E15" i="5"/>
  <c r="F13" i="5"/>
  <c r="E13" i="5"/>
  <c r="H12" i="5"/>
  <c r="E12" i="5"/>
  <c r="H11" i="5"/>
  <c r="E11" i="5"/>
  <c r="H10" i="5"/>
  <c r="E10" i="5"/>
  <c r="F9" i="5"/>
  <c r="E9" i="5"/>
  <c r="F7" i="5"/>
  <c r="E7" i="5"/>
  <c r="H6" i="5"/>
  <c r="E6" i="5"/>
  <c r="E5" i="4"/>
  <c r="H44" i="4"/>
  <c r="E44" i="4"/>
  <c r="H43" i="4"/>
  <c r="E43" i="4"/>
  <c r="F40" i="4"/>
  <c r="E40" i="4"/>
  <c r="H39" i="4"/>
  <c r="E39" i="4"/>
  <c r="H37" i="4"/>
  <c r="E37" i="4"/>
  <c r="F35" i="4"/>
  <c r="E35" i="4"/>
  <c r="H34" i="4"/>
  <c r="E34" i="4"/>
  <c r="H33" i="4"/>
  <c r="E33" i="4"/>
  <c r="F31" i="4"/>
  <c r="E31" i="4"/>
  <c r="E30" i="4"/>
  <c r="H22" i="4"/>
  <c r="H28" i="4"/>
  <c r="E28" i="4"/>
  <c r="H27" i="4"/>
  <c r="E27" i="4"/>
  <c r="E26" i="4"/>
  <c r="H25" i="4"/>
  <c r="E25" i="4"/>
  <c r="H24" i="4"/>
  <c r="E24" i="4"/>
  <c r="H20" i="4"/>
  <c r="E20" i="4"/>
  <c r="F19" i="4"/>
  <c r="E19" i="4"/>
  <c r="H18" i="4"/>
  <c r="E18" i="4"/>
  <c r="H17" i="4"/>
  <c r="E17" i="4"/>
  <c r="H15" i="4"/>
  <c r="E15" i="4"/>
  <c r="H13" i="4"/>
  <c r="E13" i="4"/>
  <c r="F11" i="4"/>
  <c r="E11" i="4"/>
  <c r="H9" i="4"/>
  <c r="E9" i="4"/>
  <c r="E8" i="4"/>
  <c r="H5" i="4"/>
  <c r="H6" i="4"/>
  <c r="E6" i="4"/>
  <c r="F6" i="4"/>
  <c r="H17" i="5"/>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86" i="2"/>
  <c r="I85" i="2"/>
  <c r="F20" i="5"/>
  <c r="I84" i="2"/>
  <c r="I83" i="2"/>
  <c r="I82" i="2"/>
  <c r="I81" i="2"/>
  <c r="F22" i="5"/>
  <c r="I80" i="2"/>
  <c r="I79" i="2"/>
  <c r="I78" i="2"/>
  <c r="I77" i="2"/>
  <c r="I76" i="2"/>
  <c r="I75" i="2"/>
  <c r="I74" i="2"/>
  <c r="I73" i="2"/>
  <c r="I72" i="2"/>
  <c r="I71" i="2"/>
  <c r="I70" i="2"/>
  <c r="I69" i="2"/>
  <c r="I68" i="2"/>
  <c r="I67" i="2"/>
  <c r="I66" i="2"/>
  <c r="I65" i="2"/>
  <c r="I64" i="2"/>
  <c r="I63" i="2"/>
  <c r="I62" i="2"/>
  <c r="I61" i="2"/>
  <c r="F40" i="5"/>
  <c r="I60" i="2"/>
  <c r="I59" i="2"/>
  <c r="I58" i="2"/>
  <c r="I57" i="2"/>
  <c r="F37" i="4"/>
  <c r="I56" i="2"/>
  <c r="I55" i="2"/>
  <c r="I54" i="2"/>
  <c r="I53" i="2"/>
  <c r="I52" i="2"/>
  <c r="I51" i="2"/>
  <c r="I50" i="2"/>
  <c r="I49" i="2"/>
  <c r="F34" i="5"/>
  <c r="I48" i="2"/>
  <c r="I47" i="2"/>
  <c r="I46" i="2"/>
  <c r="I45" i="2"/>
  <c r="I44" i="2"/>
  <c r="I43" i="2"/>
  <c r="I42" i="2"/>
  <c r="I41" i="2"/>
  <c r="I40" i="2"/>
  <c r="I39" i="2"/>
  <c r="I38" i="2"/>
  <c r="I37" i="2"/>
  <c r="I36" i="2"/>
  <c r="F11" i="5"/>
  <c r="I22" i="2"/>
  <c r="I23" i="2"/>
  <c r="I24" i="2"/>
  <c r="I25" i="2"/>
  <c r="I26" i="2"/>
  <c r="I27" i="2"/>
  <c r="I28" i="2"/>
  <c r="I29" i="2"/>
  <c r="I30" i="2"/>
  <c r="I31" i="2"/>
  <c r="I32" i="2"/>
  <c r="I33" i="2"/>
  <c r="I34" i="2"/>
  <c r="I35" i="2"/>
  <c r="F55" i="5"/>
  <c r="F12" i="5"/>
  <c r="F50" i="5"/>
  <c r="I8" i="2"/>
  <c r="I9" i="2"/>
  <c r="I10" i="2"/>
  <c r="I11" i="2"/>
  <c r="I12" i="2"/>
  <c r="I13" i="2"/>
  <c r="I14" i="2"/>
  <c r="I15" i="2"/>
  <c r="I16" i="2"/>
  <c r="I17" i="2"/>
  <c r="I18" i="2"/>
  <c r="I19" i="2"/>
  <c r="I20" i="2"/>
  <c r="I21" i="2"/>
  <c r="Y2" i="8" l="1"/>
  <c r="M5" i="8"/>
  <c r="Y6" i="8"/>
  <c r="AQ7" i="8"/>
  <c r="AS9" i="8"/>
  <c r="BA11" i="8"/>
  <c r="BP14" i="8"/>
  <c r="AA18" i="8"/>
  <c r="F20" i="8"/>
  <c r="AP27" i="8"/>
  <c r="AE2" i="8"/>
  <c r="BO2" i="8"/>
  <c r="AJ3" i="8"/>
  <c r="H4" i="8"/>
  <c r="AU4" i="8"/>
  <c r="T5" i="8"/>
  <c r="BG5" i="8"/>
  <c r="AE6" i="8"/>
  <c r="D7" i="8"/>
  <c r="AR7" i="8"/>
  <c r="T8" i="8"/>
  <c r="BJ8" i="8"/>
  <c r="BA9" i="8"/>
  <c r="BF10" i="8"/>
  <c r="BK11" i="8"/>
  <c r="BP12" i="8"/>
  <c r="F14" i="8"/>
  <c r="K15" i="8"/>
  <c r="P16" i="8"/>
  <c r="U17" i="8"/>
  <c r="AF18" i="8"/>
  <c r="X20" i="8"/>
  <c r="AW23" i="8"/>
  <c r="P28" i="8"/>
  <c r="AX34" i="8"/>
  <c r="BH48" i="8"/>
  <c r="BI2" i="8"/>
  <c r="AZ5" i="8"/>
  <c r="BE8" i="8"/>
  <c r="BK13" i="8"/>
  <c r="AT33" i="8"/>
  <c r="AF2" i="8"/>
  <c r="BP2" i="8"/>
  <c r="AK3" i="8"/>
  <c r="I4" i="8"/>
  <c r="AV4" i="8"/>
  <c r="U5" i="8"/>
  <c r="BH5" i="8"/>
  <c r="AF6" i="8"/>
  <c r="I7" i="8"/>
  <c r="AV7" i="8"/>
  <c r="U8" i="8"/>
  <c r="BL8" i="8"/>
  <c r="BB9" i="8"/>
  <c r="BG10" i="8"/>
  <c r="BL11" i="8"/>
  <c r="BQ12" i="8"/>
  <c r="G14" i="8"/>
  <c r="L15" i="8"/>
  <c r="Q16" i="8"/>
  <c r="V17" i="8"/>
  <c r="AX18" i="8"/>
  <c r="AK20" i="8"/>
  <c r="AX23" i="8"/>
  <c r="Q28" i="8"/>
  <c r="AY34" i="8"/>
  <c r="BI48" i="8"/>
  <c r="BP3" i="8"/>
  <c r="BL6" i="8"/>
  <c r="AV10" i="8"/>
  <c r="BF12" i="8"/>
  <c r="F16" i="8"/>
  <c r="V23" i="8"/>
  <c r="AY46" i="8"/>
  <c r="AJ2" i="8"/>
  <c r="E3" i="8"/>
  <c r="AO3" i="8"/>
  <c r="M4" i="8"/>
  <c r="BA4" i="8"/>
  <c r="Y5" i="8"/>
  <c r="BL5" i="8"/>
  <c r="AK6" i="8"/>
  <c r="J7" i="8"/>
  <c r="AW7" i="8"/>
  <c r="AB8" i="8"/>
  <c r="E9" i="8"/>
  <c r="BN9" i="8"/>
  <c r="D11" i="8"/>
  <c r="I12" i="8"/>
  <c r="N13" i="8"/>
  <c r="S14" i="8"/>
  <c r="X15" i="8"/>
  <c r="AC16" i="8"/>
  <c r="AH17" i="8"/>
  <c r="AY18" i="8"/>
  <c r="AP20" i="8"/>
  <c r="M24" i="8"/>
  <c r="BI28" i="8"/>
  <c r="BQ35" i="8"/>
  <c r="I51" i="8"/>
  <c r="AK2" i="8"/>
  <c r="O4" i="8"/>
  <c r="BB4" i="8"/>
  <c r="Z5" i="8"/>
  <c r="BM5" i="8"/>
  <c r="AL6" i="8"/>
  <c r="P7" i="8"/>
  <c r="BD7" i="8"/>
  <c r="AC8" i="8"/>
  <c r="F9" i="8"/>
  <c r="BO9" i="8"/>
  <c r="E11" i="8"/>
  <c r="J12" i="8"/>
  <c r="O13" i="8"/>
  <c r="T14" i="8"/>
  <c r="Y15" i="8"/>
  <c r="AD16" i="8"/>
  <c r="AI17" i="8"/>
  <c r="BK18" i="8"/>
  <c r="BH20" i="8"/>
  <c r="AN24" i="8"/>
  <c r="AK29" i="8"/>
  <c r="S37" i="8"/>
  <c r="AZ53" i="8"/>
  <c r="AO4" i="8"/>
  <c r="P8" i="8"/>
  <c r="K17" i="8"/>
  <c r="AP3" i="8"/>
  <c r="G2" i="8"/>
  <c r="AQ2" i="8"/>
  <c r="L3" i="8"/>
  <c r="AW3" i="8"/>
  <c r="U4" i="8"/>
  <c r="BH4" i="8"/>
  <c r="AG5" i="8"/>
  <c r="E6" i="8"/>
  <c r="AR6" i="8"/>
  <c r="R7" i="8"/>
  <c r="BE7" i="8"/>
  <c r="AG8" i="8"/>
  <c r="L9" i="8"/>
  <c r="J10" i="8"/>
  <c r="O11" i="8"/>
  <c r="T12" i="8"/>
  <c r="Y13" i="8"/>
  <c r="AD14" i="8"/>
  <c r="AI15" i="8"/>
  <c r="AN16" i="8"/>
  <c r="AS17" i="8"/>
  <c r="BP18" i="8"/>
  <c r="P21" i="8"/>
  <c r="AO24" i="8"/>
  <c r="AL29" i="8"/>
  <c r="T37" i="8"/>
  <c r="BA53" i="8"/>
  <c r="H2" i="8"/>
  <c r="AR2" i="8"/>
  <c r="M3" i="8"/>
  <c r="AX3" i="8"/>
  <c r="V4" i="8"/>
  <c r="BI4" i="8"/>
  <c r="AH5" i="8"/>
  <c r="F6" i="8"/>
  <c r="AS6" i="8"/>
  <c r="V7" i="8"/>
  <c r="BI7" i="8"/>
  <c r="AI8" i="8"/>
  <c r="M9" i="8"/>
  <c r="K10" i="8"/>
  <c r="P11" i="8"/>
  <c r="U12" i="8"/>
  <c r="Z13" i="8"/>
  <c r="AE14" i="8"/>
  <c r="AJ15" i="8"/>
  <c r="AO16" i="8"/>
  <c r="AT17" i="8"/>
  <c r="S19" i="8"/>
  <c r="Q21" i="8"/>
  <c r="BQ24" i="8"/>
  <c r="M30" i="8"/>
  <c r="AO38" i="8"/>
  <c r="Q58" i="8"/>
  <c r="F3" i="8"/>
  <c r="L2" i="8"/>
  <c r="AV2" i="8"/>
  <c r="Q3" i="8"/>
  <c r="BB3" i="8"/>
  <c r="AA4" i="8"/>
  <c r="BN4" i="8"/>
  <c r="AL5" i="8"/>
  <c r="J6" i="8"/>
  <c r="AX6" i="8"/>
  <c r="W7" i="8"/>
  <c r="BJ7" i="8"/>
  <c r="AP8" i="8"/>
  <c r="W9" i="8"/>
  <c r="W10" i="8"/>
  <c r="AB11" i="8"/>
  <c r="AG12" i="8"/>
  <c r="AL13" i="8"/>
  <c r="AQ14" i="8"/>
  <c r="AV15" i="8"/>
  <c r="BA16" i="8"/>
  <c r="BF17" i="8"/>
  <c r="T19" i="8"/>
  <c r="AP21" i="8"/>
  <c r="AS25" i="8"/>
  <c r="BD30" i="8"/>
  <c r="T40" i="8"/>
  <c r="BL63" i="8"/>
  <c r="AD3" i="8"/>
  <c r="M2" i="8"/>
  <c r="AW2" i="8"/>
  <c r="R3" i="8"/>
  <c r="BC3" i="8"/>
  <c r="AB4" i="8"/>
  <c r="BO4" i="8"/>
  <c r="AM5" i="8"/>
  <c r="K6" i="8"/>
  <c r="AY6" i="8"/>
  <c r="AD7" i="8"/>
  <c r="BQ7" i="8"/>
  <c r="AQ8" i="8"/>
  <c r="X9" i="8"/>
  <c r="X10" i="8"/>
  <c r="AC11" i="8"/>
  <c r="AH12" i="8"/>
  <c r="AM13" i="8"/>
  <c r="AR14" i="8"/>
  <c r="AW15" i="8"/>
  <c r="BB16" i="8"/>
  <c r="BG17" i="8"/>
  <c r="AF19" i="8"/>
  <c r="BQ21" i="8"/>
  <c r="AT25" i="8"/>
  <c r="BE30" i="8"/>
  <c r="U40" i="8"/>
  <c r="BO63" i="8"/>
  <c r="S2" i="8"/>
  <c r="BC2" i="8"/>
  <c r="X3" i="8"/>
  <c r="BJ3" i="8"/>
  <c r="AH4" i="8"/>
  <c r="F5" i="8"/>
  <c r="AT5" i="8"/>
  <c r="R6" i="8"/>
  <c r="BE6" i="8"/>
  <c r="AE7" i="8"/>
  <c r="G8" i="8"/>
  <c r="AV8" i="8"/>
  <c r="AE9" i="8"/>
  <c r="AH10" i="8"/>
  <c r="AM11" i="8"/>
  <c r="AR12" i="8"/>
  <c r="AW13" i="8"/>
  <c r="BB14" i="8"/>
  <c r="BG15" i="8"/>
  <c r="BL16" i="8"/>
  <c r="BQ17" i="8"/>
  <c r="AK19" i="8"/>
  <c r="AE22" i="8"/>
  <c r="W26" i="8"/>
  <c r="AJ31" i="8"/>
  <c r="AE42" i="8"/>
  <c r="BF152" i="8"/>
  <c r="AT152" i="8"/>
  <c r="AH152" i="8"/>
  <c r="V152" i="8"/>
  <c r="J152" i="8"/>
  <c r="BM151" i="8"/>
  <c r="BA151" i="8"/>
  <c r="AO151" i="8"/>
  <c r="AC151" i="8"/>
  <c r="Q151" i="8"/>
  <c r="E151" i="8"/>
  <c r="BH150" i="8"/>
  <c r="AV150" i="8"/>
  <c r="AJ150" i="8"/>
  <c r="X150" i="8"/>
  <c r="L150" i="8"/>
  <c r="BO149" i="8"/>
  <c r="BC149" i="8"/>
  <c r="AQ149" i="8"/>
  <c r="AE149" i="8"/>
  <c r="S149" i="8"/>
  <c r="G149" i="8"/>
  <c r="BJ148" i="8"/>
  <c r="AX148" i="8"/>
  <c r="AL148" i="8"/>
  <c r="Z148" i="8"/>
  <c r="N148" i="8"/>
  <c r="BQ147" i="8"/>
  <c r="BE147" i="8"/>
  <c r="AS147" i="8"/>
  <c r="AG147" i="8"/>
  <c r="U147" i="8"/>
  <c r="I147" i="8"/>
  <c r="BL146" i="8"/>
  <c r="AZ146" i="8"/>
  <c r="AN146" i="8"/>
  <c r="AB146" i="8"/>
  <c r="P146" i="8"/>
  <c r="D146" i="8"/>
  <c r="BG145" i="8"/>
  <c r="AU145" i="8"/>
  <c r="AI145" i="8"/>
  <c r="W145" i="8"/>
  <c r="K145" i="8"/>
  <c r="BN144" i="8"/>
  <c r="BB144" i="8"/>
  <c r="AP144" i="8"/>
  <c r="AD144" i="8"/>
  <c r="R144" i="8"/>
  <c r="F144" i="8"/>
  <c r="BI143" i="8"/>
  <c r="AW143" i="8"/>
  <c r="AK143" i="8"/>
  <c r="Y143" i="8"/>
  <c r="M143" i="8"/>
  <c r="BP142" i="8"/>
  <c r="BD142" i="8"/>
  <c r="AR142" i="8"/>
  <c r="AF142" i="8"/>
  <c r="T142" i="8"/>
  <c r="H142" i="8"/>
  <c r="BK141" i="8"/>
  <c r="AY141" i="8"/>
  <c r="AM141" i="8"/>
  <c r="AA141" i="8"/>
  <c r="O141" i="8"/>
  <c r="BF140" i="8"/>
  <c r="AT140" i="8"/>
  <c r="AH140" i="8"/>
  <c r="V140" i="8"/>
  <c r="J140" i="8"/>
  <c r="BM139" i="8"/>
  <c r="BA139" i="8"/>
  <c r="AO139" i="8"/>
  <c r="AC139" i="8"/>
  <c r="Q139" i="8"/>
  <c r="E139" i="8"/>
  <c r="BH138" i="8"/>
  <c r="AV138" i="8"/>
  <c r="AJ138" i="8"/>
  <c r="X138" i="8"/>
  <c r="BQ152" i="8"/>
  <c r="BP152" i="8"/>
  <c r="BD152" i="8"/>
  <c r="AR152" i="8"/>
  <c r="AF152" i="8"/>
  <c r="T152" i="8"/>
  <c r="H152" i="8"/>
  <c r="BK151" i="8"/>
  <c r="AY151" i="8"/>
  <c r="AM151" i="8"/>
  <c r="AA151" i="8"/>
  <c r="O151" i="8"/>
  <c r="BF150" i="8"/>
  <c r="AT150" i="8"/>
  <c r="AH150" i="8"/>
  <c r="V150" i="8"/>
  <c r="J150" i="8"/>
  <c r="BM149" i="8"/>
  <c r="BA149" i="8"/>
  <c r="AO149" i="8"/>
  <c r="AC149" i="8"/>
  <c r="Q149" i="8"/>
  <c r="E149" i="8"/>
  <c r="BH148" i="8"/>
  <c r="AV148" i="8"/>
  <c r="AJ148" i="8"/>
  <c r="X148" i="8"/>
  <c r="L148" i="8"/>
  <c r="BO147" i="8"/>
  <c r="BC147" i="8"/>
  <c r="AQ147" i="8"/>
  <c r="AE147" i="8"/>
  <c r="S147" i="8"/>
  <c r="G147" i="8"/>
  <c r="BJ146" i="8"/>
  <c r="AX146" i="8"/>
  <c r="AL146" i="8"/>
  <c r="Z146" i="8"/>
  <c r="N146" i="8"/>
  <c r="BQ145" i="8"/>
  <c r="BE145" i="8"/>
  <c r="AS145" i="8"/>
  <c r="AG145" i="8"/>
  <c r="U145" i="8"/>
  <c r="I145" i="8"/>
  <c r="BL144" i="8"/>
  <c r="AZ144" i="8"/>
  <c r="AN144" i="8"/>
  <c r="AB144" i="8"/>
  <c r="P144" i="8"/>
  <c r="D144" i="8"/>
  <c r="BG143" i="8"/>
  <c r="AU143" i="8"/>
  <c r="AI143" i="8"/>
  <c r="W143" i="8"/>
  <c r="K143" i="8"/>
  <c r="BN142" i="8"/>
  <c r="BB142" i="8"/>
  <c r="AP142" i="8"/>
  <c r="AD142" i="8"/>
  <c r="R142" i="8"/>
  <c r="F142" i="8"/>
  <c r="BI141" i="8"/>
  <c r="AW141" i="8"/>
  <c r="AK141" i="8"/>
  <c r="Y141" i="8"/>
  <c r="M141" i="8"/>
  <c r="BP140" i="8"/>
  <c r="BD140" i="8"/>
  <c r="AR140" i="8"/>
  <c r="AF140" i="8"/>
  <c r="T140" i="8"/>
  <c r="H140" i="8"/>
  <c r="BK139" i="8"/>
  <c r="AY139" i="8"/>
  <c r="AM139" i="8"/>
  <c r="AA139" i="8"/>
  <c r="O139" i="8"/>
  <c r="BF138" i="8"/>
  <c r="AT138" i="8"/>
  <c r="AH138" i="8"/>
  <c r="V138" i="8"/>
  <c r="J138" i="8"/>
  <c r="BM137" i="8"/>
  <c r="BL152" i="8"/>
  <c r="BK152" i="8"/>
  <c r="BJ152" i="8"/>
  <c r="BG152" i="8"/>
  <c r="BN152" i="8"/>
  <c r="AV152" i="8"/>
  <c r="AG152" i="8"/>
  <c r="R152" i="8"/>
  <c r="D152" i="8"/>
  <c r="BE151" i="8"/>
  <c r="AQ151" i="8"/>
  <c r="AB151" i="8"/>
  <c r="M151" i="8"/>
  <c r="BN150" i="8"/>
  <c r="AZ150" i="8"/>
  <c r="AL150" i="8"/>
  <c r="W150" i="8"/>
  <c r="H150" i="8"/>
  <c r="BI149" i="8"/>
  <c r="AU149" i="8"/>
  <c r="AG149" i="8"/>
  <c r="R149" i="8"/>
  <c r="BD148" i="8"/>
  <c r="AP148" i="8"/>
  <c r="AB148" i="8"/>
  <c r="M148" i="8"/>
  <c r="BM147" i="8"/>
  <c r="AY147" i="8"/>
  <c r="AK147" i="8"/>
  <c r="W147" i="8"/>
  <c r="H147" i="8"/>
  <c r="BH146" i="8"/>
  <c r="AT146" i="8"/>
  <c r="AF146" i="8"/>
  <c r="R146" i="8"/>
  <c r="BC145" i="8"/>
  <c r="AO145" i="8"/>
  <c r="AA145" i="8"/>
  <c r="M145" i="8"/>
  <c r="BM144" i="8"/>
  <c r="AX144" i="8"/>
  <c r="AJ144" i="8"/>
  <c r="V144" i="8"/>
  <c r="H144" i="8"/>
  <c r="BH143" i="8"/>
  <c r="AS143" i="8"/>
  <c r="AE143" i="8"/>
  <c r="Q143" i="8"/>
  <c r="BC142" i="8"/>
  <c r="AN142" i="8"/>
  <c r="Z142" i="8"/>
  <c r="L142" i="8"/>
  <c r="BM141" i="8"/>
  <c r="AX141" i="8"/>
  <c r="AI141" i="8"/>
  <c r="U141" i="8"/>
  <c r="G141" i="8"/>
  <c r="BH140" i="8"/>
  <c r="AS140" i="8"/>
  <c r="AD140" i="8"/>
  <c r="P140" i="8"/>
  <c r="BQ139" i="8"/>
  <c r="BC139" i="8"/>
  <c r="AN139" i="8"/>
  <c r="Y139" i="8"/>
  <c r="K139" i="8"/>
  <c r="BL138" i="8"/>
  <c r="AX138" i="8"/>
  <c r="AI138" i="8"/>
  <c r="T138" i="8"/>
  <c r="G138" i="8"/>
  <c r="BI137" i="8"/>
  <c r="AW137" i="8"/>
  <c r="AK137" i="8"/>
  <c r="Y137" i="8"/>
  <c r="M137" i="8"/>
  <c r="BP136" i="8"/>
  <c r="BD136" i="8"/>
  <c r="AR136" i="8"/>
  <c r="AF136" i="8"/>
  <c r="T136" i="8"/>
  <c r="H136" i="8"/>
  <c r="BK135" i="8"/>
  <c r="AY135" i="8"/>
  <c r="AM135" i="8"/>
  <c r="AA135" i="8"/>
  <c r="BB152" i="8"/>
  <c r="AN152" i="8"/>
  <c r="Z152" i="8"/>
  <c r="L152" i="8"/>
  <c r="BL151" i="8"/>
  <c r="AW151" i="8"/>
  <c r="AI151" i="8"/>
  <c r="U151" i="8"/>
  <c r="G151" i="8"/>
  <c r="BG150" i="8"/>
  <c r="AR150" i="8"/>
  <c r="AD150" i="8"/>
  <c r="P150" i="8"/>
  <c r="BQ149" i="8"/>
  <c r="BB149" i="8"/>
  <c r="AM149" i="8"/>
  <c r="Y149" i="8"/>
  <c r="K149" i="8"/>
  <c r="BL148" i="8"/>
  <c r="AW148" i="8"/>
  <c r="AH148" i="8"/>
  <c r="T148" i="8"/>
  <c r="F148" i="8"/>
  <c r="BG147" i="8"/>
  <c r="AR147" i="8"/>
  <c r="AC147" i="8"/>
  <c r="O147" i="8"/>
  <c r="BP146" i="8"/>
  <c r="BB146" i="8"/>
  <c r="AM146" i="8"/>
  <c r="X146" i="8"/>
  <c r="J146" i="8"/>
  <c r="BK145" i="8"/>
  <c r="AW145" i="8"/>
  <c r="AH145" i="8"/>
  <c r="S145" i="8"/>
  <c r="E145" i="8"/>
  <c r="BF144" i="8"/>
  <c r="AR144" i="8"/>
  <c r="AC144" i="8"/>
  <c r="N144" i="8"/>
  <c r="BO143" i="8"/>
  <c r="BA143" i="8"/>
  <c r="AM143" i="8"/>
  <c r="X143" i="8"/>
  <c r="I143" i="8"/>
  <c r="BJ142" i="8"/>
  <c r="AV142" i="8"/>
  <c r="AH142" i="8"/>
  <c r="S142" i="8"/>
  <c r="D142" i="8"/>
  <c r="BE141" i="8"/>
  <c r="AQ141" i="8"/>
  <c r="AC141" i="8"/>
  <c r="N141" i="8"/>
  <c r="BN140" i="8"/>
  <c r="AZ140" i="8"/>
  <c r="AL140" i="8"/>
  <c r="X140" i="8"/>
  <c r="I140" i="8"/>
  <c r="BI139" i="8"/>
  <c r="AU139" i="8"/>
  <c r="AG139" i="8"/>
  <c r="S139" i="8"/>
  <c r="D139" i="8"/>
  <c r="BD138" i="8"/>
  <c r="AP138" i="8"/>
  <c r="AB138" i="8"/>
  <c r="N138" i="8"/>
  <c r="BP137" i="8"/>
  <c r="BC137" i="8"/>
  <c r="AQ137" i="8"/>
  <c r="AE137" i="8"/>
  <c r="S137" i="8"/>
  <c r="G137" i="8"/>
  <c r="BJ136" i="8"/>
  <c r="AX136" i="8"/>
  <c r="AL136" i="8"/>
  <c r="Z136" i="8"/>
  <c r="N136" i="8"/>
  <c r="BQ135" i="8"/>
  <c r="BE135" i="8"/>
  <c r="AS135" i="8"/>
  <c r="AG135" i="8"/>
  <c r="U135" i="8"/>
  <c r="BM152" i="8"/>
  <c r="AQ152" i="8"/>
  <c r="AA152" i="8"/>
  <c r="I152" i="8"/>
  <c r="BG151" i="8"/>
  <c r="AP151" i="8"/>
  <c r="X151" i="8"/>
  <c r="H151" i="8"/>
  <c r="BD150" i="8"/>
  <c r="AN150" i="8"/>
  <c r="U150" i="8"/>
  <c r="E150" i="8"/>
  <c r="BD149" i="8"/>
  <c r="AK149" i="8"/>
  <c r="U149" i="8"/>
  <c r="BQ148" i="8"/>
  <c r="BA148" i="8"/>
  <c r="AI148" i="8"/>
  <c r="R148" i="8"/>
  <c r="BP147" i="8"/>
  <c r="AX147" i="8"/>
  <c r="AH147" i="8"/>
  <c r="P147" i="8"/>
  <c r="BN146" i="8"/>
  <c r="AV146" i="8"/>
  <c r="AE146" i="8"/>
  <c r="M146" i="8"/>
  <c r="BL145" i="8"/>
  <c r="AT145" i="8"/>
  <c r="AC145" i="8"/>
  <c r="L145" i="8"/>
  <c r="BI144" i="8"/>
  <c r="AS144" i="8"/>
  <c r="Z144" i="8"/>
  <c r="J144" i="8"/>
  <c r="BF143" i="8"/>
  <c r="AP143" i="8"/>
  <c r="Z143" i="8"/>
  <c r="G143" i="8"/>
  <c r="BF142" i="8"/>
  <c r="AM142" i="8"/>
  <c r="W142" i="8"/>
  <c r="E142" i="8"/>
  <c r="BC141" i="8"/>
  <c r="AL141" i="8"/>
  <c r="T141" i="8"/>
  <c r="D141" i="8"/>
  <c r="BA140" i="8"/>
  <c r="AJ140" i="8"/>
  <c r="R140" i="8"/>
  <c r="BP139" i="8"/>
  <c r="AX139" i="8"/>
  <c r="AH139" i="8"/>
  <c r="P139" i="8"/>
  <c r="BN138" i="8"/>
  <c r="AW138" i="8"/>
  <c r="AE138" i="8"/>
  <c r="O138" i="8"/>
  <c r="BN137" i="8"/>
  <c r="AY137" i="8"/>
  <c r="AJ137" i="8"/>
  <c r="V137" i="8"/>
  <c r="H137" i="8"/>
  <c r="BH136" i="8"/>
  <c r="AT136" i="8"/>
  <c r="AE136" i="8"/>
  <c r="Q136" i="8"/>
  <c r="BC135" i="8"/>
  <c r="AO135" i="8"/>
  <c r="Z135" i="8"/>
  <c r="M135" i="8"/>
  <c r="BP134" i="8"/>
  <c r="BD134" i="8"/>
  <c r="AR134" i="8"/>
  <c r="AF134" i="8"/>
  <c r="T134" i="8"/>
  <c r="H134" i="8"/>
  <c r="BK133" i="8"/>
  <c r="AY133" i="8"/>
  <c r="AM133" i="8"/>
  <c r="AA133" i="8"/>
  <c r="O133" i="8"/>
  <c r="BF132" i="8"/>
  <c r="BI152" i="8"/>
  <c r="AP152" i="8"/>
  <c r="Y152" i="8"/>
  <c r="G152" i="8"/>
  <c r="BF151" i="8"/>
  <c r="AN151" i="8"/>
  <c r="W151" i="8"/>
  <c r="F151" i="8"/>
  <c r="BC150" i="8"/>
  <c r="AM150" i="8"/>
  <c r="T150" i="8"/>
  <c r="D150" i="8"/>
  <c r="AZ149" i="8"/>
  <c r="AJ149" i="8"/>
  <c r="T149" i="8"/>
  <c r="BP148" i="8"/>
  <c r="AZ148" i="8"/>
  <c r="AG148" i="8"/>
  <c r="Q148" i="8"/>
  <c r="BN147" i="8"/>
  <c r="AW147" i="8"/>
  <c r="AF147" i="8"/>
  <c r="N147" i="8"/>
  <c r="BM146" i="8"/>
  <c r="AU146" i="8"/>
  <c r="AD146" i="8"/>
  <c r="L146" i="8"/>
  <c r="BJ145" i="8"/>
  <c r="AR145" i="8"/>
  <c r="AB145" i="8"/>
  <c r="J145" i="8"/>
  <c r="BH144" i="8"/>
  <c r="AQ144" i="8"/>
  <c r="Y144" i="8"/>
  <c r="I144" i="8"/>
  <c r="BE143" i="8"/>
  <c r="AO143" i="8"/>
  <c r="V143" i="8"/>
  <c r="F143" i="8"/>
  <c r="BE142" i="8"/>
  <c r="AL142" i="8"/>
  <c r="V142" i="8"/>
  <c r="BB141" i="8"/>
  <c r="AJ141" i="8"/>
  <c r="S141" i="8"/>
  <c r="BQ140" i="8"/>
  <c r="AY140" i="8"/>
  <c r="AI140" i="8"/>
  <c r="BC152" i="8"/>
  <c r="AL152" i="8"/>
  <c r="U152" i="8"/>
  <c r="BB151" i="8"/>
  <c r="AJ151" i="8"/>
  <c r="S151" i="8"/>
  <c r="AZ152" i="8"/>
  <c r="AJ152" i="8"/>
  <c r="Q152" i="8"/>
  <c r="BP151" i="8"/>
  <c r="AX151" i="8"/>
  <c r="AG151" i="8"/>
  <c r="P151" i="8"/>
  <c r="BM150" i="8"/>
  <c r="AW150" i="8"/>
  <c r="AE150" i="8"/>
  <c r="BH152" i="8"/>
  <c r="AE152" i="8"/>
  <c r="F152" i="8"/>
  <c r="AU151" i="8"/>
  <c r="V151" i="8"/>
  <c r="BL150" i="8"/>
  <c r="AP150" i="8"/>
  <c r="R150" i="8"/>
  <c r="BL149" i="8"/>
  <c r="AS149" i="8"/>
  <c r="X149" i="8"/>
  <c r="D149" i="8"/>
  <c r="AU148" i="8"/>
  <c r="AC148" i="8"/>
  <c r="H148" i="8"/>
  <c r="BB147" i="8"/>
  <c r="AI147" i="8"/>
  <c r="L147" i="8"/>
  <c r="BF146" i="8"/>
  <c r="AK146" i="8"/>
  <c r="S146" i="8"/>
  <c r="BM145" i="8"/>
  <c r="AP145" i="8"/>
  <c r="V145" i="8"/>
  <c r="BQ144" i="8"/>
  <c r="AV144" i="8"/>
  <c r="AA144" i="8"/>
  <c r="E144" i="8"/>
  <c r="AZ143" i="8"/>
  <c r="AF143" i="8"/>
  <c r="L143" i="8"/>
  <c r="BG142" i="8"/>
  <c r="AJ142" i="8"/>
  <c r="O142" i="8"/>
  <c r="BJ141" i="8"/>
  <c r="AP141" i="8"/>
  <c r="V141" i="8"/>
  <c r="BM140" i="8"/>
  <c r="AU140" i="8"/>
  <c r="Z140" i="8"/>
  <c r="F140" i="8"/>
  <c r="BD139" i="8"/>
  <c r="AJ139" i="8"/>
  <c r="R139" i="8"/>
  <c r="BM138" i="8"/>
  <c r="AS138" i="8"/>
  <c r="AA138" i="8"/>
  <c r="I138" i="8"/>
  <c r="BG137" i="8"/>
  <c r="AR137" i="8"/>
  <c r="AB137" i="8"/>
  <c r="L137" i="8"/>
  <c r="BL136" i="8"/>
  <c r="AV136" i="8"/>
  <c r="AG136" i="8"/>
  <c r="P136" i="8"/>
  <c r="BO135" i="8"/>
  <c r="AZ135" i="8"/>
  <c r="AJ135" i="8"/>
  <c r="T135" i="8"/>
  <c r="G135" i="8"/>
  <c r="BI134" i="8"/>
  <c r="AV134" i="8"/>
  <c r="AI134" i="8"/>
  <c r="V134" i="8"/>
  <c r="I134" i="8"/>
  <c r="BJ133" i="8"/>
  <c r="AW133" i="8"/>
  <c r="AJ133" i="8"/>
  <c r="W133" i="8"/>
  <c r="J133" i="8"/>
  <c r="BL132" i="8"/>
  <c r="AY132" i="8"/>
  <c r="AM132" i="8"/>
  <c r="AA132" i="8"/>
  <c r="O132" i="8"/>
  <c r="BF131" i="8"/>
  <c r="AT131" i="8"/>
  <c r="AH131" i="8"/>
  <c r="V131" i="8"/>
  <c r="J131" i="8"/>
  <c r="BM130" i="8"/>
  <c r="BA130" i="8"/>
  <c r="AO130" i="8"/>
  <c r="AC130" i="8"/>
  <c r="Q130" i="8"/>
  <c r="E130" i="8"/>
  <c r="BH129" i="8"/>
  <c r="AV129" i="8"/>
  <c r="AJ129" i="8"/>
  <c r="X129" i="8"/>
  <c r="L129" i="8"/>
  <c r="BO128" i="8"/>
  <c r="BC128" i="8"/>
  <c r="AQ128" i="8"/>
  <c r="AE128" i="8"/>
  <c r="S128" i="8"/>
  <c r="G128" i="8"/>
  <c r="BJ127" i="8"/>
  <c r="AX127" i="8"/>
  <c r="AL127" i="8"/>
  <c r="Z127" i="8"/>
  <c r="N127" i="8"/>
  <c r="BQ126" i="8"/>
  <c r="BE126" i="8"/>
  <c r="AS126" i="8"/>
  <c r="AG126" i="8"/>
  <c r="U126" i="8"/>
  <c r="I126" i="8"/>
  <c r="BL125" i="8"/>
  <c r="AZ125" i="8"/>
  <c r="AN125" i="8"/>
  <c r="AB125" i="8"/>
  <c r="P125" i="8"/>
  <c r="D125" i="8"/>
  <c r="BG124" i="8"/>
  <c r="AU124" i="8"/>
  <c r="AI124" i="8"/>
  <c r="W124" i="8"/>
  <c r="K124" i="8"/>
  <c r="BN123" i="8"/>
  <c r="BB123" i="8"/>
  <c r="AP123" i="8"/>
  <c r="AD123" i="8"/>
  <c r="R123" i="8"/>
  <c r="F123" i="8"/>
  <c r="BI122" i="8"/>
  <c r="AW122" i="8"/>
  <c r="AK122" i="8"/>
  <c r="Y122" i="8"/>
  <c r="M122" i="8"/>
  <c r="BP121" i="8"/>
  <c r="BD121" i="8"/>
  <c r="AR121" i="8"/>
  <c r="AF121" i="8"/>
  <c r="T121" i="8"/>
  <c r="H121" i="8"/>
  <c r="BK120" i="8"/>
  <c r="AY120" i="8"/>
  <c r="AM120" i="8"/>
  <c r="AA120" i="8"/>
  <c r="O120" i="8"/>
  <c r="BF119" i="8"/>
  <c r="AT119" i="8"/>
  <c r="AH119" i="8"/>
  <c r="V119" i="8"/>
  <c r="J119" i="8"/>
  <c r="BM118" i="8"/>
  <c r="BA118" i="8"/>
  <c r="AO118" i="8"/>
  <c r="BE152" i="8"/>
  <c r="AD152" i="8"/>
  <c r="E152" i="8"/>
  <c r="AT151" i="8"/>
  <c r="T151" i="8"/>
  <c r="BK150" i="8"/>
  <c r="AO150" i="8"/>
  <c r="Q150" i="8"/>
  <c r="BK149" i="8"/>
  <c r="AR149" i="8"/>
  <c r="W149" i="8"/>
  <c r="BO148" i="8"/>
  <c r="AT148" i="8"/>
  <c r="AA148" i="8"/>
  <c r="G148" i="8"/>
  <c r="BA147" i="8"/>
  <c r="AD147" i="8"/>
  <c r="K147" i="8"/>
  <c r="BE146" i="8"/>
  <c r="AJ146" i="8"/>
  <c r="Q146" i="8"/>
  <c r="BI145" i="8"/>
  <c r="AN145" i="8"/>
  <c r="T145" i="8"/>
  <c r="BP144" i="8"/>
  <c r="AU144" i="8"/>
  <c r="X144" i="8"/>
  <c r="AY143" i="8"/>
  <c r="AD143" i="8"/>
  <c r="J143" i="8"/>
  <c r="BA142" i="8"/>
  <c r="AI142" i="8"/>
  <c r="N142" i="8"/>
  <c r="BH141" i="8"/>
  <c r="AO141" i="8"/>
  <c r="R141" i="8"/>
  <c r="BL140" i="8"/>
  <c r="AQ140" i="8"/>
  <c r="Y140" i="8"/>
  <c r="E140" i="8"/>
  <c r="BB139" i="8"/>
  <c r="AI139" i="8"/>
  <c r="N139" i="8"/>
  <c r="BK138" i="8"/>
  <c r="AR138" i="8"/>
  <c r="Z138" i="8"/>
  <c r="H138" i="8"/>
  <c r="BF137" i="8"/>
  <c r="AP137" i="8"/>
  <c r="AA137" i="8"/>
  <c r="K137" i="8"/>
  <c r="BK136" i="8"/>
  <c r="AU136" i="8"/>
  <c r="AD136" i="8"/>
  <c r="O136" i="8"/>
  <c r="BN135" i="8"/>
  <c r="AX135" i="8"/>
  <c r="AI135" i="8"/>
  <c r="S135" i="8"/>
  <c r="F135" i="8"/>
  <c r="BH134" i="8"/>
  <c r="AU134" i="8"/>
  <c r="AH134" i="8"/>
  <c r="U134" i="8"/>
  <c r="G134" i="8"/>
  <c r="BI133" i="8"/>
  <c r="AV133" i="8"/>
  <c r="AI133" i="8"/>
  <c r="V133" i="8"/>
  <c r="I133" i="8"/>
  <c r="BK132" i="8"/>
  <c r="AX132" i="8"/>
  <c r="AL132" i="8"/>
  <c r="Z132" i="8"/>
  <c r="N132" i="8"/>
  <c r="BQ131" i="8"/>
  <c r="BE131" i="8"/>
  <c r="AS131" i="8"/>
  <c r="AG131" i="8"/>
  <c r="U131" i="8"/>
  <c r="I131" i="8"/>
  <c r="BL130" i="8"/>
  <c r="AZ130" i="8"/>
  <c r="AN130" i="8"/>
  <c r="AX152" i="8"/>
  <c r="X152" i="8"/>
  <c r="BN151" i="8"/>
  <c r="AL151" i="8"/>
  <c r="L151" i="8"/>
  <c r="BE150" i="8"/>
  <c r="AG150" i="8"/>
  <c r="M150" i="8"/>
  <c r="BG149" i="8"/>
  <c r="AL149" i="8"/>
  <c r="O149" i="8"/>
  <c r="BK148" i="8"/>
  <c r="AQ148" i="8"/>
  <c r="V148" i="8"/>
  <c r="AU147" i="8"/>
  <c r="Z147" i="8"/>
  <c r="E147" i="8"/>
  <c r="BA146" i="8"/>
  <c r="AG146" i="8"/>
  <c r="I146" i="8"/>
  <c r="BD145" i="8"/>
  <c r="AK145" i="8"/>
  <c r="P145" i="8"/>
  <c r="BJ144" i="8"/>
  <c r="AM144" i="8"/>
  <c r="T144" i="8"/>
  <c r="BN143" i="8"/>
  <c r="AT143" i="8"/>
  <c r="AA143" i="8"/>
  <c r="D143" i="8"/>
  <c r="AX142" i="8"/>
  <c r="AC142" i="8"/>
  <c r="J142" i="8"/>
  <c r="BD141" i="8"/>
  <c r="AG141" i="8"/>
  <c r="L141" i="8"/>
  <c r="BI140" i="8"/>
  <c r="AN140" i="8"/>
  <c r="S140" i="8"/>
  <c r="BO139" i="8"/>
  <c r="AV139" i="8"/>
  <c r="AD139" i="8"/>
  <c r="J139" i="8"/>
  <c r="BG138" i="8"/>
  <c r="AN138" i="8"/>
  <c r="U138" i="8"/>
  <c r="D138" i="8"/>
  <c r="BB137" i="8"/>
  <c r="AM137" i="8"/>
  <c r="W137" i="8"/>
  <c r="F137" i="8"/>
  <c r="BF136" i="8"/>
  <c r="AP136" i="8"/>
  <c r="AA136" i="8"/>
  <c r="K136" i="8"/>
  <c r="BJ135" i="8"/>
  <c r="AU135" i="8"/>
  <c r="AE135" i="8"/>
  <c r="AU152" i="8"/>
  <c r="S152" i="8"/>
  <c r="BI151" i="8"/>
  <c r="AH151" i="8"/>
  <c r="J151" i="8"/>
  <c r="BA150" i="8"/>
  <c r="AC150" i="8"/>
  <c r="I150" i="8"/>
  <c r="BE149" i="8"/>
  <c r="AH149" i="8"/>
  <c r="M149" i="8"/>
  <c r="BG148" i="8"/>
  <c r="AN148" i="8"/>
  <c r="S148" i="8"/>
  <c r="BA152" i="8"/>
  <c r="O152" i="8"/>
  <c r="AS151" i="8"/>
  <c r="D151" i="8"/>
  <c r="AK150" i="8"/>
  <c r="F150" i="8"/>
  <c r="AP149" i="8"/>
  <c r="J149" i="8"/>
  <c r="AS148" i="8"/>
  <c r="O148" i="8"/>
  <c r="BD147" i="8"/>
  <c r="Y147" i="8"/>
  <c r="BO146" i="8"/>
  <c r="AO146" i="8"/>
  <c r="H146" i="8"/>
  <c r="AY145" i="8"/>
  <c r="X145" i="8"/>
  <c r="BG144" i="8"/>
  <c r="AH144" i="8"/>
  <c r="G144" i="8"/>
  <c r="AR143" i="8"/>
  <c r="R143" i="8"/>
  <c r="BH142" i="8"/>
  <c r="AB142" i="8"/>
  <c r="BP141" i="8"/>
  <c r="AR141" i="8"/>
  <c r="K141" i="8"/>
  <c r="BB140" i="8"/>
  <c r="AA140" i="8"/>
  <c r="BN139" i="8"/>
  <c r="AQ139" i="8"/>
  <c r="T139" i="8"/>
  <c r="BE138" i="8"/>
  <c r="AG138" i="8"/>
  <c r="K138" i="8"/>
  <c r="BA137" i="8"/>
  <c r="AG137" i="8"/>
  <c r="N137" i="8"/>
  <c r="BE136" i="8"/>
  <c r="AK136" i="8"/>
  <c r="R136" i="8"/>
  <c r="BI135" i="8"/>
  <c r="AP135" i="8"/>
  <c r="V135" i="8"/>
  <c r="D135" i="8"/>
  <c r="BC134" i="8"/>
  <c r="AN134" i="8"/>
  <c r="Y134" i="8"/>
  <c r="J134" i="8"/>
  <c r="BG133" i="8"/>
  <c r="AR133" i="8"/>
  <c r="AC133" i="8"/>
  <c r="M133" i="8"/>
  <c r="BM132" i="8"/>
  <c r="AV132" i="8"/>
  <c r="AH132" i="8"/>
  <c r="T132" i="8"/>
  <c r="F132" i="8"/>
  <c r="BG131" i="8"/>
  <c r="AQ131" i="8"/>
  <c r="AC131" i="8"/>
  <c r="O131" i="8"/>
  <c r="BP130" i="8"/>
  <c r="BB130" i="8"/>
  <c r="AL130" i="8"/>
  <c r="Y130" i="8"/>
  <c r="L130" i="8"/>
  <c r="BN129" i="8"/>
  <c r="BA129" i="8"/>
  <c r="AN129" i="8"/>
  <c r="AA129" i="8"/>
  <c r="N129" i="8"/>
  <c r="BP128" i="8"/>
  <c r="BB128" i="8"/>
  <c r="AO128" i="8"/>
  <c r="AB128" i="8"/>
  <c r="O128" i="8"/>
  <c r="BQ127" i="8"/>
  <c r="BD127" i="8"/>
  <c r="AQ127" i="8"/>
  <c r="AD127" i="8"/>
  <c r="Q127" i="8"/>
  <c r="D127" i="8"/>
  <c r="BF126" i="8"/>
  <c r="AR126" i="8"/>
  <c r="AE126" i="8"/>
  <c r="R126" i="8"/>
  <c r="E126" i="8"/>
  <c r="BG125" i="8"/>
  <c r="AT125" i="8"/>
  <c r="AG125" i="8"/>
  <c r="T125" i="8"/>
  <c r="G125" i="8"/>
  <c r="BI124" i="8"/>
  <c r="AV124" i="8"/>
  <c r="AH124" i="8"/>
  <c r="U124" i="8"/>
  <c r="H124" i="8"/>
  <c r="BJ123" i="8"/>
  <c r="AW123" i="8"/>
  <c r="AJ123" i="8"/>
  <c r="W123" i="8"/>
  <c r="J123" i="8"/>
  <c r="BL122" i="8"/>
  <c r="AY122" i="8"/>
  <c r="AL122" i="8"/>
  <c r="X122" i="8"/>
  <c r="K122" i="8"/>
  <c r="BM121" i="8"/>
  <c r="AZ121" i="8"/>
  <c r="AM121" i="8"/>
  <c r="Z121" i="8"/>
  <c r="M121" i="8"/>
  <c r="BO120" i="8"/>
  <c r="BB120" i="8"/>
  <c r="AO120" i="8"/>
  <c r="AB120" i="8"/>
  <c r="N120" i="8"/>
  <c r="BP119" i="8"/>
  <c r="BC119" i="8"/>
  <c r="AP119" i="8"/>
  <c r="AC119" i="8"/>
  <c r="P119" i="8"/>
  <c r="BE118" i="8"/>
  <c r="AR118" i="8"/>
  <c r="AE118" i="8"/>
  <c r="S118" i="8"/>
  <c r="G118" i="8"/>
  <c r="BJ117" i="8"/>
  <c r="AX117" i="8"/>
  <c r="AL117" i="8"/>
  <c r="Z117" i="8"/>
  <c r="N117" i="8"/>
  <c r="BQ116" i="8"/>
  <c r="BE116" i="8"/>
  <c r="AS116" i="8"/>
  <c r="AG116" i="8"/>
  <c r="U116" i="8"/>
  <c r="I116" i="8"/>
  <c r="BL115" i="8"/>
  <c r="AZ115" i="8"/>
  <c r="AN115" i="8"/>
  <c r="AB115" i="8"/>
  <c r="P115" i="8"/>
  <c r="D115" i="8"/>
  <c r="BG114" i="8"/>
  <c r="AU114" i="8"/>
  <c r="AI114" i="8"/>
  <c r="W114" i="8"/>
  <c r="K114" i="8"/>
  <c r="BN113" i="8"/>
  <c r="BB113" i="8"/>
  <c r="AP113" i="8"/>
  <c r="AD113" i="8"/>
  <c r="R113" i="8"/>
  <c r="F113" i="8"/>
  <c r="BI112" i="8"/>
  <c r="AW112" i="8"/>
  <c r="AK112" i="8"/>
  <c r="Y112" i="8"/>
  <c r="M112" i="8"/>
  <c r="BP111" i="8"/>
  <c r="BD111" i="8"/>
  <c r="AR111" i="8"/>
  <c r="AF111" i="8"/>
  <c r="T111" i="8"/>
  <c r="H111" i="8"/>
  <c r="BK110" i="8"/>
  <c r="AY110" i="8"/>
  <c r="AY152" i="8"/>
  <c r="N152" i="8"/>
  <c r="AR151" i="8"/>
  <c r="BQ150" i="8"/>
  <c r="AI150" i="8"/>
  <c r="AN149" i="8"/>
  <c r="I149" i="8"/>
  <c r="AR148" i="8"/>
  <c r="K148" i="8"/>
  <c r="AZ147" i="8"/>
  <c r="X147" i="8"/>
  <c r="BK146" i="8"/>
  <c r="AI146" i="8"/>
  <c r="G146" i="8"/>
  <c r="AX145" i="8"/>
  <c r="R145" i="8"/>
  <c r="BE144" i="8"/>
  <c r="AG144" i="8"/>
  <c r="BQ143" i="8"/>
  <c r="AQ143" i="8"/>
  <c r="P143" i="8"/>
  <c r="AZ142" i="8"/>
  <c r="AA142" i="8"/>
  <c r="BO141" i="8"/>
  <c r="AN141" i="8"/>
  <c r="J141" i="8"/>
  <c r="AX140" i="8"/>
  <c r="W140" i="8"/>
  <c r="BL139" i="8"/>
  <c r="AP139" i="8"/>
  <c r="M139" i="8"/>
  <c r="BC138" i="8"/>
  <c r="AF138" i="8"/>
  <c r="F138" i="8"/>
  <c r="AZ137" i="8"/>
  <c r="AF137" i="8"/>
  <c r="J137" i="8"/>
  <c r="BC136" i="8"/>
  <c r="AJ136" i="8"/>
  <c r="M136" i="8"/>
  <c r="BH135" i="8"/>
  <c r="AN135" i="8"/>
  <c r="R135" i="8"/>
  <c r="BB134" i="8"/>
  <c r="AM134" i="8"/>
  <c r="X134" i="8"/>
  <c r="F134" i="8"/>
  <c r="BF133" i="8"/>
  <c r="AQ133" i="8"/>
  <c r="AB133" i="8"/>
  <c r="L133" i="8"/>
  <c r="BJ132" i="8"/>
  <c r="AU132" i="8"/>
  <c r="AG132" i="8"/>
  <c r="S132" i="8"/>
  <c r="E132" i="8"/>
  <c r="BD131" i="8"/>
  <c r="AP131" i="8"/>
  <c r="AB131" i="8"/>
  <c r="N131" i="8"/>
  <c r="BO130" i="8"/>
  <c r="AY130" i="8"/>
  <c r="AK130" i="8"/>
  <c r="X130" i="8"/>
  <c r="K130" i="8"/>
  <c r="BM129" i="8"/>
  <c r="AZ129" i="8"/>
  <c r="AM129" i="8"/>
  <c r="Z129" i="8"/>
  <c r="M129" i="8"/>
  <c r="BN128" i="8"/>
  <c r="BA128" i="8"/>
  <c r="AN128" i="8"/>
  <c r="AA128" i="8"/>
  <c r="N128" i="8"/>
  <c r="BP127" i="8"/>
  <c r="BC127" i="8"/>
  <c r="AP127" i="8"/>
  <c r="AC127" i="8"/>
  <c r="P127" i="8"/>
  <c r="BD126" i="8"/>
  <c r="AQ126" i="8"/>
  <c r="AD126" i="8"/>
  <c r="Q126" i="8"/>
  <c r="D126" i="8"/>
  <c r="BF125" i="8"/>
  <c r="AS125" i="8"/>
  <c r="AF125" i="8"/>
  <c r="S125" i="8"/>
  <c r="F125" i="8"/>
  <c r="BH124" i="8"/>
  <c r="AT124" i="8"/>
  <c r="AG124" i="8"/>
  <c r="T124" i="8"/>
  <c r="G124" i="8"/>
  <c r="BI123" i="8"/>
  <c r="AV123" i="8"/>
  <c r="AI123" i="8"/>
  <c r="V123" i="8"/>
  <c r="I123" i="8"/>
  <c r="BK122" i="8"/>
  <c r="AX122" i="8"/>
  <c r="AJ122" i="8"/>
  <c r="W122" i="8"/>
  <c r="J122" i="8"/>
  <c r="BL121" i="8"/>
  <c r="AY121" i="8"/>
  <c r="AL121" i="8"/>
  <c r="Y121" i="8"/>
  <c r="L121" i="8"/>
  <c r="BN120" i="8"/>
  <c r="BA120" i="8"/>
  <c r="AN120" i="8"/>
  <c r="Z120" i="8"/>
  <c r="M120" i="8"/>
  <c r="BO119" i="8"/>
  <c r="BB119" i="8"/>
  <c r="AO119" i="8"/>
  <c r="AB119" i="8"/>
  <c r="O119" i="8"/>
  <c r="BQ118" i="8"/>
  <c r="BD118" i="8"/>
  <c r="AQ118" i="8"/>
  <c r="AD118" i="8"/>
  <c r="R118" i="8"/>
  <c r="F118" i="8"/>
  <c r="BI117" i="8"/>
  <c r="AW117" i="8"/>
  <c r="AK117" i="8"/>
  <c r="Y117" i="8"/>
  <c r="M117" i="8"/>
  <c r="BP116" i="8"/>
  <c r="BD116" i="8"/>
  <c r="AR116" i="8"/>
  <c r="AF116" i="8"/>
  <c r="T116" i="8"/>
  <c r="H116" i="8"/>
  <c r="BK115" i="8"/>
  <c r="AY115" i="8"/>
  <c r="AM115" i="8"/>
  <c r="AA115" i="8"/>
  <c r="O115" i="8"/>
  <c r="BF114" i="8"/>
  <c r="AT114" i="8"/>
  <c r="AH114" i="8"/>
  <c r="V114" i="8"/>
  <c r="J114" i="8"/>
  <c r="BM113" i="8"/>
  <c r="BA113" i="8"/>
  <c r="AO113" i="8"/>
  <c r="AC113" i="8"/>
  <c r="Q113" i="8"/>
  <c r="E113" i="8"/>
  <c r="BH112" i="8"/>
  <c r="AV112" i="8"/>
  <c r="AJ112" i="8"/>
  <c r="X112" i="8"/>
  <c r="L112" i="8"/>
  <c r="BO111" i="8"/>
  <c r="BC111" i="8"/>
  <c r="AQ111" i="8"/>
  <c r="AE111" i="8"/>
  <c r="AW152" i="8"/>
  <c r="M152" i="8"/>
  <c r="AK151" i="8"/>
  <c r="BP150" i="8"/>
  <c r="AF150" i="8"/>
  <c r="BP149" i="8"/>
  <c r="AI149" i="8"/>
  <c r="H149" i="8"/>
  <c r="AO148" i="8"/>
  <c r="J148" i="8"/>
  <c r="AV147" i="8"/>
  <c r="V147" i="8"/>
  <c r="BI146" i="8"/>
  <c r="AH146" i="8"/>
  <c r="F146" i="8"/>
  <c r="AV145" i="8"/>
  <c r="Q145" i="8"/>
  <c r="BD144" i="8"/>
  <c r="AF144" i="8"/>
  <c r="BP143" i="8"/>
  <c r="AN143" i="8"/>
  <c r="O143" i="8"/>
  <c r="AY142" i="8"/>
  <c r="Y142" i="8"/>
  <c r="BN141" i="8"/>
  <c r="AH141" i="8"/>
  <c r="I141" i="8"/>
  <c r="AW140" i="8"/>
  <c r="U140" i="8"/>
  <c r="BJ139" i="8"/>
  <c r="AL139" i="8"/>
  <c r="L139" i="8"/>
  <c r="BB138" i="8"/>
  <c r="AD138" i="8"/>
  <c r="E138" i="8"/>
  <c r="AX137" i="8"/>
  <c r="AD137" i="8"/>
  <c r="I137" i="8"/>
  <c r="BB136" i="8"/>
  <c r="AI136" i="8"/>
  <c r="L136" i="8"/>
  <c r="BG135" i="8"/>
  <c r="AL135" i="8"/>
  <c r="Q135" i="8"/>
  <c r="BQ134" i="8"/>
  <c r="BA134" i="8"/>
  <c r="AL134" i="8"/>
  <c r="W134" i="8"/>
  <c r="E134" i="8"/>
  <c r="BE133" i="8"/>
  <c r="AP133" i="8"/>
  <c r="Z133" i="8"/>
  <c r="K133" i="8"/>
  <c r="BI132" i="8"/>
  <c r="AK152" i="8"/>
  <c r="BJ151" i="8"/>
  <c r="Z151" i="8"/>
  <c r="BB150" i="8"/>
  <c r="Y150" i="8"/>
  <c r="BF149" i="8"/>
  <c r="AA149" i="8"/>
  <c r="BI148" i="8"/>
  <c r="AE148" i="8"/>
  <c r="BL147" i="8"/>
  <c r="AN147" i="8"/>
  <c r="M147" i="8"/>
  <c r="AY146" i="8"/>
  <c r="W146" i="8"/>
  <c r="BN145" i="8"/>
  <c r="AJ145" i="8"/>
  <c r="G145" i="8"/>
  <c r="AW144" i="8"/>
  <c r="S144" i="8"/>
  <c r="BJ143" i="8"/>
  <c r="AG143" i="8"/>
  <c r="BQ142" i="8"/>
  <c r="AS142" i="8"/>
  <c r="P142" i="8"/>
  <c r="BA141" i="8"/>
  <c r="AB141" i="8"/>
  <c r="BO140" i="8"/>
  <c r="AM140" i="8"/>
  <c r="M140" i="8"/>
  <c r="BE139" i="8"/>
  <c r="AB139" i="8"/>
  <c r="F139" i="8"/>
  <c r="AU138" i="8"/>
  <c r="S138" i="8"/>
  <c r="BL137" i="8"/>
  <c r="AS137" i="8"/>
  <c r="U137" i="8"/>
  <c r="BQ136" i="8"/>
  <c r="AW136" i="8"/>
  <c r="Y136" i="8"/>
  <c r="F136" i="8"/>
  <c r="BA135" i="8"/>
  <c r="AD135" i="8"/>
  <c r="L135" i="8"/>
  <c r="BL134" i="8"/>
  <c r="AW134" i="8"/>
  <c r="AE134" i="8"/>
  <c r="P134" i="8"/>
  <c r="BP133" i="8"/>
  <c r="BA133" i="8"/>
  <c r="AK133" i="8"/>
  <c r="T133" i="8"/>
  <c r="E133" i="8"/>
  <c r="BD132" i="8"/>
  <c r="AP132" i="8"/>
  <c r="AS152" i="8"/>
  <c r="BD151" i="8"/>
  <c r="BO150" i="8"/>
  <c r="O150" i="8"/>
  <c r="AF149" i="8"/>
  <c r="BE148" i="8"/>
  <c r="I148" i="8"/>
  <c r="AL147" i="8"/>
  <c r="BG146" i="8"/>
  <c r="U146" i="8"/>
  <c r="AQ145" i="8"/>
  <c r="D145" i="8"/>
  <c r="AE144" i="8"/>
  <c r="BC143" i="8"/>
  <c r="N143" i="8"/>
  <c r="AO142" i="8"/>
  <c r="BL141" i="8"/>
  <c r="X141" i="8"/>
  <c r="AV140" i="8"/>
  <c r="K140" i="8"/>
  <c r="AK139" i="8"/>
  <c r="BP138" i="8"/>
  <c r="AC138" i="8"/>
  <c r="BJ137" i="8"/>
  <c r="AC137" i="8"/>
  <c r="BN136" i="8"/>
  <c r="AH136" i="8"/>
  <c r="D136" i="8"/>
  <c r="AK135" i="8"/>
  <c r="J135" i="8"/>
  <c r="AZ134" i="8"/>
  <c r="AC134" i="8"/>
  <c r="D134" i="8"/>
  <c r="AX133" i="8"/>
  <c r="Y133" i="8"/>
  <c r="BQ132" i="8"/>
  <c r="AT132" i="8"/>
  <c r="AC132" i="8"/>
  <c r="K132" i="8"/>
  <c r="BJ131" i="8"/>
  <c r="AR131" i="8"/>
  <c r="Z131" i="8"/>
  <c r="H131" i="8"/>
  <c r="BG130" i="8"/>
  <c r="AQ130" i="8"/>
  <c r="Z130" i="8"/>
  <c r="I130" i="8"/>
  <c r="BI129" i="8"/>
  <c r="AS129" i="8"/>
  <c r="AD129" i="8"/>
  <c r="O129" i="8"/>
  <c r="BL128" i="8"/>
  <c r="AW128" i="8"/>
  <c r="AH128" i="8"/>
  <c r="R128" i="8"/>
  <c r="BA127" i="8"/>
  <c r="AK127" i="8"/>
  <c r="V127" i="8"/>
  <c r="G127" i="8"/>
  <c r="BG126" i="8"/>
  <c r="AO126" i="8"/>
  <c r="Z126" i="8"/>
  <c r="K126" i="8"/>
  <c r="BJ125" i="8"/>
  <c r="AU125" i="8"/>
  <c r="AD125" i="8"/>
  <c r="N125" i="8"/>
  <c r="BN124" i="8"/>
  <c r="AY124" i="8"/>
  <c r="AJ124" i="8"/>
  <c r="R124" i="8"/>
  <c r="BC123" i="8"/>
  <c r="AM123" i="8"/>
  <c r="X123" i="8"/>
  <c r="G123" i="8"/>
  <c r="BF122" i="8"/>
  <c r="AQ122" i="8"/>
  <c r="AB122" i="8"/>
  <c r="L122" i="8"/>
  <c r="BJ121" i="8"/>
  <c r="AU121" i="8"/>
  <c r="AE121" i="8"/>
  <c r="P121" i="8"/>
  <c r="BP120" i="8"/>
  <c r="AX120" i="8"/>
  <c r="AI120" i="8"/>
  <c r="T120" i="8"/>
  <c r="E120" i="8"/>
  <c r="BD119" i="8"/>
  <c r="AM119" i="8"/>
  <c r="X119" i="8"/>
  <c r="H119" i="8"/>
  <c r="BH118" i="8"/>
  <c r="AS118" i="8"/>
  <c r="AB118" i="8"/>
  <c r="N118" i="8"/>
  <c r="BO117" i="8"/>
  <c r="BA117" i="8"/>
  <c r="AM117" i="8"/>
  <c r="W117" i="8"/>
  <c r="I117" i="8"/>
  <c r="BJ116" i="8"/>
  <c r="AV116" i="8"/>
  <c r="AH116" i="8"/>
  <c r="R116" i="8"/>
  <c r="D116" i="8"/>
  <c r="BE115" i="8"/>
  <c r="AQ115" i="8"/>
  <c r="AC115" i="8"/>
  <c r="M115" i="8"/>
  <c r="BN114" i="8"/>
  <c r="AZ114" i="8"/>
  <c r="AL114" i="8"/>
  <c r="X114" i="8"/>
  <c r="H114" i="8"/>
  <c r="BI113" i="8"/>
  <c r="AU113" i="8"/>
  <c r="AG113" i="8"/>
  <c r="S113" i="8"/>
  <c r="BD112" i="8"/>
  <c r="AP112" i="8"/>
  <c r="AB112" i="8"/>
  <c r="N112" i="8"/>
  <c r="BM111" i="8"/>
  <c r="AY111" i="8"/>
  <c r="AK111" i="8"/>
  <c r="W111" i="8"/>
  <c r="J111" i="8"/>
  <c r="BL110" i="8"/>
  <c r="AX110" i="8"/>
  <c r="AL110" i="8"/>
  <c r="Z110" i="8"/>
  <c r="N110" i="8"/>
  <c r="BQ109" i="8"/>
  <c r="BE109" i="8"/>
  <c r="AS109" i="8"/>
  <c r="AG109" i="8"/>
  <c r="U109" i="8"/>
  <c r="I109" i="8"/>
  <c r="BL108" i="8"/>
  <c r="AZ108" i="8"/>
  <c r="AN108" i="8"/>
  <c r="AB108" i="8"/>
  <c r="P108" i="8"/>
  <c r="D108" i="8"/>
  <c r="BG107" i="8"/>
  <c r="AU107" i="8"/>
  <c r="AI107" i="8"/>
  <c r="W107" i="8"/>
  <c r="K107" i="8"/>
  <c r="BN106" i="8"/>
  <c r="BB106" i="8"/>
  <c r="AP106" i="8"/>
  <c r="AD106" i="8"/>
  <c r="R106" i="8"/>
  <c r="F106" i="8"/>
  <c r="BI105" i="8"/>
  <c r="AW105" i="8"/>
  <c r="AK105" i="8"/>
  <c r="Y105" i="8"/>
  <c r="M105" i="8"/>
  <c r="BP104" i="8"/>
  <c r="BD104" i="8"/>
  <c r="AR104" i="8"/>
  <c r="AF104" i="8"/>
  <c r="AO152" i="8"/>
  <c r="BC151" i="8"/>
  <c r="BJ150" i="8"/>
  <c r="N150" i="8"/>
  <c r="AD149" i="8"/>
  <c r="BC148" i="8"/>
  <c r="E148" i="8"/>
  <c r="AJ147" i="8"/>
  <c r="BD146" i="8"/>
  <c r="T146" i="8"/>
  <c r="AM145" i="8"/>
  <c r="W144" i="8"/>
  <c r="BB143" i="8"/>
  <c r="H143" i="8"/>
  <c r="AK142" i="8"/>
  <c r="BG141" i="8"/>
  <c r="W141" i="8"/>
  <c r="AP140" i="8"/>
  <c r="G140" i="8"/>
  <c r="AF139" i="8"/>
  <c r="BO138" i="8"/>
  <c r="Y138" i="8"/>
  <c r="BH137" i="8"/>
  <c r="Z137" i="8"/>
  <c r="BM136" i="8"/>
  <c r="AC136" i="8"/>
  <c r="BP135" i="8"/>
  <c r="AH135" i="8"/>
  <c r="I135" i="8"/>
  <c r="AY134" i="8"/>
  <c r="AB134" i="8"/>
  <c r="AU133" i="8"/>
  <c r="X133" i="8"/>
  <c r="BP132" i="8"/>
  <c r="AS132" i="8"/>
  <c r="AB132" i="8"/>
  <c r="J132" i="8"/>
  <c r="BI131" i="8"/>
  <c r="AO131" i="8"/>
  <c r="Y131" i="8"/>
  <c r="G131" i="8"/>
  <c r="BF130" i="8"/>
  <c r="AP130" i="8"/>
  <c r="W130" i="8"/>
  <c r="H130" i="8"/>
  <c r="BG129" i="8"/>
  <c r="AR129" i="8"/>
  <c r="AC129" i="8"/>
  <c r="K129" i="8"/>
  <c r="BK128" i="8"/>
  <c r="AV128" i="8"/>
  <c r="AG128" i="8"/>
  <c r="Q128" i="8"/>
  <c r="BO127" i="8"/>
  <c r="AZ127" i="8"/>
  <c r="AJ127" i="8"/>
  <c r="U127" i="8"/>
  <c r="F127" i="8"/>
  <c r="BC126" i="8"/>
  <c r="AN126" i="8"/>
  <c r="Y126" i="8"/>
  <c r="J126" i="8"/>
  <c r="BI125" i="8"/>
  <c r="AR125" i="8"/>
  <c r="AC125" i="8"/>
  <c r="M125" i="8"/>
  <c r="BM124" i="8"/>
  <c r="AX124" i="8"/>
  <c r="AF124" i="8"/>
  <c r="Q124" i="8"/>
  <c r="BQ123" i="8"/>
  <c r="BA123" i="8"/>
  <c r="AL123" i="8"/>
  <c r="U123" i="8"/>
  <c r="E123" i="8"/>
  <c r="BE122" i="8"/>
  <c r="AP122" i="8"/>
  <c r="AA122" i="8"/>
  <c r="I122" i="8"/>
  <c r="BI121" i="8"/>
  <c r="AT121" i="8"/>
  <c r="AD121" i="8"/>
  <c r="O121" i="8"/>
  <c r="BM120" i="8"/>
  <c r="AW120" i="8"/>
  <c r="AH120" i="8"/>
  <c r="S120" i="8"/>
  <c r="D120" i="8"/>
  <c r="BA119" i="8"/>
  <c r="AL119" i="8"/>
  <c r="W119" i="8"/>
  <c r="G119" i="8"/>
  <c r="BG118" i="8"/>
  <c r="AP118" i="8"/>
  <c r="AA118" i="8"/>
  <c r="M118" i="8"/>
  <c r="BN117" i="8"/>
  <c r="AZ117" i="8"/>
  <c r="AJ117" i="8"/>
  <c r="V117" i="8"/>
  <c r="H117" i="8"/>
  <c r="BI116" i="8"/>
  <c r="AU116" i="8"/>
  <c r="AE116" i="8"/>
  <c r="Q116" i="8"/>
  <c r="BD115" i="8"/>
  <c r="AP115" i="8"/>
  <c r="Z115" i="8"/>
  <c r="L115" i="8"/>
  <c r="BM114" i="8"/>
  <c r="AY114" i="8"/>
  <c r="AK114" i="8"/>
  <c r="U114" i="8"/>
  <c r="G114" i="8"/>
  <c r="BH113" i="8"/>
  <c r="AT113" i="8"/>
  <c r="AF113" i="8"/>
  <c r="P113" i="8"/>
  <c r="BQ112" i="8"/>
  <c r="BC112" i="8"/>
  <c r="AO112" i="8"/>
  <c r="AA112" i="8"/>
  <c r="K112" i="8"/>
  <c r="BL111" i="8"/>
  <c r="AX111" i="8"/>
  <c r="AJ111" i="8"/>
  <c r="V111" i="8"/>
  <c r="I111" i="8"/>
  <c r="BJ110" i="8"/>
  <c r="AW110" i="8"/>
  <c r="AK110" i="8"/>
  <c r="Y110" i="8"/>
  <c r="M110" i="8"/>
  <c r="BP109" i="8"/>
  <c r="BD109" i="8"/>
  <c r="AR109" i="8"/>
  <c r="AF109" i="8"/>
  <c r="T109" i="8"/>
  <c r="H109" i="8"/>
  <c r="BK108" i="8"/>
  <c r="AY108" i="8"/>
  <c r="AM108" i="8"/>
  <c r="AA108" i="8"/>
  <c r="O108" i="8"/>
  <c r="BF107" i="8"/>
  <c r="AT107" i="8"/>
  <c r="AH107" i="8"/>
  <c r="V107" i="8"/>
  <c r="J107" i="8"/>
  <c r="BM106" i="8"/>
  <c r="BA106" i="8"/>
  <c r="AO106" i="8"/>
  <c r="AC106" i="8"/>
  <c r="Q106" i="8"/>
  <c r="E106" i="8"/>
  <c r="BH105" i="8"/>
  <c r="AV105" i="8"/>
  <c r="AJ105" i="8"/>
  <c r="X105" i="8"/>
  <c r="L105" i="8"/>
  <c r="BO104" i="8"/>
  <c r="BC104" i="8"/>
  <c r="AQ104" i="8"/>
  <c r="AE104" i="8"/>
  <c r="S104" i="8"/>
  <c r="G104" i="8"/>
  <c r="AM152" i="8"/>
  <c r="AZ151" i="8"/>
  <c r="BI150" i="8"/>
  <c r="K150" i="8"/>
  <c r="AB149" i="8"/>
  <c r="BB148" i="8"/>
  <c r="D148" i="8"/>
  <c r="AB147" i="8"/>
  <c r="BC146" i="8"/>
  <c r="O146" i="8"/>
  <c r="AL145" i="8"/>
  <c r="BO144" i="8"/>
  <c r="U144" i="8"/>
  <c r="AX143" i="8"/>
  <c r="E143" i="8"/>
  <c r="AG142" i="8"/>
  <c r="BF141" i="8"/>
  <c r="Q141" i="8"/>
  <c r="AO140" i="8"/>
  <c r="D140" i="8"/>
  <c r="AE139" i="8"/>
  <c r="BJ138" i="8"/>
  <c r="W138" i="8"/>
  <c r="BE137" i="8"/>
  <c r="X137" i="8"/>
  <c r="BI136" i="8"/>
  <c r="AB136" i="8"/>
  <c r="BM135" i="8"/>
  <c r="AF135" i="8"/>
  <c r="H135" i="8"/>
  <c r="AX134" i="8"/>
  <c r="AA134" i="8"/>
  <c r="BQ133" i="8"/>
  <c r="AT133" i="8"/>
  <c r="U133" i="8"/>
  <c r="BO132" i="8"/>
  <c r="AR132" i="8"/>
  <c r="Y132" i="8"/>
  <c r="I132" i="8"/>
  <c r="BH131" i="8"/>
  <c r="AN131" i="8"/>
  <c r="X131" i="8"/>
  <c r="F131" i="8"/>
  <c r="BE130" i="8"/>
  <c r="AM130" i="8"/>
  <c r="V130" i="8"/>
  <c r="G130" i="8"/>
  <c r="BF129" i="8"/>
  <c r="AQ129" i="8"/>
  <c r="AB129" i="8"/>
  <c r="J129" i="8"/>
  <c r="BJ128" i="8"/>
  <c r="AU128" i="8"/>
  <c r="AF128" i="8"/>
  <c r="P128" i="8"/>
  <c r="BN127" i="8"/>
  <c r="AY127" i="8"/>
  <c r="AI127" i="8"/>
  <c r="T127" i="8"/>
  <c r="E127" i="8"/>
  <c r="BB126" i="8"/>
  <c r="AM126" i="8"/>
  <c r="X126" i="8"/>
  <c r="H126" i="8"/>
  <c r="BH125" i="8"/>
  <c r="AQ125" i="8"/>
  <c r="AA125" i="8"/>
  <c r="L125" i="8"/>
  <c r="BL124" i="8"/>
  <c r="AW124" i="8"/>
  <c r="AE124" i="8"/>
  <c r="P124" i="8"/>
  <c r="BP123" i="8"/>
  <c r="AZ123" i="8"/>
  <c r="AK123" i="8"/>
  <c r="T123" i="8"/>
  <c r="D123" i="8"/>
  <c r="BD122" i="8"/>
  <c r="AO122" i="8"/>
  <c r="Z122" i="8"/>
  <c r="H122" i="8"/>
  <c r="BH121" i="8"/>
  <c r="AS121" i="8"/>
  <c r="AC121" i="8"/>
  <c r="N121" i="8"/>
  <c r="BL120" i="8"/>
  <c r="AV120" i="8"/>
  <c r="AG120" i="8"/>
  <c r="R120" i="8"/>
  <c r="BQ119" i="8"/>
  <c r="AZ119" i="8"/>
  <c r="AK119" i="8"/>
  <c r="U119" i="8"/>
  <c r="F119" i="8"/>
  <c r="BF118" i="8"/>
  <c r="AN118" i="8"/>
  <c r="Z118" i="8"/>
  <c r="L118" i="8"/>
  <c r="BM117" i="8"/>
  <c r="AY117" i="8"/>
  <c r="AI117" i="8"/>
  <c r="U117" i="8"/>
  <c r="AI152" i="8"/>
  <c r="AC152" i="8"/>
  <c r="AF151" i="8"/>
  <c r="AX150" i="8"/>
  <c r="BN149" i="8"/>
  <c r="V149" i="8"/>
  <c r="AM148" i="8"/>
  <c r="BJ147" i="8"/>
  <c r="T147" i="8"/>
  <c r="AS146" i="8"/>
  <c r="E146" i="8"/>
  <c r="AE145" i="8"/>
  <c r="BC144" i="8"/>
  <c r="O144" i="8"/>
  <c r="AL143" i="8"/>
  <c r="BM142" i="8"/>
  <c r="X142" i="8"/>
  <c r="AV141" i="8"/>
  <c r="H141" i="8"/>
  <c r="AG140" i="8"/>
  <c r="BH139" i="8"/>
  <c r="X139" i="8"/>
  <c r="BA138" i="8"/>
  <c r="Q138" i="8"/>
  <c r="AV137" i="8"/>
  <c r="R137" i="8"/>
  <c r="W152" i="8"/>
  <c r="AD151" i="8"/>
  <c r="AS150" i="8"/>
  <c r="BH149" i="8"/>
  <c r="N149" i="8"/>
  <c r="AF148" i="8"/>
  <c r="BH147" i="8"/>
  <c r="Q147" i="8"/>
  <c r="AQ146" i="8"/>
  <c r="BO145" i="8"/>
  <c r="Z145" i="8"/>
  <c r="AY144" i="8"/>
  <c r="L144" i="8"/>
  <c r="AH143" i="8"/>
  <c r="BK142" i="8"/>
  <c r="Q142" i="8"/>
  <c r="AT141" i="8"/>
  <c r="E141" i="8"/>
  <c r="AC140" i="8"/>
  <c r="BF139" i="8"/>
  <c r="V139" i="8"/>
  <c r="AY138" i="8"/>
  <c r="M138" i="8"/>
  <c r="AT137" i="8"/>
  <c r="P137" i="8"/>
  <c r="AY136" i="8"/>
  <c r="U136" i="8"/>
  <c r="BB135" i="8"/>
  <c r="X135" i="8"/>
  <c r="BM134" i="8"/>
  <c r="AP134" i="8"/>
  <c r="Q134" i="8"/>
  <c r="BL133" i="8"/>
  <c r="AL133" i="8"/>
  <c r="P133" i="8"/>
  <c r="BE132" i="8"/>
  <c r="AK132" i="8"/>
  <c r="U132" i="8"/>
  <c r="BP131" i="8"/>
  <c r="AZ131" i="8"/>
  <c r="AJ131" i="8"/>
  <c r="R131" i="8"/>
  <c r="BQ130" i="8"/>
  <c r="AW130" i="8"/>
  <c r="AG130" i="8"/>
  <c r="R130" i="8"/>
  <c r="BQ129" i="8"/>
  <c r="BB129" i="8"/>
  <c r="AK129" i="8"/>
  <c r="U129" i="8"/>
  <c r="F129" i="8"/>
  <c r="BF128" i="8"/>
  <c r="AP128" i="8"/>
  <c r="Y128" i="8"/>
  <c r="J128" i="8"/>
  <c r="BI127" i="8"/>
  <c r="AT127" i="8"/>
  <c r="AE127" i="8"/>
  <c r="M127" i="8"/>
  <c r="BM126" i="8"/>
  <c r="AX126" i="8"/>
  <c r="AI126" i="8"/>
  <c r="S126" i="8"/>
  <c r="BQ125" i="8"/>
  <c r="BB125" i="8"/>
  <c r="AL125" i="8"/>
  <c r="W125" i="8"/>
  <c r="H125" i="8"/>
  <c r="BE124" i="8"/>
  <c r="AP124" i="8"/>
  <c r="AA124" i="8"/>
  <c r="L124" i="8"/>
  <c r="BK123" i="8"/>
  <c r="AT123" i="8"/>
  <c r="AE123" i="8"/>
  <c r="O123" i="8"/>
  <c r="BO122" i="8"/>
  <c r="AZ122" i="8"/>
  <c r="AH122" i="8"/>
  <c r="S122" i="8"/>
  <c r="D122" i="8"/>
  <c r="BC121" i="8"/>
  <c r="AN121" i="8"/>
  <c r="W121" i="8"/>
  <c r="G121" i="8"/>
  <c r="BG120" i="8"/>
  <c r="AR120" i="8"/>
  <c r="AC120" i="8"/>
  <c r="K120" i="8"/>
  <c r="BK119" i="8"/>
  <c r="AV119" i="8"/>
  <c r="AF119" i="8"/>
  <c r="Q119" i="8"/>
  <c r="BO118" i="8"/>
  <c r="AY118" i="8"/>
  <c r="AJ118" i="8"/>
  <c r="V118" i="8"/>
  <c r="H118" i="8"/>
  <c r="BG117" i="8"/>
  <c r="AS117" i="8"/>
  <c r="AE117" i="8"/>
  <c r="Q117" i="8"/>
  <c r="BB116" i="8"/>
  <c r="AN116" i="8"/>
  <c r="Z116" i="8"/>
  <c r="L116" i="8"/>
  <c r="BM115" i="8"/>
  <c r="AW115" i="8"/>
  <c r="AI115" i="8"/>
  <c r="U115" i="8"/>
  <c r="G115" i="8"/>
  <c r="BH114" i="8"/>
  <c r="AR114" i="8"/>
  <c r="AD114" i="8"/>
  <c r="P152" i="8"/>
  <c r="Y151" i="8"/>
  <c r="AQ150" i="8"/>
  <c r="AY149" i="8"/>
  <c r="L149" i="8"/>
  <c r="AD148" i="8"/>
  <c r="BF147" i="8"/>
  <c r="J147" i="8"/>
  <c r="AP146" i="8"/>
  <c r="BH145" i="8"/>
  <c r="Y145" i="8"/>
  <c r="AT144" i="8"/>
  <c r="K144" i="8"/>
  <c r="AC143" i="8"/>
  <c r="BI142" i="8"/>
  <c r="M142" i="8"/>
  <c r="AS141" i="8"/>
  <c r="BK140" i="8"/>
  <c r="AB140" i="8"/>
  <c r="AZ139" i="8"/>
  <c r="U139" i="8"/>
  <c r="AQ138" i="8"/>
  <c r="L138" i="8"/>
  <c r="AO137" i="8"/>
  <c r="O137" i="8"/>
  <c r="AS136" i="8"/>
  <c r="S136" i="8"/>
  <c r="AW135" i="8"/>
  <c r="W135" i="8"/>
  <c r="BK134" i="8"/>
  <c r="AO134" i="8"/>
  <c r="O134" i="8"/>
  <c r="BH133" i="8"/>
  <c r="AH133" i="8"/>
  <c r="N133" i="8"/>
  <c r="BC132" i="8"/>
  <c r="AJ132" i="8"/>
  <c r="R132" i="8"/>
  <c r="BO131" i="8"/>
  <c r="AY131" i="8"/>
  <c r="AI131" i="8"/>
  <c r="Q131" i="8"/>
  <c r="BN130" i="8"/>
  <c r="AV130" i="8"/>
  <c r="AF130" i="8"/>
  <c r="P130" i="8"/>
  <c r="BP129" i="8"/>
  <c r="AY129" i="8"/>
  <c r="AI129" i="8"/>
  <c r="T129" i="8"/>
  <c r="E129" i="8"/>
  <c r="BE128" i="8"/>
  <c r="AM128" i="8"/>
  <c r="X128" i="8"/>
  <c r="I128" i="8"/>
  <c r="BH127" i="8"/>
  <c r="AS127" i="8"/>
  <c r="AB127" i="8"/>
  <c r="L127" i="8"/>
  <c r="BL126" i="8"/>
  <c r="BQ151" i="8"/>
  <c r="N151" i="8"/>
  <c r="AA150" i="8"/>
  <c r="AW149" i="8"/>
  <c r="BN148" i="8"/>
  <c r="W148" i="8"/>
  <c r="AP147" i="8"/>
  <c r="D147" i="8"/>
  <c r="AA146" i="8"/>
  <c r="BB145" i="8"/>
  <c r="N145" i="8"/>
  <c r="AL144" i="8"/>
  <c r="BL143" i="8"/>
  <c r="U143" i="8"/>
  <c r="AU142" i="8"/>
  <c r="I142" i="8"/>
  <c r="AE141" i="8"/>
  <c r="BG140" i="8"/>
  <c r="O140" i="8"/>
  <c r="AT139" i="8"/>
  <c r="H139" i="8"/>
  <c r="AM138" i="8"/>
  <c r="BQ137" i="8"/>
  <c r="AL137" i="8"/>
  <c r="D137" i="8"/>
  <c r="AO136" i="8"/>
  <c r="I136" i="8"/>
  <c r="AT135" i="8"/>
  <c r="O135" i="8"/>
  <c r="BG134" i="8"/>
  <c r="AJ134" i="8"/>
  <c r="M134" i="8"/>
  <c r="BC133" i="8"/>
  <c r="AF133" i="8"/>
  <c r="G133" i="8"/>
  <c r="BA132" i="8"/>
  <c r="AF132" i="8"/>
  <c r="P132" i="8"/>
  <c r="BM131" i="8"/>
  <c r="AW131" i="8"/>
  <c r="AE131" i="8"/>
  <c r="M131" i="8"/>
  <c r="BJ130" i="8"/>
  <c r="AT130" i="8"/>
  <c r="AD130" i="8"/>
  <c r="N130" i="8"/>
  <c r="BL129" i="8"/>
  <c r="AW129" i="8"/>
  <c r="AG129" i="8"/>
  <c r="R129" i="8"/>
  <c r="AZ128" i="8"/>
  <c r="AK128" i="8"/>
  <c r="V128" i="8"/>
  <c r="F128" i="8"/>
  <c r="BF127" i="8"/>
  <c r="AO127" i="8"/>
  <c r="Y127" i="8"/>
  <c r="J127" i="8"/>
  <c r="AB152" i="8"/>
  <c r="Z150" i="8"/>
  <c r="AY148" i="8"/>
  <c r="F147" i="8"/>
  <c r="AZ145" i="8"/>
  <c r="M144" i="8"/>
  <c r="AT142" i="8"/>
  <c r="P141" i="8"/>
  <c r="AW139" i="8"/>
  <c r="AK138" i="8"/>
  <c r="Q137" i="8"/>
  <c r="V136" i="8"/>
  <c r="Y135" i="8"/>
  <c r="AQ134" i="8"/>
  <c r="BM133" i="8"/>
  <c r="Q133" i="8"/>
  <c r="AN132" i="8"/>
  <c r="D132" i="8"/>
  <c r="AK131" i="8"/>
  <c r="AH130" i="8"/>
  <c r="AL129" i="8"/>
  <c r="G129" i="8"/>
  <c r="AR128" i="8"/>
  <c r="K128" i="8"/>
  <c r="AU127" i="8"/>
  <c r="O127" i="8"/>
  <c r="AZ126" i="8"/>
  <c r="AC126" i="8"/>
  <c r="F126" i="8"/>
  <c r="AX125" i="8"/>
  <c r="Y125" i="8"/>
  <c r="BQ124" i="8"/>
  <c r="AR124" i="8"/>
  <c r="X124" i="8"/>
  <c r="BM123" i="8"/>
  <c r="AQ123" i="8"/>
  <c r="Q123" i="8"/>
  <c r="BJ122" i="8"/>
  <c r="AM122" i="8"/>
  <c r="P122" i="8"/>
  <c r="BF121" i="8"/>
  <c r="AI121" i="8"/>
  <c r="J121" i="8"/>
  <c r="BD120" i="8"/>
  <c r="AE120" i="8"/>
  <c r="H120" i="8"/>
  <c r="AX119" i="8"/>
  <c r="AA119" i="8"/>
  <c r="D119" i="8"/>
  <c r="AV118" i="8"/>
  <c r="X118" i="8"/>
  <c r="AU117" i="8"/>
  <c r="AB117" i="8"/>
  <c r="F117" i="8"/>
  <c r="BA116" i="8"/>
  <c r="AJ116" i="8"/>
  <c r="O116" i="8"/>
  <c r="BJ115" i="8"/>
  <c r="AS115" i="8"/>
  <c r="X115" i="8"/>
  <c r="F115" i="8"/>
  <c r="BB114" i="8"/>
  <c r="AG114" i="8"/>
  <c r="P114" i="8"/>
  <c r="BO113" i="8"/>
  <c r="AW113" i="8"/>
  <c r="AE113" i="8"/>
  <c r="M113" i="8"/>
  <c r="BL112" i="8"/>
  <c r="AT112" i="8"/>
  <c r="AD112" i="8"/>
  <c r="J112" i="8"/>
  <c r="BI111" i="8"/>
  <c r="AS111" i="8"/>
  <c r="AA111" i="8"/>
  <c r="L111" i="8"/>
  <c r="BI110" i="8"/>
  <c r="AT110" i="8"/>
  <c r="AF110" i="8"/>
  <c r="R110" i="8"/>
  <c r="D110" i="8"/>
  <c r="BC109" i="8"/>
  <c r="AO109" i="8"/>
  <c r="AA109" i="8"/>
  <c r="M109" i="8"/>
  <c r="BN108" i="8"/>
  <c r="AX108" i="8"/>
  <c r="AJ108" i="8"/>
  <c r="V108" i="8"/>
  <c r="H108" i="8"/>
  <c r="BI107" i="8"/>
  <c r="AS107" i="8"/>
  <c r="AE107" i="8"/>
  <c r="Q107" i="8"/>
  <c r="BD106" i="8"/>
  <c r="AN106" i="8"/>
  <c r="Z106" i="8"/>
  <c r="L106" i="8"/>
  <c r="BM105" i="8"/>
  <c r="AY105" i="8"/>
  <c r="AI105" i="8"/>
  <c r="U105" i="8"/>
  <c r="G105" i="8"/>
  <c r="BH104" i="8"/>
  <c r="K152" i="8"/>
  <c r="S150" i="8"/>
  <c r="AK148" i="8"/>
  <c r="AF145" i="8"/>
  <c r="BM143" i="8"/>
  <c r="AQ142" i="8"/>
  <c r="F141" i="8"/>
  <c r="AS139" i="8"/>
  <c r="R138" i="8"/>
  <c r="E137" i="8"/>
  <c r="J136" i="8"/>
  <c r="P135" i="8"/>
  <c r="AK134" i="8"/>
  <c r="BD133" i="8"/>
  <c r="H133" i="8"/>
  <c r="AI132" i="8"/>
  <c r="BN131" i="8"/>
  <c r="AF131" i="8"/>
  <c r="BK130" i="8"/>
  <c r="AE130" i="8"/>
  <c r="BO129" i="8"/>
  <c r="AH129" i="8"/>
  <c r="D129" i="8"/>
  <c r="AL128" i="8"/>
  <c r="H128" i="8"/>
  <c r="AR127" i="8"/>
  <c r="K127" i="8"/>
  <c r="AY126" i="8"/>
  <c r="AB126" i="8"/>
  <c r="AW125" i="8"/>
  <c r="X125" i="8"/>
  <c r="BP124" i="8"/>
  <c r="AQ124" i="8"/>
  <c r="V124" i="8"/>
  <c r="BL123" i="8"/>
  <c r="AO123" i="8"/>
  <c r="P123" i="8"/>
  <c r="BH122" i="8"/>
  <c r="AI122" i="8"/>
  <c r="O122" i="8"/>
  <c r="BE121" i="8"/>
  <c r="AH121" i="8"/>
  <c r="I121" i="8"/>
  <c r="BC120" i="8"/>
  <c r="AD120" i="8"/>
  <c r="G120" i="8"/>
  <c r="AW119" i="8"/>
  <c r="Z119" i="8"/>
  <c r="BP118" i="8"/>
  <c r="AU118" i="8"/>
  <c r="W118" i="8"/>
  <c r="BQ117" i="8"/>
  <c r="AT117" i="8"/>
  <c r="AA117" i="8"/>
  <c r="E117" i="8"/>
  <c r="AZ116" i="8"/>
  <c r="AI116" i="8"/>
  <c r="N116" i="8"/>
  <c r="BI115" i="8"/>
  <c r="AR115" i="8"/>
  <c r="W115" i="8"/>
  <c r="E115" i="8"/>
  <c r="BA114" i="8"/>
  <c r="AF114" i="8"/>
  <c r="O114" i="8"/>
  <c r="BL113" i="8"/>
  <c r="AV113" i="8"/>
  <c r="AB113" i="8"/>
  <c r="L113" i="8"/>
  <c r="BK112" i="8"/>
  <c r="AS112" i="8"/>
  <c r="AC112" i="8"/>
  <c r="I112" i="8"/>
  <c r="BH111" i="8"/>
  <c r="AP111" i="8"/>
  <c r="Z111" i="8"/>
  <c r="K111" i="8"/>
  <c r="BH110" i="8"/>
  <c r="AS110" i="8"/>
  <c r="AE110" i="8"/>
  <c r="Q110" i="8"/>
  <c r="BB109" i="8"/>
  <c r="AN109" i="8"/>
  <c r="Z109" i="8"/>
  <c r="L109" i="8"/>
  <c r="BM108" i="8"/>
  <c r="AW108" i="8"/>
  <c r="AI108" i="8"/>
  <c r="U108" i="8"/>
  <c r="G108" i="8"/>
  <c r="BH107" i="8"/>
  <c r="AR107" i="8"/>
  <c r="AD107" i="8"/>
  <c r="P107" i="8"/>
  <c r="BQ106" i="8"/>
  <c r="BC106" i="8"/>
  <c r="AM106" i="8"/>
  <c r="Y106" i="8"/>
  <c r="K106" i="8"/>
  <c r="BL105" i="8"/>
  <c r="AX105" i="8"/>
  <c r="AH105" i="8"/>
  <c r="BO151" i="8"/>
  <c r="G150" i="8"/>
  <c r="Y148" i="8"/>
  <c r="BQ146" i="8"/>
  <c r="AD145" i="8"/>
  <c r="BK143" i="8"/>
  <c r="AE142" i="8"/>
  <c r="BJ140" i="8"/>
  <c r="AR139" i="8"/>
  <c r="P138" i="8"/>
  <c r="G136" i="8"/>
  <c r="N135" i="8"/>
  <c r="AG134" i="8"/>
  <c r="BB133" i="8"/>
  <c r="F133" i="8"/>
  <c r="AE132" i="8"/>
  <c r="BL131" i="8"/>
  <c r="AD131" i="8"/>
  <c r="BI130" i="8"/>
  <c r="AB130" i="8"/>
  <c r="BK129" i="8"/>
  <c r="AF129" i="8"/>
  <c r="BQ128" i="8"/>
  <c r="AJ128" i="8"/>
  <c r="E128" i="8"/>
  <c r="AN127" i="8"/>
  <c r="I127" i="8"/>
  <c r="AW126" i="8"/>
  <c r="AA126" i="8"/>
  <c r="BP125" i="8"/>
  <c r="AV125" i="8"/>
  <c r="V125" i="8"/>
  <c r="BO124" i="8"/>
  <c r="AO124" i="8"/>
  <c r="S124" i="8"/>
  <c r="BH123" i="8"/>
  <c r="AN123" i="8"/>
  <c r="N123" i="8"/>
  <c r="BG122" i="8"/>
  <c r="AG122" i="8"/>
  <c r="N122" i="8"/>
  <c r="BB121" i="8"/>
  <c r="AG121" i="8"/>
  <c r="F121" i="8"/>
  <c r="AZ120" i="8"/>
  <c r="Y120" i="8"/>
  <c r="F120" i="8"/>
  <c r="AU119" i="8"/>
  <c r="Y119" i="8"/>
  <c r="BN118" i="8"/>
  <c r="AT118" i="8"/>
  <c r="U118" i="8"/>
  <c r="BP117" i="8"/>
  <c r="AR117" i="8"/>
  <c r="X117" i="8"/>
  <c r="D117" i="8"/>
  <c r="AY116" i="8"/>
  <c r="AD116" i="8"/>
  <c r="M116" i="8"/>
  <c r="BH115" i="8"/>
  <c r="AO115" i="8"/>
  <c r="V115" i="8"/>
  <c r="BQ114" i="8"/>
  <c r="AX114" i="8"/>
  <c r="AE114" i="8"/>
  <c r="N114" i="8"/>
  <c r="BK113" i="8"/>
  <c r="AS113" i="8"/>
  <c r="AA113" i="8"/>
  <c r="K113" i="8"/>
  <c r="BJ112" i="8"/>
  <c r="AR112" i="8"/>
  <c r="Z112" i="8"/>
  <c r="H112" i="8"/>
  <c r="BG111" i="8"/>
  <c r="AO111" i="8"/>
  <c r="Y111" i="8"/>
  <c r="G111" i="8"/>
  <c r="BG110" i="8"/>
  <c r="AR110" i="8"/>
  <c r="AD110" i="8"/>
  <c r="P110" i="8"/>
  <c r="BO109" i="8"/>
  <c r="BA109" i="8"/>
  <c r="AM109" i="8"/>
  <c r="Y109" i="8"/>
  <c r="K109" i="8"/>
  <c r="BJ108" i="8"/>
  <c r="AV108" i="8"/>
  <c r="AH108" i="8"/>
  <c r="T108" i="8"/>
  <c r="F108" i="8"/>
  <c r="BE107" i="8"/>
  <c r="AQ107" i="8"/>
  <c r="AC107" i="8"/>
  <c r="O107" i="8"/>
  <c r="BP106" i="8"/>
  <c r="AZ106" i="8"/>
  <c r="AL106" i="8"/>
  <c r="X106" i="8"/>
  <c r="J106" i="8"/>
  <c r="BK105" i="8"/>
  <c r="AU105" i="8"/>
  <c r="AG105" i="8"/>
  <c r="AV151" i="8"/>
  <c r="AX149" i="8"/>
  <c r="P148" i="8"/>
  <c r="AR146" i="8"/>
  <c r="H145" i="8"/>
  <c r="AV143" i="8"/>
  <c r="K142" i="8"/>
  <c r="BC140" i="8"/>
  <c r="W139" i="8"/>
  <c r="BO137" i="8"/>
  <c r="BG136" i="8"/>
  <c r="BL135" i="8"/>
  <c r="E135" i="8"/>
  <c r="Z134" i="8"/>
  <c r="AS133" i="8"/>
  <c r="BN132" i="8"/>
  <c r="X132" i="8"/>
  <c r="BC131" i="8"/>
  <c r="W131" i="8"/>
  <c r="BD130" i="8"/>
  <c r="U130" i="8"/>
  <c r="BE129" i="8"/>
  <c r="Y129" i="8"/>
  <c r="BI128" i="8"/>
  <c r="AD128" i="8"/>
  <c r="BM127" i="8"/>
  <c r="AH127" i="8"/>
  <c r="BP126" i="8"/>
  <c r="AU126" i="8"/>
  <c r="V126" i="8"/>
  <c r="BN125" i="8"/>
  <c r="AO125" i="8"/>
  <c r="R125" i="8"/>
  <c r="BJ124" i="8"/>
  <c r="AM124" i="8"/>
  <c r="N124" i="8"/>
  <c r="BF123" i="8"/>
  <c r="AG123" i="8"/>
  <c r="L123" i="8"/>
  <c r="BB122" i="8"/>
  <c r="AE122" i="8"/>
  <c r="F122" i="8"/>
  <c r="AX121" i="8"/>
  <c r="AA121" i="8"/>
  <c r="D121" i="8"/>
  <c r="AT120" i="8"/>
  <c r="W120" i="8"/>
  <c r="BM119" i="8"/>
  <c r="AR119" i="8"/>
  <c r="S119" i="8"/>
  <c r="BK118" i="8"/>
  <c r="AL118" i="8"/>
  <c r="Q118" i="8"/>
  <c r="BK117" i="8"/>
  <c r="AP117" i="8"/>
  <c r="S117" i="8"/>
  <c r="BN116" i="8"/>
  <c r="AW116" i="8"/>
  <c r="AB116" i="8"/>
  <c r="J116" i="8"/>
  <c r="BF115" i="8"/>
  <c r="AK115" i="8"/>
  <c r="S115" i="8"/>
  <c r="BO114" i="8"/>
  <c r="AV114" i="8"/>
  <c r="AB114" i="8"/>
  <c r="L114" i="8"/>
  <c r="BG113" i="8"/>
  <c r="AQ113" i="8"/>
  <c r="Y113" i="8"/>
  <c r="I113" i="8"/>
  <c r="BF112" i="8"/>
  <c r="AN112" i="8"/>
  <c r="V112" i="8"/>
  <c r="F112" i="8"/>
  <c r="BE111" i="8"/>
  <c r="AM111" i="8"/>
  <c r="U111" i="8"/>
  <c r="E111" i="8"/>
  <c r="BE110" i="8"/>
  <c r="AP110" i="8"/>
  <c r="AB110" i="8"/>
  <c r="L110" i="8"/>
  <c r="BM109" i="8"/>
  <c r="AY109" i="8"/>
  <c r="AE151" i="8"/>
  <c r="AV149" i="8"/>
  <c r="BK147" i="8"/>
  <c r="AC146" i="8"/>
  <c r="F145" i="8"/>
  <c r="AJ143" i="8"/>
  <c r="G142" i="8"/>
  <c r="AK140" i="8"/>
  <c r="I139" i="8"/>
  <c r="R151" i="8"/>
  <c r="AT149" i="8"/>
  <c r="BI147" i="8"/>
  <c r="Y146" i="8"/>
  <c r="BK144" i="8"/>
  <c r="AB143" i="8"/>
  <c r="BQ141" i="8"/>
  <c r="AE140" i="8"/>
  <c r="G139" i="8"/>
  <c r="BD137" i="8"/>
  <c r="AZ136" i="8"/>
  <c r="BD135" i="8"/>
  <c r="BN134" i="8"/>
  <c r="R134" i="8"/>
  <c r="AN133" i="8"/>
  <c r="BG132" i="8"/>
  <c r="V132" i="8"/>
  <c r="BA131" i="8"/>
  <c r="S131" i="8"/>
  <c r="AX130" i="8"/>
  <c r="S130" i="8"/>
  <c r="BC129" i="8"/>
  <c r="V129" i="8"/>
  <c r="BG128" i="8"/>
  <c r="Z128" i="8"/>
  <c r="BK127" i="8"/>
  <c r="AF127" i="8"/>
  <c r="BN126" i="8"/>
  <c r="AP126" i="8"/>
  <c r="P126" i="8"/>
  <c r="K151" i="8"/>
  <c r="Z149" i="8"/>
  <c r="AT147" i="8"/>
  <c r="V146" i="8"/>
  <c r="BA144" i="8"/>
  <c r="T143" i="8"/>
  <c r="AZ141" i="8"/>
  <c r="Q140" i="8"/>
  <c r="BQ138" i="8"/>
  <c r="AU150" i="8"/>
  <c r="BH151" i="8"/>
  <c r="AA147" i="8"/>
  <c r="BD143" i="8"/>
  <c r="L140" i="8"/>
  <c r="AI137" i="8"/>
  <c r="AV135" i="8"/>
  <c r="AD134" i="8"/>
  <c r="S133" i="8"/>
  <c r="M132" i="8"/>
  <c r="T131" i="8"/>
  <c r="AI130" i="8"/>
  <c r="AT129" i="8"/>
  <c r="BD128" i="8"/>
  <c r="D128" i="8"/>
  <c r="S127" i="8"/>
  <c r="AK126" i="8"/>
  <c r="BM125" i="8"/>
  <c r="AH125" i="8"/>
  <c r="BF124" i="8"/>
  <c r="AB124" i="8"/>
  <c r="BE123" i="8"/>
  <c r="Z123" i="8"/>
  <c r="BA122" i="8"/>
  <c r="T122" i="8"/>
  <c r="AW121" i="8"/>
  <c r="R121" i="8"/>
  <c r="AS120" i="8"/>
  <c r="L120" i="8"/>
  <c r="AQ119" i="8"/>
  <c r="K119" i="8"/>
  <c r="AK118" i="8"/>
  <c r="I118" i="8"/>
  <c r="AO117" i="8"/>
  <c r="K117" i="8"/>
  <c r="AT116" i="8"/>
  <c r="V116" i="8"/>
  <c r="BC115" i="8"/>
  <c r="AE115" i="8"/>
  <c r="BL114" i="8"/>
  <c r="AN114" i="8"/>
  <c r="I114" i="8"/>
  <c r="AZ113" i="8"/>
  <c r="X113" i="8"/>
  <c r="BO112" i="8"/>
  <c r="AM112" i="8"/>
  <c r="Q112" i="8"/>
  <c r="BB111" i="8"/>
  <c r="AD111" i="8"/>
  <c r="D111" i="8"/>
  <c r="AZ110" i="8"/>
  <c r="AA110" i="8"/>
  <c r="G110" i="8"/>
  <c r="AX109" i="8"/>
  <c r="AE109" i="8"/>
  <c r="N109" i="8"/>
  <c r="BG108" i="8"/>
  <c r="AP108" i="8"/>
  <c r="W108" i="8"/>
  <c r="BP107" i="8"/>
  <c r="AY107" i="8"/>
  <c r="AF107" i="8"/>
  <c r="L107" i="8"/>
  <c r="BH106" i="8"/>
  <c r="AQ106" i="8"/>
  <c r="U106" i="8"/>
  <c r="BQ105" i="8"/>
  <c r="AZ105" i="8"/>
  <c r="AD105" i="8"/>
  <c r="O105" i="8"/>
  <c r="BM104" i="8"/>
  <c r="AX104" i="8"/>
  <c r="AJ104" i="8"/>
  <c r="V104" i="8"/>
  <c r="I104" i="8"/>
  <c r="BK103" i="8"/>
  <c r="AY103" i="8"/>
  <c r="AM103" i="8"/>
  <c r="AA103" i="8"/>
  <c r="O103" i="8"/>
  <c r="BF102" i="8"/>
  <c r="AT102" i="8"/>
  <c r="AH102" i="8"/>
  <c r="V102" i="8"/>
  <c r="J102" i="8"/>
  <c r="BM101" i="8"/>
  <c r="BA101" i="8"/>
  <c r="AO101" i="8"/>
  <c r="AC101" i="8"/>
  <c r="Q101" i="8"/>
  <c r="E101" i="8"/>
  <c r="BH100" i="8"/>
  <c r="AV100" i="8"/>
  <c r="AJ100" i="8"/>
  <c r="X100" i="8"/>
  <c r="L100" i="8"/>
  <c r="BO99" i="8"/>
  <c r="BC99" i="8"/>
  <c r="AQ99" i="8"/>
  <c r="AE99" i="8"/>
  <c r="S99" i="8"/>
  <c r="G99" i="8"/>
  <c r="BJ98" i="8"/>
  <c r="AX98" i="8"/>
  <c r="AL98" i="8"/>
  <c r="Z98" i="8"/>
  <c r="N98" i="8"/>
  <c r="BQ97" i="8"/>
  <c r="BE97" i="8"/>
  <c r="AS97" i="8"/>
  <c r="AG97" i="8"/>
  <c r="U97" i="8"/>
  <c r="I97" i="8"/>
  <c r="BL96" i="8"/>
  <c r="AZ96" i="8"/>
  <c r="AN96" i="8"/>
  <c r="AB96" i="8"/>
  <c r="P96" i="8"/>
  <c r="D96" i="8"/>
  <c r="BG95" i="8"/>
  <c r="AU95" i="8"/>
  <c r="AI95" i="8"/>
  <c r="W95" i="8"/>
  <c r="K95" i="8"/>
  <c r="BN94" i="8"/>
  <c r="BB94" i="8"/>
  <c r="AP94" i="8"/>
  <c r="AD94" i="8"/>
  <c r="R94" i="8"/>
  <c r="F94" i="8"/>
  <c r="BI93" i="8"/>
  <c r="AY150" i="8"/>
  <c r="AW146" i="8"/>
  <c r="BO142" i="8"/>
  <c r="BG139" i="8"/>
  <c r="T137" i="8"/>
  <c r="AQ135" i="8"/>
  <c r="N134" i="8"/>
  <c r="D133" i="8"/>
  <c r="H132" i="8"/>
  <c r="L131" i="8"/>
  <c r="T130" i="8"/>
  <c r="AO129" i="8"/>
  <c r="AX128" i="8"/>
  <c r="BG127" i="8"/>
  <c r="H127" i="8"/>
  <c r="AH126" i="8"/>
  <c r="BE125" i="8"/>
  <c r="Z125" i="8"/>
  <c r="BC124" i="8"/>
  <c r="Y124" i="8"/>
  <c r="AY123" i="8"/>
  <c r="S123" i="8"/>
  <c r="AU122" i="8"/>
  <c r="Q122" i="8"/>
  <c r="AQ121" i="8"/>
  <c r="AB150" i="8"/>
  <c r="K146" i="8"/>
  <c r="BL142" i="8"/>
  <c r="Z139" i="8"/>
  <c r="BO136" i="8"/>
  <c r="AC135" i="8"/>
  <c r="L134" i="8"/>
  <c r="BH132" i="8"/>
  <c r="G132" i="8"/>
  <c r="K131" i="8"/>
  <c r="O130" i="8"/>
  <c r="AE129" i="8"/>
  <c r="AT128" i="8"/>
  <c r="BE127" i="8"/>
  <c r="BO126" i="8"/>
  <c r="AF126" i="8"/>
  <c r="BD125" i="8"/>
  <c r="U125" i="8"/>
  <c r="BB124" i="8"/>
  <c r="O124" i="8"/>
  <c r="AX123" i="8"/>
  <c r="M123" i="8"/>
  <c r="AT122" i="8"/>
  <c r="G122" i="8"/>
  <c r="AP121" i="8"/>
  <c r="E121" i="8"/>
  <c r="AL120" i="8"/>
  <c r="BN119" i="8"/>
  <c r="AI119" i="8"/>
  <c r="BL118" i="8"/>
  <c r="AG118" i="8"/>
  <c r="BL117" i="8"/>
  <c r="AG117" i="8"/>
  <c r="BO116" i="8"/>
  <c r="AO116" i="8"/>
  <c r="K116" i="8"/>
  <c r="AX115" i="8"/>
  <c r="T115" i="8"/>
  <c r="BI114" i="8"/>
  <c r="AC114" i="8"/>
  <c r="D114" i="8"/>
  <c r="AR113" i="8"/>
  <c r="U113" i="8"/>
  <c r="BG112" i="8"/>
  <c r="AH112" i="8"/>
  <c r="G112" i="8"/>
  <c r="AW111" i="8"/>
  <c r="X111" i="8"/>
  <c r="BP110" i="8"/>
  <c r="AQ110" i="8"/>
  <c r="V110" i="8"/>
  <c r="BN109" i="8"/>
  <c r="AU109" i="8"/>
  <c r="AB109" i="8"/>
  <c r="F109" i="8"/>
  <c r="BD108" i="8"/>
  <c r="AK108" i="8"/>
  <c r="Q108" i="8"/>
  <c r="BM107" i="8"/>
  <c r="AV107" i="8"/>
  <c r="Z107" i="8"/>
  <c r="G107" i="8"/>
  <c r="BE106" i="8"/>
  <c r="AI106" i="8"/>
  <c r="P106" i="8"/>
  <c r="BN105" i="8"/>
  <c r="AR105" i="8"/>
  <c r="AA105" i="8"/>
  <c r="J105" i="8"/>
  <c r="BJ104" i="8"/>
  <c r="AU104" i="8"/>
  <c r="AG104" i="8"/>
  <c r="R104" i="8"/>
  <c r="E104" i="8"/>
  <c r="BH103" i="8"/>
  <c r="AV103" i="8"/>
  <c r="AJ103" i="8"/>
  <c r="X103" i="8"/>
  <c r="L103" i="8"/>
  <c r="BO102" i="8"/>
  <c r="BC102" i="8"/>
  <c r="AQ102" i="8"/>
  <c r="AE102" i="8"/>
  <c r="S102" i="8"/>
  <c r="G102" i="8"/>
  <c r="BJ149" i="8"/>
  <c r="BP145" i="8"/>
  <c r="AW142" i="8"/>
  <c r="BI138" i="8"/>
  <c r="BA136" i="8"/>
  <c r="AB135" i="8"/>
  <c r="K134" i="8"/>
  <c r="BB132" i="8"/>
  <c r="BK131" i="8"/>
  <c r="E131" i="8"/>
  <c r="M130" i="8"/>
  <c r="W129" i="8"/>
  <c r="AS128" i="8"/>
  <c r="BB127" i="8"/>
  <c r="BK126" i="8"/>
  <c r="W126" i="8"/>
  <c r="BC125" i="8"/>
  <c r="Q125" i="8"/>
  <c r="BA124" i="8"/>
  <c r="M124" i="8"/>
  <c r="AU123" i="8"/>
  <c r="K123" i="8"/>
  <c r="AS122" i="8"/>
  <c r="E122" i="8"/>
  <c r="AO121" i="8"/>
  <c r="AK120" i="8"/>
  <c r="BL119" i="8"/>
  <c r="AG119" i="8"/>
  <c r="BJ118" i="8"/>
  <c r="AF118" i="8"/>
  <c r="BH117" i="8"/>
  <c r="AF117" i="8"/>
  <c r="BM116" i="8"/>
  <c r="AM116" i="8"/>
  <c r="G116" i="8"/>
  <c r="AV115" i="8"/>
  <c r="R115" i="8"/>
  <c r="BE114" i="8"/>
  <c r="AA114" i="8"/>
  <c r="AN113" i="8"/>
  <c r="T113" i="8"/>
  <c r="BE112" i="8"/>
  <c r="AG112" i="8"/>
  <c r="E112" i="8"/>
  <c r="AV111" i="8"/>
  <c r="S111" i="8"/>
  <c r="BO110" i="8"/>
  <c r="AO110" i="8"/>
  <c r="U110" i="8"/>
  <c r="BL109" i="8"/>
  <c r="AT109" i="8"/>
  <c r="X109" i="8"/>
  <c r="E109" i="8"/>
  <c r="BC108" i="8"/>
  <c r="AG108" i="8"/>
  <c r="N108" i="8"/>
  <c r="BL107" i="8"/>
  <c r="AP107" i="8"/>
  <c r="Y107" i="8"/>
  <c r="F107" i="8"/>
  <c r="AY106" i="8"/>
  <c r="AH106" i="8"/>
  <c r="O106" i="8"/>
  <c r="BJ105" i="8"/>
  <c r="AQ105" i="8"/>
  <c r="Z105" i="8"/>
  <c r="I105" i="8"/>
  <c r="BI104" i="8"/>
  <c r="AT104" i="8"/>
  <c r="AD104" i="8"/>
  <c r="Q104" i="8"/>
  <c r="D104" i="8"/>
  <c r="BG103" i="8"/>
  <c r="AU103" i="8"/>
  <c r="AI103" i="8"/>
  <c r="W103" i="8"/>
  <c r="K103" i="8"/>
  <c r="BN102" i="8"/>
  <c r="BB102" i="8"/>
  <c r="AP102" i="8"/>
  <c r="AD102" i="8"/>
  <c r="R102" i="8"/>
  <c r="F102" i="8"/>
  <c r="I151" i="8"/>
  <c r="AO144" i="8"/>
  <c r="X136" i="8"/>
  <c r="S134" i="8"/>
  <c r="AO132" i="8"/>
  <c r="P131" i="8"/>
  <c r="BJ129" i="8"/>
  <c r="AY128" i="8"/>
  <c r="AG127" i="8"/>
  <c r="AJ126" i="8"/>
  <c r="AM125" i="8"/>
  <c r="BD124" i="8"/>
  <c r="E124" i="8"/>
  <c r="Y123" i="8"/>
  <c r="AD122" i="8"/>
  <c r="AV121" i="8"/>
  <c r="BI120" i="8"/>
  <c r="Q120" i="8"/>
  <c r="AJ119" i="8"/>
  <c r="BB118" i="8"/>
  <c r="K118" i="8"/>
  <c r="AH117" i="8"/>
  <c r="BH116" i="8"/>
  <c r="X116" i="8"/>
  <c r="BA115" i="8"/>
  <c r="K115" i="8"/>
  <c r="AP114" i="8"/>
  <c r="E114" i="8"/>
  <c r="AK113" i="8"/>
  <c r="D113" i="8"/>
  <c r="AI112" i="8"/>
  <c r="BQ111" i="8"/>
  <c r="AH111" i="8"/>
  <c r="BQ110" i="8"/>
  <c r="AJ110" i="8"/>
  <c r="I110" i="8"/>
  <c r="AV109" i="8"/>
  <c r="S109" i="8"/>
  <c r="BI108" i="8"/>
  <c r="AL108" i="8"/>
  <c r="K108" i="8"/>
  <c r="BA107" i="8"/>
  <c r="AA107" i="8"/>
  <c r="BO106" i="8"/>
  <c r="AS106" i="8"/>
  <c r="S106" i="8"/>
  <c r="BE105" i="8"/>
  <c r="AF105" i="8"/>
  <c r="K105" i="8"/>
  <c r="BE104" i="8"/>
  <c r="AL104" i="8"/>
  <c r="T104" i="8"/>
  <c r="BP103" i="8"/>
  <c r="BA103" i="8"/>
  <c r="AK103" i="8"/>
  <c r="T103" i="8"/>
  <c r="E103" i="8"/>
  <c r="BD102" i="8"/>
  <c r="AM102" i="8"/>
  <c r="X102" i="8"/>
  <c r="H102" i="8"/>
  <c r="BH101" i="8"/>
  <c r="AU101" i="8"/>
  <c r="AH101" i="8"/>
  <c r="U101" i="8"/>
  <c r="H101" i="8"/>
  <c r="BJ100" i="8"/>
  <c r="AW100" i="8"/>
  <c r="AI100" i="8"/>
  <c r="V100" i="8"/>
  <c r="I100" i="8"/>
  <c r="BK99" i="8"/>
  <c r="AX99" i="8"/>
  <c r="AK99" i="8"/>
  <c r="X99" i="8"/>
  <c r="K99" i="8"/>
  <c r="BM98" i="8"/>
  <c r="AZ98" i="8"/>
  <c r="AM98" i="8"/>
  <c r="Y98" i="8"/>
  <c r="L98" i="8"/>
  <c r="BN97" i="8"/>
  <c r="BA97" i="8"/>
  <c r="AN97" i="8"/>
  <c r="AA97" i="8"/>
  <c r="N97" i="8"/>
  <c r="BP96" i="8"/>
  <c r="BC96" i="8"/>
  <c r="AP96" i="8"/>
  <c r="AC96" i="8"/>
  <c r="O96" i="8"/>
  <c r="BQ95" i="8"/>
  <c r="BD95" i="8"/>
  <c r="AQ95" i="8"/>
  <c r="AD95" i="8"/>
  <c r="Q95" i="8"/>
  <c r="D95" i="8"/>
  <c r="BF94" i="8"/>
  <c r="AS94" i="8"/>
  <c r="AF94" i="8"/>
  <c r="S94" i="8"/>
  <c r="E94" i="8"/>
  <c r="BG93" i="8"/>
  <c r="AU93" i="8"/>
  <c r="AI93" i="8"/>
  <c r="W93" i="8"/>
  <c r="K93" i="8"/>
  <c r="BN92" i="8"/>
  <c r="BB92" i="8"/>
  <c r="AP92" i="8"/>
  <c r="P149" i="8"/>
  <c r="AK144" i="8"/>
  <c r="AZ138" i="8"/>
  <c r="W136" i="8"/>
  <c r="BO133" i="8"/>
  <c r="AD132" i="8"/>
  <c r="D131" i="8"/>
  <c r="BD129" i="8"/>
  <c r="AI128" i="8"/>
  <c r="AA127" i="8"/>
  <c r="T126" i="8"/>
  <c r="AK125" i="8"/>
  <c r="AZ124" i="8"/>
  <c r="D124" i="8"/>
  <c r="H123" i="8"/>
  <c r="AC122" i="8"/>
  <c r="AK121" i="8"/>
  <c r="BH120" i="8"/>
  <c r="P120" i="8"/>
  <c r="AE119" i="8"/>
  <c r="AZ118" i="8"/>
  <c r="J118" i="8"/>
  <c r="AD117" i="8"/>
  <c r="BG116" i="8"/>
  <c r="W116" i="8"/>
  <c r="AU115" i="8"/>
  <c r="J115" i="8"/>
  <c r="AO114" i="8"/>
  <c r="BQ113" i="8"/>
  <c r="AJ113" i="8"/>
  <c r="BP112" i="8"/>
  <c r="AF112" i="8"/>
  <c r="BN111" i="8"/>
  <c r="AG111" i="8"/>
  <c r="BN110" i="8"/>
  <c r="AI110" i="8"/>
  <c r="H110" i="8"/>
  <c r="AQ109" i="8"/>
  <c r="R109" i="8"/>
  <c r="BH108" i="8"/>
  <c r="AF108" i="8"/>
  <c r="J108" i="8"/>
  <c r="AZ107" i="8"/>
  <c r="X107" i="8"/>
  <c r="BL106" i="8"/>
  <c r="AR106" i="8"/>
  <c r="N106" i="8"/>
  <c r="BD105" i="8"/>
  <c r="AE105" i="8"/>
  <c r="H105" i="8"/>
  <c r="BB104" i="8"/>
  <c r="AK104" i="8"/>
  <c r="P104" i="8"/>
  <c r="BO103" i="8"/>
  <c r="AZ103" i="8"/>
  <c r="AH103" i="8"/>
  <c r="S103" i="8"/>
  <c r="D103" i="8"/>
  <c r="BA102" i="8"/>
  <c r="AL102" i="8"/>
  <c r="W102" i="8"/>
  <c r="E102" i="8"/>
  <c r="BG101" i="8"/>
  <c r="AT101" i="8"/>
  <c r="AG101" i="8"/>
  <c r="T101" i="8"/>
  <c r="G101" i="8"/>
  <c r="BI100" i="8"/>
  <c r="AU100" i="8"/>
  <c r="AH100" i="8"/>
  <c r="U100" i="8"/>
  <c r="H100" i="8"/>
  <c r="BJ99" i="8"/>
  <c r="AW99" i="8"/>
  <c r="AJ99" i="8"/>
  <c r="W99" i="8"/>
  <c r="J99" i="8"/>
  <c r="BL98" i="8"/>
  <c r="AY98" i="8"/>
  <c r="AK98" i="8"/>
  <c r="X98" i="8"/>
  <c r="K98" i="8"/>
  <c r="BM97" i="8"/>
  <c r="AZ97" i="8"/>
  <c r="AM97" i="8"/>
  <c r="Z97" i="8"/>
  <c r="M97" i="8"/>
  <c r="BO96" i="8"/>
  <c r="BB96" i="8"/>
  <c r="AO96" i="8"/>
  <c r="AA96" i="8"/>
  <c r="N96" i="8"/>
  <c r="BP95" i="8"/>
  <c r="BC95" i="8"/>
  <c r="AP95" i="8"/>
  <c r="AC95" i="8"/>
  <c r="P95" i="8"/>
  <c r="BE94" i="8"/>
  <c r="AR94" i="8"/>
  <c r="AE94" i="8"/>
  <c r="Q94" i="8"/>
  <c r="D94" i="8"/>
  <c r="BF93" i="8"/>
  <c r="AT93" i="8"/>
  <c r="AH93" i="8"/>
  <c r="V93" i="8"/>
  <c r="J93" i="8"/>
  <c r="BM92" i="8"/>
  <c r="BA92" i="8"/>
  <c r="AO92" i="8"/>
  <c r="AC92" i="8"/>
  <c r="Q92" i="8"/>
  <c r="E92" i="8"/>
  <c r="BH91" i="8"/>
  <c r="AV91" i="8"/>
  <c r="AJ91" i="8"/>
  <c r="X91" i="8"/>
  <c r="L91" i="8"/>
  <c r="BO90" i="8"/>
  <c r="BC90" i="8"/>
  <c r="AQ90" i="8"/>
  <c r="AE90" i="8"/>
  <c r="S90" i="8"/>
  <c r="G90" i="8"/>
  <c r="BJ89" i="8"/>
  <c r="AX89" i="8"/>
  <c r="AL89" i="8"/>
  <c r="Z89" i="8"/>
  <c r="N89" i="8"/>
  <c r="BQ88" i="8"/>
  <c r="BE88" i="8"/>
  <c r="AS88" i="8"/>
  <c r="AG88" i="8"/>
  <c r="U88" i="8"/>
  <c r="I88" i="8"/>
  <c r="BL87" i="8"/>
  <c r="AZ87" i="8"/>
  <c r="AN87" i="8"/>
  <c r="AB87" i="8"/>
  <c r="P87" i="8"/>
  <c r="D87" i="8"/>
  <c r="BG86" i="8"/>
  <c r="AU86" i="8"/>
  <c r="AI86" i="8"/>
  <c r="W86" i="8"/>
  <c r="K86" i="8"/>
  <c r="BN85" i="8"/>
  <c r="BB85" i="8"/>
  <c r="F149" i="8"/>
  <c r="AI144" i="8"/>
  <c r="AO138" i="8"/>
  <c r="E136" i="8"/>
  <c r="BN133" i="8"/>
  <c r="W132" i="8"/>
  <c r="BH130" i="8"/>
  <c r="AX129" i="8"/>
  <c r="AC128" i="8"/>
  <c r="X127" i="8"/>
  <c r="O126" i="8"/>
  <c r="AJ125" i="8"/>
  <c r="AS124" i="8"/>
  <c r="BO123" i="8"/>
  <c r="V122" i="8"/>
  <c r="AJ121" i="8"/>
  <c r="BF120" i="8"/>
  <c r="J120" i="8"/>
  <c r="AD119" i="8"/>
  <c r="AX118" i="8"/>
  <c r="E118" i="8"/>
  <c r="AC117" i="8"/>
  <c r="BF116" i="8"/>
  <c r="S116" i="8"/>
  <c r="AT115" i="8"/>
  <c r="I115" i="8"/>
  <c r="AM114" i="8"/>
  <c r="BP113" i="8"/>
  <c r="AI113" i="8"/>
  <c r="BN112" i="8"/>
  <c r="AE112" i="8"/>
  <c r="BK111" i="8"/>
  <c r="AC111" i="8"/>
  <c r="BM110" i="8"/>
  <c r="AH110" i="8"/>
  <c r="F110" i="8"/>
  <c r="AP109" i="8"/>
  <c r="Q109" i="8"/>
  <c r="BF108" i="8"/>
  <c r="AE108" i="8"/>
  <c r="I108" i="8"/>
  <c r="AX107" i="8"/>
  <c r="U107" i="8"/>
  <c r="BK106" i="8"/>
  <c r="AK106" i="8"/>
  <c r="M106" i="8"/>
  <c r="BC105" i="8"/>
  <c r="AC105" i="8"/>
  <c r="F105" i="8"/>
  <c r="BA104" i="8"/>
  <c r="AI104" i="8"/>
  <c r="O104" i="8"/>
  <c r="BN103" i="8"/>
  <c r="AX103" i="8"/>
  <c r="AG103" i="8"/>
  <c r="R103" i="8"/>
  <c r="BQ102" i="8"/>
  <c r="AZ102" i="8"/>
  <c r="AK102" i="8"/>
  <c r="U102" i="8"/>
  <c r="D102" i="8"/>
  <c r="BF101" i="8"/>
  <c r="AS101" i="8"/>
  <c r="AF101" i="8"/>
  <c r="S101" i="8"/>
  <c r="F101" i="8"/>
  <c r="BG100" i="8"/>
  <c r="AT100" i="8"/>
  <c r="AG100" i="8"/>
  <c r="T100" i="8"/>
  <c r="G100" i="8"/>
  <c r="BI99" i="8"/>
  <c r="AV99" i="8"/>
  <c r="AI99" i="8"/>
  <c r="V99" i="8"/>
  <c r="I99" i="8"/>
  <c r="BK98" i="8"/>
  <c r="AW98" i="8"/>
  <c r="AJ98" i="8"/>
  <c r="W98" i="8"/>
  <c r="J98" i="8"/>
  <c r="BL97" i="8"/>
  <c r="AY97" i="8"/>
  <c r="BM148" i="8"/>
  <c r="Q144" i="8"/>
  <c r="AL138" i="8"/>
  <c r="BF135" i="8"/>
  <c r="AZ133" i="8"/>
  <c r="Q132" i="8"/>
  <c r="BC130" i="8"/>
  <c r="AU129" i="8"/>
  <c r="W128" i="8"/>
  <c r="W127" i="8"/>
  <c r="N126" i="8"/>
  <c r="AI125" i="8"/>
  <c r="AN124" i="8"/>
  <c r="BG123" i="8"/>
  <c r="BQ122" i="8"/>
  <c r="U122" i="8"/>
  <c r="AB121" i="8"/>
  <c r="BE120" i="8"/>
  <c r="I120" i="8"/>
  <c r="T119" i="8"/>
  <c r="AW118" i="8"/>
  <c r="D118" i="8"/>
  <c r="T117" i="8"/>
  <c r="BC116" i="8"/>
  <c r="P116" i="8"/>
  <c r="AL115" i="8"/>
  <c r="H115" i="8"/>
  <c r="AJ114" i="8"/>
  <c r="BJ113" i="8"/>
  <c r="AH113" i="8"/>
  <c r="BM112" i="8"/>
  <c r="W112" i="8"/>
  <c r="BJ111" i="8"/>
  <c r="AB111" i="8"/>
  <c r="BF110" i="8"/>
  <c r="AG110" i="8"/>
  <c r="E110" i="8"/>
  <c r="AL109" i="8"/>
  <c r="P109" i="8"/>
  <c r="BE108" i="8"/>
  <c r="AD108" i="8"/>
  <c r="E108" i="8"/>
  <c r="AW107" i="8"/>
  <c r="T107" i="8"/>
  <c r="BJ106" i="8"/>
  <c r="AJ106" i="8"/>
  <c r="I106" i="8"/>
  <c r="BB105" i="8"/>
  <c r="AB105" i="8"/>
  <c r="E105" i="8"/>
  <c r="AZ104" i="8"/>
  <c r="AH104" i="8"/>
  <c r="N104" i="8"/>
  <c r="BM103" i="8"/>
  <c r="AW103" i="8"/>
  <c r="AF103" i="8"/>
  <c r="Q103" i="8"/>
  <c r="BP102" i="8"/>
  <c r="AY102" i="8"/>
  <c r="AJ102" i="8"/>
  <c r="T102" i="8"/>
  <c r="BE101" i="8"/>
  <c r="AR101" i="8"/>
  <c r="AE101" i="8"/>
  <c r="R101" i="8"/>
  <c r="D101" i="8"/>
  <c r="BF100" i="8"/>
  <c r="AS100" i="8"/>
  <c r="AF100" i="8"/>
  <c r="S100" i="8"/>
  <c r="F100" i="8"/>
  <c r="BH99" i="8"/>
  <c r="AU99" i="8"/>
  <c r="AH99" i="8"/>
  <c r="U99" i="8"/>
  <c r="H99" i="8"/>
  <c r="BI98" i="8"/>
  <c r="AV98" i="8"/>
  <c r="AI98" i="8"/>
  <c r="V98" i="8"/>
  <c r="I98" i="8"/>
  <c r="BK97" i="8"/>
  <c r="AX97" i="8"/>
  <c r="AK97" i="8"/>
  <c r="X97" i="8"/>
  <c r="BF148" i="8"/>
  <c r="S143" i="8"/>
  <c r="AR135" i="8"/>
  <c r="AO133" i="8"/>
  <c r="L132" i="8"/>
  <c r="AU130" i="8"/>
  <c r="AP129" i="8"/>
  <c r="U128" i="8"/>
  <c r="R127" i="8"/>
  <c r="M126" i="8"/>
  <c r="AE125" i="8"/>
  <c r="AL124" i="8"/>
  <c r="BD123" i="8"/>
  <c r="BP122" i="8"/>
  <c r="R122" i="8"/>
  <c r="X121" i="8"/>
  <c r="AU120" i="8"/>
  <c r="BJ119" i="8"/>
  <c r="R119" i="8"/>
  <c r="AM118" i="8"/>
  <c r="BF117" i="8"/>
  <c r="R117" i="8"/>
  <c r="AX116" i="8"/>
  <c r="U148" i="8"/>
  <c r="U142" i="8"/>
  <c r="BK137" i="8"/>
  <c r="K135" i="8"/>
  <c r="AG133" i="8"/>
  <c r="BB131" i="8"/>
  <c r="AS130" i="8"/>
  <c r="S129" i="8"/>
  <c r="T128" i="8"/>
  <c r="BJ126" i="8"/>
  <c r="L126" i="8"/>
  <c r="O125" i="8"/>
  <c r="AK124" i="8"/>
  <c r="AS123" i="8"/>
  <c r="BN122" i="8"/>
  <c r="V121" i="8"/>
  <c r="AQ120" i="8"/>
  <c r="BI119" i="8"/>
  <c r="N119" i="8"/>
  <c r="AI118" i="8"/>
  <c r="BE117" i="8"/>
  <c r="P117" i="8"/>
  <c r="AQ116" i="8"/>
  <c r="E116" i="8"/>
  <c r="AH115" i="8"/>
  <c r="BK114" i="8"/>
  <c r="Y114" i="8"/>
  <c r="BE113" i="8"/>
  <c r="W113" i="8"/>
  <c r="BA112" i="8"/>
  <c r="T112" i="8"/>
  <c r="BA111" i="8"/>
  <c r="Q111" i="8"/>
  <c r="BC110" i="8"/>
  <c r="X110" i="8"/>
  <c r="BJ109" i="8"/>
  <c r="AJ109" i="8"/>
  <c r="J109" i="8"/>
  <c r="BA108" i="8"/>
  <c r="Z108" i="8"/>
  <c r="BO107" i="8"/>
  <c r="AN107" i="8"/>
  <c r="R107" i="8"/>
  <c r="BG106" i="8"/>
  <c r="AF106" i="8"/>
  <c r="G106" i="8"/>
  <c r="AT105" i="8"/>
  <c r="V105" i="8"/>
  <c r="AW104" i="8"/>
  <c r="AB104" i="8"/>
  <c r="L104" i="8"/>
  <c r="BJ103" i="8"/>
  <c r="AS103" i="8"/>
  <c r="AD103" i="8"/>
  <c r="N103" i="8"/>
  <c r="BL102" i="8"/>
  <c r="AW102" i="8"/>
  <c r="AG102" i="8"/>
  <c r="P102" i="8"/>
  <c r="BP101" i="8"/>
  <c r="BC101" i="8"/>
  <c r="AP101" i="8"/>
  <c r="AB101" i="8"/>
  <c r="O101" i="8"/>
  <c r="BQ100" i="8"/>
  <c r="BD100" i="8"/>
  <c r="AQ100" i="8"/>
  <c r="AD100" i="8"/>
  <c r="Q100" i="8"/>
  <c r="D100" i="8"/>
  <c r="BF99" i="8"/>
  <c r="AS99" i="8"/>
  <c r="AF99" i="8"/>
  <c r="R99" i="8"/>
  <c r="E99" i="8"/>
  <c r="BG98" i="8"/>
  <c r="AT98" i="8"/>
  <c r="AG98" i="8"/>
  <c r="T98" i="8"/>
  <c r="G98" i="8"/>
  <c r="BI97" i="8"/>
  <c r="AV97" i="8"/>
  <c r="AI97" i="8"/>
  <c r="AO147" i="8"/>
  <c r="AU141" i="8"/>
  <c r="AU137" i="8"/>
  <c r="BO134" i="8"/>
  <c r="AE133" i="8"/>
  <c r="AX131" i="8"/>
  <c r="AR130" i="8"/>
  <c r="Q129" i="8"/>
  <c r="M128" i="8"/>
  <c r="BI126" i="8"/>
  <c r="G126" i="8"/>
  <c r="K125" i="8"/>
  <c r="AD124" i="8"/>
  <c r="AR123" i="8"/>
  <c r="BM122" i="8"/>
  <c r="BQ121" i="8"/>
  <c r="U121" i="8"/>
  <c r="AP120" i="8"/>
  <c r="BH119" i="8"/>
  <c r="M119" i="8"/>
  <c r="AH118" i="8"/>
  <c r="BD117" i="8"/>
  <c r="O117" i="8"/>
  <c r="AP116" i="8"/>
  <c r="BQ115" i="8"/>
  <c r="AG115" i="8"/>
  <c r="BJ114" i="8"/>
  <c r="T114" i="8"/>
  <c r="BD113" i="8"/>
  <c r="V113" i="8"/>
  <c r="AZ112" i="8"/>
  <c r="S112" i="8"/>
  <c r="AZ111" i="8"/>
  <c r="P111" i="8"/>
  <c r="BB110" i="8"/>
  <c r="W110" i="8"/>
  <c r="BI109" i="8"/>
  <c r="AI109" i="8"/>
  <c r="G109" i="8"/>
  <c r="AU108" i="8"/>
  <c r="Y108" i="8"/>
  <c r="BN107" i="8"/>
  <c r="AM107" i="8"/>
  <c r="N107" i="8"/>
  <c r="BF106" i="8"/>
  <c r="AE106" i="8"/>
  <c r="D106" i="8"/>
  <c r="AS105" i="8"/>
  <c r="T105" i="8"/>
  <c r="BQ104" i="8"/>
  <c r="AV104" i="8"/>
  <c r="AA104" i="8"/>
  <c r="K104" i="8"/>
  <c r="AM147" i="8"/>
  <c r="AF141" i="8"/>
  <c r="AN137" i="8"/>
  <c r="BJ134" i="8"/>
  <c r="AD133" i="8"/>
  <c r="AV131" i="8"/>
  <c r="AJ130" i="8"/>
  <c r="P129" i="8"/>
  <c r="L128" i="8"/>
  <c r="BH126" i="8"/>
  <c r="BO125" i="8"/>
  <c r="J125" i="8"/>
  <c r="AC124" i="8"/>
  <c r="AH123" i="8"/>
  <c r="BC122" i="8"/>
  <c r="BO121" i="8"/>
  <c r="S121" i="8"/>
  <c r="AJ120" i="8"/>
  <c r="BG119" i="8"/>
  <c r="L119" i="8"/>
  <c r="AC118" i="8"/>
  <c r="BC117" i="8"/>
  <c r="L117" i="8"/>
  <c r="AL116" i="8"/>
  <c r="BP115" i="8"/>
  <c r="AF115" i="8"/>
  <c r="BD114" i="8"/>
  <c r="S114" i="8"/>
  <c r="BC113" i="8"/>
  <c r="O113" i="8"/>
  <c r="AY112" i="8"/>
  <c r="R112" i="8"/>
  <c r="AU111" i="8"/>
  <c r="O111" i="8"/>
  <c r="R147" i="8"/>
  <c r="BF134" i="8"/>
  <c r="AA130" i="8"/>
  <c r="BA126" i="8"/>
  <c r="Z124" i="8"/>
  <c r="BN121" i="8"/>
  <c r="BE119" i="8"/>
  <c r="BB117" i="8"/>
  <c r="F116" i="8"/>
  <c r="AW114" i="8"/>
  <c r="AL113" i="8"/>
  <c r="P112" i="8"/>
  <c r="F111" i="8"/>
  <c r="K110" i="8"/>
  <c r="W109" i="8"/>
  <c r="AQ108" i="8"/>
  <c r="BC107" i="8"/>
  <c r="E107" i="8"/>
  <c r="V106" i="8"/>
  <c r="AM105" i="8"/>
  <c r="BG104" i="8"/>
  <c r="W104" i="8"/>
  <c r="BD103" i="8"/>
  <c r="AB103" i="8"/>
  <c r="BM102" i="8"/>
  <c r="AO102" i="8"/>
  <c r="M102" i="8"/>
  <c r="BB101" i="8"/>
  <c r="AI101" i="8"/>
  <c r="K101" i="8"/>
  <c r="BB100" i="8"/>
  <c r="AE100" i="8"/>
  <c r="K100" i="8"/>
  <c r="BB99" i="8"/>
  <c r="AD99" i="8"/>
  <c r="L99" i="8"/>
  <c r="BC98" i="8"/>
  <c r="AE98" i="8"/>
  <c r="H98" i="8"/>
  <c r="BC97" i="8"/>
  <c r="AF97" i="8"/>
  <c r="P97" i="8"/>
  <c r="BN96" i="8"/>
  <c r="AX96" i="8"/>
  <c r="AI96" i="8"/>
  <c r="T96" i="8"/>
  <c r="E96" i="8"/>
  <c r="BB95" i="8"/>
  <c r="AM95" i="8"/>
  <c r="X95" i="8"/>
  <c r="H95" i="8"/>
  <c r="BH94" i="8"/>
  <c r="AQ94" i="8"/>
  <c r="AA94" i="8"/>
  <c r="L94" i="8"/>
  <c r="BL93" i="8"/>
  <c r="AW93" i="8"/>
  <c r="AG93" i="8"/>
  <c r="S93" i="8"/>
  <c r="E93" i="8"/>
  <c r="BF92" i="8"/>
  <c r="AR92" i="8"/>
  <c r="AD92" i="8"/>
  <c r="P92" i="8"/>
  <c r="BE91" i="8"/>
  <c r="AR91" i="8"/>
  <c r="AE91" i="8"/>
  <c r="R91" i="8"/>
  <c r="E91" i="8"/>
  <c r="BG90" i="8"/>
  <c r="AT90" i="8"/>
  <c r="AG90" i="8"/>
  <c r="T90" i="8"/>
  <c r="F90" i="8"/>
  <c r="BH89" i="8"/>
  <c r="AU89" i="8"/>
  <c r="AH89" i="8"/>
  <c r="U89" i="8"/>
  <c r="H89" i="8"/>
  <c r="BJ88" i="8"/>
  <c r="AW88" i="8"/>
  <c r="AJ88" i="8"/>
  <c r="W88" i="8"/>
  <c r="J88" i="8"/>
  <c r="BK87" i="8"/>
  <c r="AX87" i="8"/>
  <c r="AK87" i="8"/>
  <c r="X87" i="8"/>
  <c r="K87" i="8"/>
  <c r="BM86" i="8"/>
  <c r="AZ86" i="8"/>
  <c r="AM86" i="8"/>
  <c r="Z86" i="8"/>
  <c r="M86" i="8"/>
  <c r="BO85" i="8"/>
  <c r="BA85" i="8"/>
  <c r="AO85" i="8"/>
  <c r="AC85" i="8"/>
  <c r="Q85" i="8"/>
  <c r="E85" i="8"/>
  <c r="BH84" i="8"/>
  <c r="AV84" i="8"/>
  <c r="AJ84" i="8"/>
  <c r="X84" i="8"/>
  <c r="L84" i="8"/>
  <c r="BO83" i="8"/>
  <c r="BC83" i="8"/>
  <c r="AQ83" i="8"/>
  <c r="AE83" i="8"/>
  <c r="S83" i="8"/>
  <c r="G83" i="8"/>
  <c r="BJ82" i="8"/>
  <c r="AX82" i="8"/>
  <c r="AL82" i="8"/>
  <c r="Z82" i="8"/>
  <c r="N82" i="8"/>
  <c r="BQ81" i="8"/>
  <c r="BE81" i="8"/>
  <c r="AS81" i="8"/>
  <c r="AG81" i="8"/>
  <c r="U81" i="8"/>
  <c r="I81" i="8"/>
  <c r="BL80" i="8"/>
  <c r="AZ80" i="8"/>
  <c r="AN80" i="8"/>
  <c r="AB80" i="8"/>
  <c r="P80" i="8"/>
  <c r="D80" i="8"/>
  <c r="BG79" i="8"/>
  <c r="AU79" i="8"/>
  <c r="AI79" i="8"/>
  <c r="W79" i="8"/>
  <c r="K79" i="8"/>
  <c r="BN78" i="8"/>
  <c r="BB78" i="8"/>
  <c r="AP78" i="8"/>
  <c r="AD78" i="8"/>
  <c r="R78" i="8"/>
  <c r="F78" i="8"/>
  <c r="BI77" i="8"/>
  <c r="AW77" i="8"/>
  <c r="AK77" i="8"/>
  <c r="Y77" i="8"/>
  <c r="M77" i="8"/>
  <c r="BP76" i="8"/>
  <c r="BD76" i="8"/>
  <c r="AR76" i="8"/>
  <c r="AF76" i="8"/>
  <c r="T76" i="8"/>
  <c r="H76" i="8"/>
  <c r="O145" i="8"/>
  <c r="AS134" i="8"/>
  <c r="D130" i="8"/>
  <c r="AL126" i="8"/>
  <c r="F124" i="8"/>
  <c r="BA121" i="8"/>
  <c r="AN119" i="8"/>
  <c r="AN117" i="8"/>
  <c r="BG115" i="8"/>
  <c r="Z114" i="8"/>
  <c r="J113" i="8"/>
  <c r="BA110" i="8"/>
  <c r="BH109" i="8"/>
  <c r="D109" i="8"/>
  <c r="X108" i="8"/>
  <c r="AL107" i="8"/>
  <c r="AX106" i="8"/>
  <c r="S105" i="8"/>
  <c r="AS104" i="8"/>
  <c r="J104" i="8"/>
  <c r="AT103" i="8"/>
  <c r="V103" i="8"/>
  <c r="BI102" i="8"/>
  <c r="AF102" i="8"/>
  <c r="I102" i="8"/>
  <c r="AX101" i="8"/>
  <c r="Z101" i="8"/>
  <c r="AY100" i="8"/>
  <c r="AA100" i="8"/>
  <c r="AY99" i="8"/>
  <c r="AA99" i="8"/>
  <c r="AU98" i="8"/>
  <c r="AB98" i="8"/>
  <c r="D98" i="8"/>
  <c r="AU97" i="8"/>
  <c r="AC97" i="8"/>
  <c r="K97" i="8"/>
  <c r="BJ96" i="8"/>
  <c r="AU96" i="8"/>
  <c r="AF96" i="8"/>
  <c r="Q96" i="8"/>
  <c r="BN95" i="8"/>
  <c r="AY95" i="8"/>
  <c r="AJ95" i="8"/>
  <c r="T95" i="8"/>
  <c r="E95" i="8"/>
  <c r="BC94" i="8"/>
  <c r="AM94" i="8"/>
  <c r="X94" i="8"/>
  <c r="I94" i="8"/>
  <c r="BH93" i="8"/>
  <c r="AR93" i="8"/>
  <c r="AD93" i="8"/>
  <c r="P93" i="8"/>
  <c r="BQ92" i="8"/>
  <c r="BC92" i="8"/>
  <c r="AM92" i="8"/>
  <c r="Z92" i="8"/>
  <c r="M92" i="8"/>
  <c r="BO91" i="8"/>
  <c r="BB91" i="8"/>
  <c r="AO91" i="8"/>
  <c r="AB91" i="8"/>
  <c r="O91" i="8"/>
  <c r="BQ90" i="8"/>
  <c r="BD90" i="8"/>
  <c r="AP90" i="8"/>
  <c r="AC90" i="8"/>
  <c r="P90" i="8"/>
  <c r="BE89" i="8"/>
  <c r="AR89" i="8"/>
  <c r="AE89" i="8"/>
  <c r="R89" i="8"/>
  <c r="E89" i="8"/>
  <c r="BG88" i="8"/>
  <c r="AT88" i="8"/>
  <c r="AF88" i="8"/>
  <c r="S88" i="8"/>
  <c r="F88" i="8"/>
  <c r="BH87" i="8"/>
  <c r="AU87" i="8"/>
  <c r="AH87" i="8"/>
  <c r="U87" i="8"/>
  <c r="H87" i="8"/>
  <c r="BJ86" i="8"/>
  <c r="AW86" i="8"/>
  <c r="AJ86" i="8"/>
  <c r="V86" i="8"/>
  <c r="I86" i="8"/>
  <c r="BK85" i="8"/>
  <c r="AX85" i="8"/>
  <c r="AL85" i="8"/>
  <c r="Z85" i="8"/>
  <c r="N85" i="8"/>
  <c r="BQ84" i="8"/>
  <c r="BE84" i="8"/>
  <c r="AS84" i="8"/>
  <c r="AG84" i="8"/>
  <c r="U84" i="8"/>
  <c r="I84" i="8"/>
  <c r="BL83" i="8"/>
  <c r="AZ83" i="8"/>
  <c r="AN83" i="8"/>
  <c r="AB83" i="8"/>
  <c r="P83" i="8"/>
  <c r="D83" i="8"/>
  <c r="BG82" i="8"/>
  <c r="AU82" i="8"/>
  <c r="AI82" i="8"/>
  <c r="W82" i="8"/>
  <c r="K82" i="8"/>
  <c r="BN81" i="8"/>
  <c r="BB81" i="8"/>
  <c r="AP81" i="8"/>
  <c r="AD81" i="8"/>
  <c r="R81" i="8"/>
  <c r="F81" i="8"/>
  <c r="BI80" i="8"/>
  <c r="AW80" i="8"/>
  <c r="AK80" i="8"/>
  <c r="Y80" i="8"/>
  <c r="M80" i="8"/>
  <c r="BP79" i="8"/>
  <c r="BD79" i="8"/>
  <c r="AR79" i="8"/>
  <c r="AF79" i="8"/>
  <c r="T79" i="8"/>
  <c r="H79" i="8"/>
  <c r="BK78" i="8"/>
  <c r="AY78" i="8"/>
  <c r="AM78" i="8"/>
  <c r="AA78" i="8"/>
  <c r="O78" i="8"/>
  <c r="BE140" i="8"/>
  <c r="AW132" i="8"/>
  <c r="BM128" i="8"/>
  <c r="AY125" i="8"/>
  <c r="AB123" i="8"/>
  <c r="BQ120" i="8"/>
  <c r="BI118" i="8"/>
  <c r="BL116" i="8"/>
  <c r="AD115" i="8"/>
  <c r="M114" i="8"/>
  <c r="BB112" i="8"/>
  <c r="AN111" i="8"/>
  <c r="AN110" i="8"/>
  <c r="AZ109" i="8"/>
  <c r="BP108" i="8"/>
  <c r="M108" i="8"/>
  <c r="AG107" i="8"/>
  <c r="AU106" i="8"/>
  <c r="BG105" i="8"/>
  <c r="P105" i="8"/>
  <c r="AN104" i="8"/>
  <c r="AP103" i="8"/>
  <c r="M103" i="8"/>
  <c r="BE102" i="8"/>
  <c r="AA102" i="8"/>
  <c r="BN101" i="8"/>
  <c r="AQ101" i="8"/>
  <c r="W101" i="8"/>
  <c r="BN100" i="8"/>
  <c r="AP100" i="8"/>
  <c r="W100" i="8"/>
  <c r="BN99" i="8"/>
  <c r="AP99" i="8"/>
  <c r="T99" i="8"/>
  <c r="BO98" i="8"/>
  <c r="AQ98" i="8"/>
  <c r="S98" i="8"/>
  <c r="BO97" i="8"/>
  <c r="AQ97" i="8"/>
  <c r="W97" i="8"/>
  <c r="G97" i="8"/>
  <c r="BG96" i="8"/>
  <c r="AR96" i="8"/>
  <c r="Z96" i="8"/>
  <c r="K96" i="8"/>
  <c r="BK95" i="8"/>
  <c r="AV95" i="8"/>
  <c r="AF95" i="8"/>
  <c r="O95" i="8"/>
  <c r="BO94" i="8"/>
  <c r="AY94" i="8"/>
  <c r="AJ94" i="8"/>
  <c r="U94" i="8"/>
  <c r="BC93" i="8"/>
  <c r="AO93" i="8"/>
  <c r="AA93" i="8"/>
  <c r="M93" i="8"/>
  <c r="BL92" i="8"/>
  <c r="AX92" i="8"/>
  <c r="AJ92" i="8"/>
  <c r="W92" i="8"/>
  <c r="J92" i="8"/>
  <c r="BL91" i="8"/>
  <c r="AY91" i="8"/>
  <c r="AL91" i="8"/>
  <c r="Y91" i="8"/>
  <c r="K91" i="8"/>
  <c r="BM90" i="8"/>
  <c r="AZ90" i="8"/>
  <c r="AM90" i="8"/>
  <c r="Z90" i="8"/>
  <c r="M90" i="8"/>
  <c r="BO89" i="8"/>
  <c r="BB89" i="8"/>
  <c r="AO89" i="8"/>
  <c r="AB89" i="8"/>
  <c r="O89" i="8"/>
  <c r="BP88" i="8"/>
  <c r="BC88" i="8"/>
  <c r="AP88" i="8"/>
  <c r="AC88" i="8"/>
  <c r="P88" i="8"/>
  <c r="BE87" i="8"/>
  <c r="AR87" i="8"/>
  <c r="AE87" i="8"/>
  <c r="R87" i="8"/>
  <c r="E87" i="8"/>
  <c r="BF86" i="8"/>
  <c r="AS86" i="8"/>
  <c r="AF86" i="8"/>
  <c r="S86" i="8"/>
  <c r="N140" i="8"/>
  <c r="AQ132" i="8"/>
  <c r="BH128" i="8"/>
  <c r="AP125" i="8"/>
  <c r="AA123" i="8"/>
  <c r="BJ120" i="8"/>
  <c r="BC118" i="8"/>
  <c r="BK116" i="8"/>
  <c r="Y115" i="8"/>
  <c r="F114" i="8"/>
  <c r="AX112" i="8"/>
  <c r="AL111" i="8"/>
  <c r="AM110" i="8"/>
  <c r="AW109" i="8"/>
  <c r="BO108" i="8"/>
  <c r="L108" i="8"/>
  <c r="AB107" i="8"/>
  <c r="AT106" i="8"/>
  <c r="BF105" i="8"/>
  <c r="N105" i="8"/>
  <c r="AM104" i="8"/>
  <c r="BQ103" i="8"/>
  <c r="AO103" i="8"/>
  <c r="J103" i="8"/>
  <c r="AX102" i="8"/>
  <c r="Z102" i="8"/>
  <c r="BL101" i="8"/>
  <c r="AN101" i="8"/>
  <c r="V101" i="8"/>
  <c r="BM100" i="8"/>
  <c r="AO100" i="8"/>
  <c r="R100" i="8"/>
  <c r="BM99" i="8"/>
  <c r="AO99" i="8"/>
  <c r="Q99" i="8"/>
  <c r="BN98" i="8"/>
  <c r="AP98" i="8"/>
  <c r="R98" i="8"/>
  <c r="BJ97" i="8"/>
  <c r="AP97" i="8"/>
  <c r="V97" i="8"/>
  <c r="F97" i="8"/>
  <c r="BF96" i="8"/>
  <c r="AQ96" i="8"/>
  <c r="Y96" i="8"/>
  <c r="J96" i="8"/>
  <c r="BJ95" i="8"/>
  <c r="AT95" i="8"/>
  <c r="AE95" i="8"/>
  <c r="N95" i="8"/>
  <c r="BM94" i="8"/>
  <c r="AX94" i="8"/>
  <c r="AI94" i="8"/>
  <c r="T94" i="8"/>
  <c r="BQ93" i="8"/>
  <c r="BB93" i="8"/>
  <c r="AQ136" i="8"/>
  <c r="AM131" i="8"/>
  <c r="AW127" i="8"/>
  <c r="E125" i="8"/>
  <c r="AR122" i="8"/>
  <c r="X120" i="8"/>
  <c r="T118" i="8"/>
  <c r="AC116" i="8"/>
  <c r="N115" i="8"/>
  <c r="AY113" i="8"/>
  <c r="AQ112" i="8"/>
  <c r="R111" i="8"/>
  <c r="T110" i="8"/>
  <c r="AH109" i="8"/>
  <c r="AT108" i="8"/>
  <c r="BK107" i="8"/>
  <c r="M107" i="8"/>
  <c r="AB106" i="8"/>
  <c r="AP105" i="8"/>
  <c r="BN104" i="8"/>
  <c r="Z104" i="8"/>
  <c r="BI103" i="8"/>
  <c r="AL103" i="8"/>
  <c r="H103" i="8"/>
  <c r="AU102" i="8"/>
  <c r="Q102" i="8"/>
  <c r="BJ101" i="8"/>
  <c r="AL101" i="8"/>
  <c r="N101" i="8"/>
  <c r="BK100" i="8"/>
  <c r="AM100" i="8"/>
  <c r="O100" i="8"/>
  <c r="BG99" i="8"/>
  <c r="AM99" i="8"/>
  <c r="O99" i="8"/>
  <c r="BF98" i="8"/>
  <c r="AN98" i="8"/>
  <c r="P98" i="8"/>
  <c r="BG97" i="8"/>
  <c r="AL97" i="8"/>
  <c r="S97" i="8"/>
  <c r="D97" i="8"/>
  <c r="BD96" i="8"/>
  <c r="AL96" i="8"/>
  <c r="W96" i="8"/>
  <c r="H96" i="8"/>
  <c r="BH95" i="8"/>
  <c r="AR95" i="8"/>
  <c r="AA95" i="8"/>
  <c r="L95" i="8"/>
  <c r="BK94" i="8"/>
  <c r="AV94" i="8"/>
  <c r="AG94" i="8"/>
  <c r="O94" i="8"/>
  <c r="BO93" i="8"/>
  <c r="AZ93" i="8"/>
  <c r="AL93" i="8"/>
  <c r="X93" i="8"/>
  <c r="H93" i="8"/>
  <c r="BI92" i="8"/>
  <c r="AU92" i="8"/>
  <c r="AG92" i="8"/>
  <c r="T92" i="8"/>
  <c r="G92" i="8"/>
  <c r="BI91" i="8"/>
  <c r="AU91" i="8"/>
  <c r="AH91" i="8"/>
  <c r="U91" i="8"/>
  <c r="H91" i="8"/>
  <c r="BJ90" i="8"/>
  <c r="AW90" i="8"/>
  <c r="AJ90" i="8"/>
  <c r="W90" i="8"/>
  <c r="J90" i="8"/>
  <c r="BL89" i="8"/>
  <c r="AY89" i="8"/>
  <c r="AK89" i="8"/>
  <c r="X89" i="8"/>
  <c r="K89" i="8"/>
  <c r="BM88" i="8"/>
  <c r="AZ88" i="8"/>
  <c r="AM88" i="8"/>
  <c r="Z88" i="8"/>
  <c r="M88" i="8"/>
  <c r="BO87" i="8"/>
  <c r="BF145" i="8"/>
  <c r="AL131" i="8"/>
  <c r="BA125" i="8"/>
  <c r="BG121" i="8"/>
  <c r="O118" i="8"/>
  <c r="Q115" i="8"/>
  <c r="H113" i="8"/>
  <c r="AD109" i="8"/>
  <c r="R108" i="8"/>
  <c r="BI106" i="8"/>
  <c r="AN105" i="8"/>
  <c r="AC104" i="8"/>
  <c r="AR103" i="8"/>
  <c r="BK102" i="8"/>
  <c r="O102" i="8"/>
  <c r="AV101" i="8"/>
  <c r="I101" i="8"/>
  <c r="AK100" i="8"/>
  <c r="BL99" i="8"/>
  <c r="Z99" i="8"/>
  <c r="BB98" i="8"/>
  <c r="O98" i="8"/>
  <c r="AR97" i="8"/>
  <c r="L97" i="8"/>
  <c r="AY96" i="8"/>
  <c r="X96" i="8"/>
  <c r="BM95" i="8"/>
  <c r="AL95" i="8"/>
  <c r="J95" i="8"/>
  <c r="AZ94" i="8"/>
  <c r="Y94" i="8"/>
  <c r="BM93" i="8"/>
  <c r="AN93" i="8"/>
  <c r="R93" i="8"/>
  <c r="BK92" i="8"/>
  <c r="AQ92" i="8"/>
  <c r="V92" i="8"/>
  <c r="BQ91" i="8"/>
  <c r="AX91" i="8"/>
  <c r="AD91" i="8"/>
  <c r="J91" i="8"/>
  <c r="BF90" i="8"/>
  <c r="AL90" i="8"/>
  <c r="R90" i="8"/>
  <c r="BN89" i="8"/>
  <c r="AT89" i="8"/>
  <c r="AA89" i="8"/>
  <c r="G89" i="8"/>
  <c r="BB88" i="8"/>
  <c r="AI88" i="8"/>
  <c r="O88" i="8"/>
  <c r="BJ87" i="8"/>
  <c r="AS87" i="8"/>
  <c r="AA87" i="8"/>
  <c r="J87" i="8"/>
  <c r="BH86" i="8"/>
  <c r="AP86" i="8"/>
  <c r="Y86" i="8"/>
  <c r="G86" i="8"/>
  <c r="BG85" i="8"/>
  <c r="AR85" i="8"/>
  <c r="AD85" i="8"/>
  <c r="O85" i="8"/>
  <c r="BO84" i="8"/>
  <c r="BA84" i="8"/>
  <c r="AM84" i="8"/>
  <c r="Y84" i="8"/>
  <c r="J84" i="8"/>
  <c r="BJ83" i="8"/>
  <c r="AV83" i="8"/>
  <c r="AH83" i="8"/>
  <c r="T83" i="8"/>
  <c r="E83" i="8"/>
  <c r="BE82" i="8"/>
  <c r="AQ82" i="8"/>
  <c r="AC82" i="8"/>
  <c r="O82" i="8"/>
  <c r="BO81" i="8"/>
  <c r="AZ81" i="8"/>
  <c r="AL81" i="8"/>
  <c r="X81" i="8"/>
  <c r="J81" i="8"/>
  <c r="BJ80" i="8"/>
  <c r="AU80" i="8"/>
  <c r="AG80" i="8"/>
  <c r="S80" i="8"/>
  <c r="E80" i="8"/>
  <c r="BE79" i="8"/>
  <c r="AP79" i="8"/>
  <c r="AB79" i="8"/>
  <c r="N79" i="8"/>
  <c r="BO78" i="8"/>
  <c r="AZ78" i="8"/>
  <c r="AK78" i="8"/>
  <c r="W78" i="8"/>
  <c r="I78" i="8"/>
  <c r="BK77" i="8"/>
  <c r="AX77" i="8"/>
  <c r="AJ77" i="8"/>
  <c r="W77" i="8"/>
  <c r="J77" i="8"/>
  <c r="BL76" i="8"/>
  <c r="AY76" i="8"/>
  <c r="AL76" i="8"/>
  <c r="Y76" i="8"/>
  <c r="L76" i="8"/>
  <c r="BN75" i="8"/>
  <c r="BB75" i="8"/>
  <c r="AP75" i="8"/>
  <c r="AD75" i="8"/>
  <c r="R75" i="8"/>
  <c r="F75" i="8"/>
  <c r="BI74" i="8"/>
  <c r="AW74" i="8"/>
  <c r="AK74" i="8"/>
  <c r="Y74" i="8"/>
  <c r="M74" i="8"/>
  <c r="BP73" i="8"/>
  <c r="BD73" i="8"/>
  <c r="AR73" i="8"/>
  <c r="AF73" i="8"/>
  <c r="T73" i="8"/>
  <c r="H73" i="8"/>
  <c r="BK72" i="8"/>
  <c r="AY72" i="8"/>
  <c r="AM72" i="8"/>
  <c r="AA72" i="8"/>
  <c r="O72" i="8"/>
  <c r="BF71" i="8"/>
  <c r="AT71" i="8"/>
  <c r="AH71" i="8"/>
  <c r="V71" i="8"/>
  <c r="J71" i="8"/>
  <c r="BM70" i="8"/>
  <c r="BA70" i="8"/>
  <c r="AO70" i="8"/>
  <c r="AC70" i="8"/>
  <c r="Q70" i="8"/>
  <c r="E70" i="8"/>
  <c r="BH69" i="8"/>
  <c r="AV69" i="8"/>
  <c r="AJ69" i="8"/>
  <c r="X69" i="8"/>
  <c r="L69" i="8"/>
  <c r="BO68" i="8"/>
  <c r="BC68" i="8"/>
  <c r="AQ68" i="8"/>
  <c r="AE68" i="8"/>
  <c r="S68" i="8"/>
  <c r="G68" i="8"/>
  <c r="BJ67" i="8"/>
  <c r="AX67" i="8"/>
  <c r="AL67" i="8"/>
  <c r="Z67" i="8"/>
  <c r="N67" i="8"/>
  <c r="BQ66" i="8"/>
  <c r="BE66" i="8"/>
  <c r="AS66" i="8"/>
  <c r="AG66" i="8"/>
  <c r="U66" i="8"/>
  <c r="I66" i="8"/>
  <c r="BL65" i="8"/>
  <c r="AZ65" i="8"/>
  <c r="AN65" i="8"/>
  <c r="AB65" i="8"/>
  <c r="Z141" i="8"/>
  <c r="F130" i="8"/>
  <c r="BK124" i="8"/>
  <c r="AF120" i="8"/>
  <c r="J117" i="8"/>
  <c r="AS114" i="8"/>
  <c r="AL112" i="8"/>
  <c r="AU110" i="8"/>
  <c r="O109" i="8"/>
  <c r="BD107" i="8"/>
  <c r="AG106" i="8"/>
  <c r="R105" i="8"/>
  <c r="U104" i="8"/>
  <c r="AE103" i="8"/>
  <c r="BG102" i="8"/>
  <c r="K102" i="8"/>
  <c r="AJ101" i="8"/>
  <c r="BL100" i="8"/>
  <c r="Z100" i="8"/>
  <c r="BA99" i="8"/>
  <c r="N99" i="8"/>
  <c r="AR98" i="8"/>
  <c r="E98" i="8"/>
  <c r="AH97" i="8"/>
  <c r="E97" i="8"/>
  <c r="AT96" i="8"/>
  <c r="S96" i="8"/>
  <c r="BF95" i="8"/>
  <c r="AG95" i="8"/>
  <c r="F95" i="8"/>
  <c r="AT94" i="8"/>
  <c r="P94" i="8"/>
  <c r="BE93" i="8"/>
  <c r="AJ93" i="8"/>
  <c r="N93" i="8"/>
  <c r="BG92" i="8"/>
  <c r="AK92" i="8"/>
  <c r="R92" i="8"/>
  <c r="BM91" i="8"/>
  <c r="AS91" i="8"/>
  <c r="Z91" i="8"/>
  <c r="F91" i="8"/>
  <c r="BA90" i="8"/>
  <c r="AH90" i="8"/>
  <c r="N90" i="8"/>
  <c r="BI89" i="8"/>
  <c r="AP89" i="8"/>
  <c r="V89" i="8"/>
  <c r="AX88" i="8"/>
  <c r="AD88" i="8"/>
  <c r="K88" i="8"/>
  <c r="BF87" i="8"/>
  <c r="AO87" i="8"/>
  <c r="W87" i="8"/>
  <c r="F87" i="8"/>
  <c r="BC86" i="8"/>
  <c r="AL86" i="8"/>
  <c r="T86" i="8"/>
  <c r="D86" i="8"/>
  <c r="BD85" i="8"/>
  <c r="AN85" i="8"/>
  <c r="Y85" i="8"/>
  <c r="K85" i="8"/>
  <c r="BL84" i="8"/>
  <c r="AX84" i="8"/>
  <c r="AI84" i="8"/>
  <c r="T84" i="8"/>
  <c r="F84" i="8"/>
  <c r="BG83" i="8"/>
  <c r="AS83" i="8"/>
  <c r="AD83" i="8"/>
  <c r="O83" i="8"/>
  <c r="BP82" i="8"/>
  <c r="BB82" i="8"/>
  <c r="AN82" i="8"/>
  <c r="Y82" i="8"/>
  <c r="J82" i="8"/>
  <c r="BK81" i="8"/>
  <c r="AW81" i="8"/>
  <c r="AI81" i="8"/>
  <c r="T81" i="8"/>
  <c r="E81" i="8"/>
  <c r="BF80" i="8"/>
  <c r="AR80" i="8"/>
  <c r="AD80" i="8"/>
  <c r="O80" i="8"/>
  <c r="BO79" i="8"/>
  <c r="BA79" i="8"/>
  <c r="AM79" i="8"/>
  <c r="Y79" i="8"/>
  <c r="J79" i="8"/>
  <c r="BJ78" i="8"/>
  <c r="AV78" i="8"/>
  <c r="AH78" i="8"/>
  <c r="T78" i="8"/>
  <c r="E78" i="8"/>
  <c r="BG77" i="8"/>
  <c r="AT77" i="8"/>
  <c r="AG77" i="8"/>
  <c r="T77" i="8"/>
  <c r="G77" i="8"/>
  <c r="BI76" i="8"/>
  <c r="AV76" i="8"/>
  <c r="AI76" i="8"/>
  <c r="V76" i="8"/>
  <c r="I76" i="8"/>
  <c r="BK75" i="8"/>
  <c r="AY75" i="8"/>
  <c r="AM75" i="8"/>
  <c r="AA75" i="8"/>
  <c r="O75" i="8"/>
  <c r="BF74" i="8"/>
  <c r="AT74" i="8"/>
  <c r="AH74" i="8"/>
  <c r="V74" i="8"/>
  <c r="J74" i="8"/>
  <c r="BM73" i="8"/>
  <c r="BA73" i="8"/>
  <c r="AO73" i="8"/>
  <c r="AC73" i="8"/>
  <c r="Q73" i="8"/>
  <c r="E73" i="8"/>
  <c r="BH72" i="8"/>
  <c r="AV72" i="8"/>
  <c r="AJ72" i="8"/>
  <c r="X72" i="8"/>
  <c r="L72" i="8"/>
  <c r="BO71" i="8"/>
  <c r="BC71" i="8"/>
  <c r="AQ71" i="8"/>
  <c r="AE71" i="8"/>
  <c r="S71" i="8"/>
  <c r="G71" i="8"/>
  <c r="BJ70" i="8"/>
  <c r="AX70" i="8"/>
  <c r="AL70" i="8"/>
  <c r="Z70" i="8"/>
  <c r="N70" i="8"/>
  <c r="BQ69" i="8"/>
  <c r="BE69" i="8"/>
  <c r="AS69" i="8"/>
  <c r="AG69" i="8"/>
  <c r="U69" i="8"/>
  <c r="I69" i="8"/>
  <c r="BL68" i="8"/>
  <c r="AZ68" i="8"/>
  <c r="AN68" i="8"/>
  <c r="AB68" i="8"/>
  <c r="P68" i="8"/>
  <c r="D68" i="8"/>
  <c r="BG67" i="8"/>
  <c r="AU67" i="8"/>
  <c r="AI67" i="8"/>
  <c r="W67" i="8"/>
  <c r="AH137" i="8"/>
  <c r="I129" i="8"/>
  <c r="J124" i="8"/>
  <c r="V120" i="8"/>
  <c r="G117" i="8"/>
  <c r="AQ114" i="8"/>
  <c r="U112" i="8"/>
  <c r="AC110" i="8"/>
  <c r="BB107" i="8"/>
  <c r="AA106" i="8"/>
  <c r="Q105" i="8"/>
  <c r="M104" i="8"/>
  <c r="AC103" i="8"/>
  <c r="AV102" i="8"/>
  <c r="BQ101" i="8"/>
  <c r="AD101" i="8"/>
  <c r="BE100" i="8"/>
  <c r="Y100" i="8"/>
  <c r="AZ99" i="8"/>
  <c r="M99" i="8"/>
  <c r="AO98" i="8"/>
  <c r="AE97" i="8"/>
  <c r="AS96" i="8"/>
  <c r="R96" i="8"/>
  <c r="BE95" i="8"/>
  <c r="AB95" i="8"/>
  <c r="BQ94" i="8"/>
  <c r="AO94" i="8"/>
  <c r="N94" i="8"/>
  <c r="BD93" i="8"/>
  <c r="AF93" i="8"/>
  <c r="L93" i="8"/>
  <c r="BE92" i="8"/>
  <c r="AI92" i="8"/>
  <c r="O92" i="8"/>
  <c r="BK91" i="8"/>
  <c r="AQ91" i="8"/>
  <c r="W91" i="8"/>
  <c r="D91" i="8"/>
  <c r="AY90" i="8"/>
  <c r="AF90" i="8"/>
  <c r="L90" i="8"/>
  <c r="BG89" i="8"/>
  <c r="AN89" i="8"/>
  <c r="T89" i="8"/>
  <c r="BO88" i="8"/>
  <c r="AV88" i="8"/>
  <c r="AB88" i="8"/>
  <c r="H88" i="8"/>
  <c r="BD87" i="8"/>
  <c r="AM87" i="8"/>
  <c r="V87" i="8"/>
  <c r="BB86" i="8"/>
  <c r="AK86" i="8"/>
  <c r="R86" i="8"/>
  <c r="BC85" i="8"/>
  <c r="AM85" i="8"/>
  <c r="X85" i="8"/>
  <c r="J85" i="8"/>
  <c r="BK84" i="8"/>
  <c r="AW84" i="8"/>
  <c r="AH84" i="8"/>
  <c r="S84" i="8"/>
  <c r="E84" i="8"/>
  <c r="BF83" i="8"/>
  <c r="AR83" i="8"/>
  <c r="AC83" i="8"/>
  <c r="N83" i="8"/>
  <c r="BO82" i="8"/>
  <c r="BA82" i="8"/>
  <c r="AM82" i="8"/>
  <c r="X82" i="8"/>
  <c r="I82" i="8"/>
  <c r="BJ81" i="8"/>
  <c r="AV81" i="8"/>
  <c r="AH81" i="8"/>
  <c r="S81" i="8"/>
  <c r="D81" i="8"/>
  <c r="BE80" i="8"/>
  <c r="AQ80" i="8"/>
  <c r="AC80" i="8"/>
  <c r="N80" i="8"/>
  <c r="BN79" i="8"/>
  <c r="AZ79" i="8"/>
  <c r="AL79" i="8"/>
  <c r="X79" i="8"/>
  <c r="I79" i="8"/>
  <c r="BI78" i="8"/>
  <c r="AU78" i="8"/>
  <c r="AG78" i="8"/>
  <c r="S78" i="8"/>
  <c r="D78" i="8"/>
  <c r="BF77" i="8"/>
  <c r="AS77" i="8"/>
  <c r="AF77" i="8"/>
  <c r="S77" i="8"/>
  <c r="F77" i="8"/>
  <c r="BH76" i="8"/>
  <c r="AU76" i="8"/>
  <c r="AM136" i="8"/>
  <c r="BL127" i="8"/>
  <c r="AF123" i="8"/>
  <c r="AY119" i="8"/>
  <c r="AA116" i="8"/>
  <c r="Q114" i="8"/>
  <c r="D112" i="8"/>
  <c r="O110" i="8"/>
  <c r="BB108" i="8"/>
  <c r="AK107" i="8"/>
  <c r="T106" i="8"/>
  <c r="BL104" i="8"/>
  <c r="F104" i="8"/>
  <c r="Y103" i="8"/>
  <c r="AR102" i="8"/>
  <c r="BK101" i="8"/>
  <c r="Y101" i="8"/>
  <c r="BA100" i="8"/>
  <c r="N100" i="8"/>
  <c r="AR99" i="8"/>
  <c r="D99" i="8"/>
  <c r="AF98" i="8"/>
  <c r="BH97" i="8"/>
  <c r="AB97" i="8"/>
  <c r="BM96" i="8"/>
  <c r="AK96" i="8"/>
  <c r="L96" i="8"/>
  <c r="AZ95" i="8"/>
  <c r="Y95" i="8"/>
  <c r="BL94" i="8"/>
  <c r="AL94" i="8"/>
  <c r="K94" i="8"/>
  <c r="AY93" i="8"/>
  <c r="AC93" i="8"/>
  <c r="G93" i="8"/>
  <c r="AZ92" i="8"/>
  <c r="AF92" i="8"/>
  <c r="L92" i="8"/>
  <c r="BG91" i="8"/>
  <c r="AN91" i="8"/>
  <c r="T91" i="8"/>
  <c r="BP90" i="8"/>
  <c r="AV90" i="8"/>
  <c r="AB90" i="8"/>
  <c r="I90" i="8"/>
  <c r="BD89" i="8"/>
  <c r="AJ89" i="8"/>
  <c r="Q89" i="8"/>
  <c r="BL88" i="8"/>
  <c r="AR88" i="8"/>
  <c r="Y88" i="8"/>
  <c r="E88" i="8"/>
  <c r="BB87" i="8"/>
  <c r="AJ87" i="8"/>
  <c r="S87" i="8"/>
  <c r="BP86" i="8"/>
  <c r="AY86" i="8"/>
  <c r="AG86" i="8"/>
  <c r="P86" i="8"/>
  <c r="BP85" i="8"/>
  <c r="AY85" i="8"/>
  <c r="AJ85" i="8"/>
  <c r="V85" i="8"/>
  <c r="H85" i="8"/>
  <c r="BI84" i="8"/>
  <c r="AT84" i="8"/>
  <c r="AE84" i="8"/>
  <c r="Q84" i="8"/>
  <c r="BD83" i="8"/>
  <c r="AO83" i="8"/>
  <c r="Z83" i="8"/>
  <c r="L83" i="8"/>
  <c r="BM82" i="8"/>
  <c r="AY82" i="8"/>
  <c r="AJ82" i="8"/>
  <c r="U82" i="8"/>
  <c r="G82" i="8"/>
  <c r="BH81" i="8"/>
  <c r="AT81" i="8"/>
  <c r="AE81" i="8"/>
  <c r="P81" i="8"/>
  <c r="BQ80" i="8"/>
  <c r="BC80" i="8"/>
  <c r="AO80" i="8"/>
  <c r="Z80" i="8"/>
  <c r="K80" i="8"/>
  <c r="BL79" i="8"/>
  <c r="AX79" i="8"/>
  <c r="AJ79" i="8"/>
  <c r="U79" i="8"/>
  <c r="F79" i="8"/>
  <c r="BG78" i="8"/>
  <c r="AS78" i="8"/>
  <c r="AE78" i="8"/>
  <c r="P78" i="8"/>
  <c r="BQ77" i="8"/>
  <c r="BD77" i="8"/>
  <c r="AQ77" i="8"/>
  <c r="AD77" i="8"/>
  <c r="Q77" i="8"/>
  <c r="D77" i="8"/>
  <c r="BF76" i="8"/>
  <c r="AS76" i="8"/>
  <c r="BE134" i="8"/>
  <c r="AV127" i="8"/>
  <c r="AC123" i="8"/>
  <c r="AS119" i="8"/>
  <c r="Y116" i="8"/>
  <c r="BF113" i="8"/>
  <c r="BF111" i="8"/>
  <c r="J110" i="8"/>
  <c r="AS108" i="8"/>
  <c r="AJ107" i="8"/>
  <c r="H106" i="8"/>
  <c r="BK104" i="8"/>
  <c r="BL103" i="8"/>
  <c r="U103" i="8"/>
  <c r="AN102" i="8"/>
  <c r="BI101" i="8"/>
  <c r="X101" i="8"/>
  <c r="AZ100" i="8"/>
  <c r="M100" i="8"/>
  <c r="AN99" i="8"/>
  <c r="BQ98" i="8"/>
  <c r="AD98" i="8"/>
  <c r="BF97" i="8"/>
  <c r="Y97" i="8"/>
  <c r="BK96" i="8"/>
  <c r="AJ96" i="8"/>
  <c r="I96" i="8"/>
  <c r="AX95" i="8"/>
  <c r="V95" i="8"/>
  <c r="BJ94" i="8"/>
  <c r="AK94" i="8"/>
  <c r="J94" i="8"/>
  <c r="AX93" i="8"/>
  <c r="AB93" i="8"/>
  <c r="F93" i="8"/>
  <c r="AY92" i="8"/>
  <c r="AE92" i="8"/>
  <c r="K92" i="8"/>
  <c r="BF91" i="8"/>
  <c r="AM91" i="8"/>
  <c r="S91" i="8"/>
  <c r="BN90" i="8"/>
  <c r="AU90" i="8"/>
  <c r="AA90" i="8"/>
  <c r="H90" i="8"/>
  <c r="BC89" i="8"/>
  <c r="AI89" i="8"/>
  <c r="P89" i="8"/>
  <c r="BK88" i="8"/>
  <c r="AQ88" i="8"/>
  <c r="X88" i="8"/>
  <c r="D88" i="8"/>
  <c r="BA87" i="8"/>
  <c r="AI87" i="8"/>
  <c r="Q87" i="8"/>
  <c r="BO86" i="8"/>
  <c r="AX86" i="8"/>
  <c r="AE86" i="8"/>
  <c r="O86" i="8"/>
  <c r="BM85" i="8"/>
  <c r="AW85" i="8"/>
  <c r="AI85" i="8"/>
  <c r="U85" i="8"/>
  <c r="G85" i="8"/>
  <c r="BG84" i="8"/>
  <c r="AR84" i="8"/>
  <c r="AD84" i="8"/>
  <c r="P84" i="8"/>
  <c r="BQ83" i="8"/>
  <c r="BB83" i="8"/>
  <c r="AM83" i="8"/>
  <c r="Y83" i="8"/>
  <c r="K83" i="8"/>
  <c r="BL82" i="8"/>
  <c r="AW82" i="8"/>
  <c r="AH82" i="8"/>
  <c r="T82" i="8"/>
  <c r="F82" i="8"/>
  <c r="BG81" i="8"/>
  <c r="AR81" i="8"/>
  <c r="AC81" i="8"/>
  <c r="O81" i="8"/>
  <c r="BP80" i="8"/>
  <c r="BB80" i="8"/>
  <c r="AM80" i="8"/>
  <c r="R133" i="8"/>
  <c r="AV126" i="8"/>
  <c r="AN122" i="8"/>
  <c r="E119" i="8"/>
  <c r="BN115" i="8"/>
  <c r="AM113" i="8"/>
  <c r="AI111" i="8"/>
  <c r="BG109" i="8"/>
  <c r="AO108" i="8"/>
  <c r="I107" i="8"/>
  <c r="BO105" i="8"/>
  <c r="AY104" i="8"/>
  <c r="BE103" i="8"/>
  <c r="I103" i="8"/>
  <c r="AC102" i="8"/>
  <c r="AZ101" i="8"/>
  <c r="M101" i="8"/>
  <c r="AR100" i="8"/>
  <c r="E100" i="8"/>
  <c r="AG99" i="8"/>
  <c r="BH98" i="8"/>
  <c r="AA98" i="8"/>
  <c r="BB97" i="8"/>
  <c r="R97" i="8"/>
  <c r="BH96" i="8"/>
  <c r="AG96" i="8"/>
  <c r="F96" i="8"/>
  <c r="AS95" i="8"/>
  <c r="S95" i="8"/>
  <c r="BG94" i="8"/>
  <c r="AC94" i="8"/>
  <c r="G94" i="8"/>
  <c r="AS93" i="8"/>
  <c r="Y93" i="8"/>
  <c r="AV92" i="8"/>
  <c r="AA92" i="8"/>
  <c r="H92" i="8"/>
  <c r="BC91" i="8"/>
  <c r="AI91" i="8"/>
  <c r="P91" i="8"/>
  <c r="BK90" i="8"/>
  <c r="AR90" i="8"/>
  <c r="X90" i="8"/>
  <c r="D90" i="8"/>
  <c r="AZ89" i="8"/>
  <c r="AF89" i="8"/>
  <c r="L89" i="8"/>
  <c r="BH88" i="8"/>
  <c r="AN88" i="8"/>
  <c r="T88" i="8"/>
  <c r="BP87" i="8"/>
  <c r="AW87" i="8"/>
  <c r="AF87" i="8"/>
  <c r="N87" i="8"/>
  <c r="BL86" i="8"/>
  <c r="AT86" i="8"/>
  <c r="BA145" i="8"/>
  <c r="I125" i="8"/>
  <c r="AV117" i="8"/>
  <c r="G113" i="8"/>
  <c r="AC109" i="8"/>
  <c r="AW106" i="8"/>
  <c r="Y104" i="8"/>
  <c r="BJ102" i="8"/>
  <c r="AM101" i="8"/>
  <c r="AC100" i="8"/>
  <c r="Y99" i="8"/>
  <c r="M98" i="8"/>
  <c r="J97" i="8"/>
  <c r="V96" i="8"/>
  <c r="AK95" i="8"/>
  <c r="AW94" i="8"/>
  <c r="BK93" i="8"/>
  <c r="Q93" i="8"/>
  <c r="AN92" i="8"/>
  <c r="BP91" i="8"/>
  <c r="AC91" i="8"/>
  <c r="BE90" i="8"/>
  <c r="Q90" i="8"/>
  <c r="AS89" i="8"/>
  <c r="F89" i="8"/>
  <c r="AH88" i="8"/>
  <c r="BI87" i="8"/>
  <c r="Z87" i="8"/>
  <c r="BE86" i="8"/>
  <c r="AA86" i="8"/>
  <c r="BJ85" i="8"/>
  <c r="AK85" i="8"/>
  <c r="M85" i="8"/>
  <c r="BC84" i="8"/>
  <c r="AC84" i="8"/>
  <c r="G84" i="8"/>
  <c r="AW83" i="8"/>
  <c r="W83" i="8"/>
  <c r="BN82" i="8"/>
  <c r="AP82" i="8"/>
  <c r="Q82" i="8"/>
  <c r="BF81" i="8"/>
  <c r="AJ81" i="8"/>
  <c r="K81" i="8"/>
  <c r="AY80" i="8"/>
  <c r="AA80" i="8"/>
  <c r="G80" i="8"/>
  <c r="AY79" i="8"/>
  <c r="AD79" i="8"/>
  <c r="G79" i="8"/>
  <c r="BC78" i="8"/>
  <c r="AF78" i="8"/>
  <c r="K78" i="8"/>
  <c r="BE77" i="8"/>
  <c r="AM77" i="8"/>
  <c r="R77" i="8"/>
  <c r="BN76" i="8"/>
  <c r="AT76" i="8"/>
  <c r="AC76" i="8"/>
  <c r="N76" i="8"/>
  <c r="BM75" i="8"/>
  <c r="AX75" i="8"/>
  <c r="AJ75" i="8"/>
  <c r="V75" i="8"/>
  <c r="H75" i="8"/>
  <c r="BH74" i="8"/>
  <c r="AS74" i="8"/>
  <c r="AE74" i="8"/>
  <c r="Q74" i="8"/>
  <c r="BC73" i="8"/>
  <c r="AN73" i="8"/>
  <c r="Z73" i="8"/>
  <c r="L73" i="8"/>
  <c r="BM72" i="8"/>
  <c r="AX72" i="8"/>
  <c r="AI72" i="8"/>
  <c r="U72" i="8"/>
  <c r="G72" i="8"/>
  <c r="BH71" i="8"/>
  <c r="AS71" i="8"/>
  <c r="AD71" i="8"/>
  <c r="P71" i="8"/>
  <c r="BQ70" i="8"/>
  <c r="BC70" i="8"/>
  <c r="AN70" i="8"/>
  <c r="Y70" i="8"/>
  <c r="K70" i="8"/>
  <c r="BL69" i="8"/>
  <c r="AX69" i="8"/>
  <c r="AI69" i="8"/>
  <c r="T69" i="8"/>
  <c r="F69" i="8"/>
  <c r="BG68" i="8"/>
  <c r="AS68" i="8"/>
  <c r="AD68" i="8"/>
  <c r="O68" i="8"/>
  <c r="BP67" i="8"/>
  <c r="BB67" i="8"/>
  <c r="AN67" i="8"/>
  <c r="Y67" i="8"/>
  <c r="K67" i="8"/>
  <c r="BM66" i="8"/>
  <c r="AZ66" i="8"/>
  <c r="AM66" i="8"/>
  <c r="Z66" i="8"/>
  <c r="M66" i="8"/>
  <c r="BO65" i="8"/>
  <c r="BB65" i="8"/>
  <c r="AO65" i="8"/>
  <c r="AA65" i="8"/>
  <c r="O65" i="8"/>
  <c r="BF64" i="8"/>
  <c r="AT64" i="8"/>
  <c r="AH64" i="8"/>
  <c r="V64" i="8"/>
  <c r="J64" i="8"/>
  <c r="BM63" i="8"/>
  <c r="BA63" i="8"/>
  <c r="AO63" i="8"/>
  <c r="AC63" i="8"/>
  <c r="Q63" i="8"/>
  <c r="E63" i="8"/>
  <c r="BH62" i="8"/>
  <c r="AV62" i="8"/>
  <c r="AJ62" i="8"/>
  <c r="X62" i="8"/>
  <c r="L62" i="8"/>
  <c r="BO61" i="8"/>
  <c r="BC61" i="8"/>
  <c r="AQ61" i="8"/>
  <c r="AE61" i="8"/>
  <c r="S61" i="8"/>
  <c r="G61" i="8"/>
  <c r="BJ60" i="8"/>
  <c r="AX60" i="8"/>
  <c r="AL60" i="8"/>
  <c r="Z60" i="8"/>
  <c r="N60" i="8"/>
  <c r="BQ59" i="8"/>
  <c r="BE59" i="8"/>
  <c r="AS59" i="8"/>
  <c r="AG59" i="8"/>
  <c r="U59" i="8"/>
  <c r="I59" i="8"/>
  <c r="BL58" i="8"/>
  <c r="AZ58" i="8"/>
  <c r="AN58" i="8"/>
  <c r="AB58" i="8"/>
  <c r="P58" i="8"/>
  <c r="D58" i="8"/>
  <c r="BG57" i="8"/>
  <c r="AU57" i="8"/>
  <c r="AI57" i="8"/>
  <c r="W57" i="8"/>
  <c r="K57" i="8"/>
  <c r="BN56" i="8"/>
  <c r="BB56" i="8"/>
  <c r="AP56" i="8"/>
  <c r="AD56" i="8"/>
  <c r="R56" i="8"/>
  <c r="F56" i="8"/>
  <c r="BI55" i="8"/>
  <c r="AW55" i="8"/>
  <c r="AK55" i="8"/>
  <c r="Y55" i="8"/>
  <c r="M55" i="8"/>
  <c r="BP54" i="8"/>
  <c r="BD54" i="8"/>
  <c r="AR54" i="8"/>
  <c r="AF54" i="8"/>
  <c r="T54" i="8"/>
  <c r="H54" i="8"/>
  <c r="BK53" i="8"/>
  <c r="AY53" i="8"/>
  <c r="AM53" i="8"/>
  <c r="AA53" i="8"/>
  <c r="O53" i="8"/>
  <c r="BF52" i="8"/>
  <c r="AT52" i="8"/>
  <c r="AH52" i="8"/>
  <c r="V52" i="8"/>
  <c r="J52" i="8"/>
  <c r="BM51" i="8"/>
  <c r="BA51" i="8"/>
  <c r="AO51" i="8"/>
  <c r="AC51" i="8"/>
  <c r="Q51" i="8"/>
  <c r="E51" i="8"/>
  <c r="BH50" i="8"/>
  <c r="AV50" i="8"/>
  <c r="AJ50" i="8"/>
  <c r="X50" i="8"/>
  <c r="AN136" i="8"/>
  <c r="I124" i="8"/>
  <c r="AK116" i="8"/>
  <c r="O112" i="8"/>
  <c r="BQ108" i="8"/>
  <c r="W106" i="8"/>
  <c r="H104" i="8"/>
  <c r="AS102" i="8"/>
  <c r="AA101" i="8"/>
  <c r="P100" i="8"/>
  <c r="F99" i="8"/>
  <c r="BP97" i="8"/>
  <c r="BQ96" i="8"/>
  <c r="M96" i="8"/>
  <c r="Z95" i="8"/>
  <c r="AN94" i="8"/>
  <c r="BA93" i="8"/>
  <c r="I93" i="8"/>
  <c r="AH92" i="8"/>
  <c r="BJ91" i="8"/>
  <c r="V91" i="8"/>
  <c r="AX90" i="8"/>
  <c r="K90" i="8"/>
  <c r="AM89" i="8"/>
  <c r="BN88" i="8"/>
  <c r="AA88" i="8"/>
  <c r="BC87" i="8"/>
  <c r="T87" i="8"/>
  <c r="BA86" i="8"/>
  <c r="U86" i="8"/>
  <c r="BH85" i="8"/>
  <c r="AG85" i="8"/>
  <c r="I85" i="8"/>
  <c r="AZ84" i="8"/>
  <c r="AA84" i="8"/>
  <c r="BP83" i="8"/>
  <c r="AT83" i="8"/>
  <c r="U83" i="8"/>
  <c r="BI82" i="8"/>
  <c r="AK82" i="8"/>
  <c r="M82" i="8"/>
  <c r="BC81" i="8"/>
  <c r="AB81" i="8"/>
  <c r="G81" i="8"/>
  <c r="AV80" i="8"/>
  <c r="W80" i="8"/>
  <c r="AV79" i="8"/>
  <c r="AA79" i="8"/>
  <c r="D79" i="8"/>
  <c r="AX78" i="8"/>
  <c r="AB78" i="8"/>
  <c r="H78" i="8"/>
  <c r="BB77" i="8"/>
  <c r="AI77" i="8"/>
  <c r="O77" i="8"/>
  <c r="BK76" i="8"/>
  <c r="AP76" i="8"/>
  <c r="AA76" i="8"/>
  <c r="K76" i="8"/>
  <c r="BJ75" i="8"/>
  <c r="AV75" i="8"/>
  <c r="AH75" i="8"/>
  <c r="T75" i="8"/>
  <c r="E75" i="8"/>
  <c r="BE74" i="8"/>
  <c r="AQ74" i="8"/>
  <c r="AC74" i="8"/>
  <c r="O74" i="8"/>
  <c r="BO73" i="8"/>
  <c r="AZ73" i="8"/>
  <c r="AL73" i="8"/>
  <c r="X73" i="8"/>
  <c r="J73" i="8"/>
  <c r="BJ72" i="8"/>
  <c r="AU72" i="8"/>
  <c r="AG72" i="8"/>
  <c r="S72" i="8"/>
  <c r="E72" i="8"/>
  <c r="BE71" i="8"/>
  <c r="AP71" i="8"/>
  <c r="AB71" i="8"/>
  <c r="N71" i="8"/>
  <c r="BO70" i="8"/>
  <c r="AZ70" i="8"/>
  <c r="AK70" i="8"/>
  <c r="W70" i="8"/>
  <c r="I70" i="8"/>
  <c r="BJ69" i="8"/>
  <c r="AU69" i="8"/>
  <c r="AF69" i="8"/>
  <c r="R69" i="8"/>
  <c r="D69" i="8"/>
  <c r="BE68" i="8"/>
  <c r="AP68" i="8"/>
  <c r="AA68" i="8"/>
  <c r="M68" i="8"/>
  <c r="BN67" i="8"/>
  <c r="AZ67" i="8"/>
  <c r="AK67" i="8"/>
  <c r="V67" i="8"/>
  <c r="I67" i="8"/>
  <c r="BK66" i="8"/>
  <c r="AX66" i="8"/>
  <c r="AK66" i="8"/>
  <c r="X66" i="8"/>
  <c r="K66" i="8"/>
  <c r="BM65" i="8"/>
  <c r="AY65" i="8"/>
  <c r="AL65" i="8"/>
  <c r="Y65" i="8"/>
  <c r="M65" i="8"/>
  <c r="BP64" i="8"/>
  <c r="BD64" i="8"/>
  <c r="AR64" i="8"/>
  <c r="AF64" i="8"/>
  <c r="T64" i="8"/>
  <c r="H64" i="8"/>
  <c r="BK63" i="8"/>
  <c r="AY63" i="8"/>
  <c r="AM63" i="8"/>
  <c r="AA63" i="8"/>
  <c r="O63" i="8"/>
  <c r="BF62" i="8"/>
  <c r="AT62" i="8"/>
  <c r="AH62" i="8"/>
  <c r="V62" i="8"/>
  <c r="J62" i="8"/>
  <c r="BM61" i="8"/>
  <c r="BA61" i="8"/>
  <c r="AO61" i="8"/>
  <c r="AC61" i="8"/>
  <c r="Q61" i="8"/>
  <c r="E61" i="8"/>
  <c r="BH60" i="8"/>
  <c r="AV60" i="8"/>
  <c r="AJ60" i="8"/>
  <c r="X60" i="8"/>
  <c r="L60" i="8"/>
  <c r="BO59" i="8"/>
  <c r="BC59" i="8"/>
  <c r="AQ59" i="8"/>
  <c r="AE59" i="8"/>
  <c r="S59" i="8"/>
  <c r="G59" i="8"/>
  <c r="BJ58" i="8"/>
  <c r="AX58" i="8"/>
  <c r="AL58" i="8"/>
  <c r="Z58" i="8"/>
  <c r="N58" i="8"/>
  <c r="BQ57" i="8"/>
  <c r="BE57" i="8"/>
  <c r="AS57" i="8"/>
  <c r="AG57" i="8"/>
  <c r="U57" i="8"/>
  <c r="I57" i="8"/>
  <c r="BL56" i="8"/>
  <c r="AZ56" i="8"/>
  <c r="AN56" i="8"/>
  <c r="AB56" i="8"/>
  <c r="P56" i="8"/>
  <c r="D56" i="8"/>
  <c r="BG55" i="8"/>
  <c r="AU55" i="8"/>
  <c r="AI55" i="8"/>
  <c r="W55" i="8"/>
  <c r="K55" i="8"/>
  <c r="BN54" i="8"/>
  <c r="BB54" i="8"/>
  <c r="AT134" i="8"/>
  <c r="AV122" i="8"/>
  <c r="BO115" i="8"/>
  <c r="AT111" i="8"/>
  <c r="AR108" i="8"/>
  <c r="BP105" i="8"/>
  <c r="BF103" i="8"/>
  <c r="AI102" i="8"/>
  <c r="P101" i="8"/>
  <c r="J100" i="8"/>
  <c r="BP98" i="8"/>
  <c r="BD97" i="8"/>
  <c r="BI96" i="8"/>
  <c r="G96" i="8"/>
  <c r="U95" i="8"/>
  <c r="AH94" i="8"/>
  <c r="AV93" i="8"/>
  <c r="D93" i="8"/>
  <c r="AB92" i="8"/>
  <c r="BD91" i="8"/>
  <c r="Q91" i="8"/>
  <c r="AS90" i="8"/>
  <c r="E90" i="8"/>
  <c r="AG89" i="8"/>
  <c r="BI88" i="8"/>
  <c r="V88" i="8"/>
  <c r="AY87" i="8"/>
  <c r="O87" i="8"/>
  <c r="AV86" i="8"/>
  <c r="Q86" i="8"/>
  <c r="BF85" i="8"/>
  <c r="AF85" i="8"/>
  <c r="F85" i="8"/>
  <c r="AY84" i="8"/>
  <c r="Z84" i="8"/>
  <c r="BN83" i="8"/>
  <c r="AP83" i="8"/>
  <c r="R83" i="8"/>
  <c r="BH82" i="8"/>
  <c r="AG82" i="8"/>
  <c r="L82" i="8"/>
  <c r="BA81" i="8"/>
  <c r="AA81" i="8"/>
  <c r="AT80" i="8"/>
  <c r="V80" i="8"/>
  <c r="BQ79" i="8"/>
  <c r="AT79" i="8"/>
  <c r="Z79" i="8"/>
  <c r="AW78" i="8"/>
  <c r="AZ132" i="8"/>
  <c r="AF122" i="8"/>
  <c r="BB115" i="8"/>
  <c r="N111" i="8"/>
  <c r="AC108" i="8"/>
  <c r="BA105" i="8"/>
  <c r="BC103" i="8"/>
  <c r="AB102" i="8"/>
  <c r="L101" i="8"/>
  <c r="BQ99" i="8"/>
  <c r="BE98" i="8"/>
  <c r="AW97" i="8"/>
  <c r="BE96" i="8"/>
  <c r="R95" i="8"/>
  <c r="AB94" i="8"/>
  <c r="AQ93" i="8"/>
  <c r="BP92" i="8"/>
  <c r="Y92" i="8"/>
  <c r="BA91" i="8"/>
  <c r="N91" i="8"/>
  <c r="AO90" i="8"/>
  <c r="BQ89" i="8"/>
  <c r="AD89" i="8"/>
  <c r="BF88" i="8"/>
  <c r="R88" i="8"/>
  <c r="AV87" i="8"/>
  <c r="M87" i="8"/>
  <c r="AR86" i="8"/>
  <c r="N86" i="8"/>
  <c r="BE85" i="8"/>
  <c r="AE85" i="8"/>
  <c r="D85" i="8"/>
  <c r="AU84" i="8"/>
  <c r="W84" i="8"/>
  <c r="BM83" i="8"/>
  <c r="AL83" i="8"/>
  <c r="Q83" i="8"/>
  <c r="BF82" i="8"/>
  <c r="AF82" i="8"/>
  <c r="H82" i="8"/>
  <c r="AY81" i="8"/>
  <c r="Z81" i="8"/>
  <c r="BO80" i="8"/>
  <c r="AS80" i="8"/>
  <c r="U80" i="8"/>
  <c r="BM79" i="8"/>
  <c r="AS79" i="8"/>
  <c r="V79" i="8"/>
  <c r="BQ78" i="8"/>
  <c r="AT78" i="8"/>
  <c r="Y78" i="8"/>
  <c r="AZ77" i="8"/>
  <c r="AE77" i="8"/>
  <c r="L77" i="8"/>
  <c r="BG76" i="8"/>
  <c r="AN76" i="8"/>
  <c r="X76" i="8"/>
  <c r="G76" i="8"/>
  <c r="BH75" i="8"/>
  <c r="AT75" i="8"/>
  <c r="AF75" i="8"/>
  <c r="Q75" i="8"/>
  <c r="BQ74" i="8"/>
  <c r="BC74" i="8"/>
  <c r="AO74" i="8"/>
  <c r="AA74" i="8"/>
  <c r="L74" i="8"/>
  <c r="BL73" i="8"/>
  <c r="AX73" i="8"/>
  <c r="AJ73" i="8"/>
  <c r="V73" i="8"/>
  <c r="G73" i="8"/>
  <c r="BG72" i="8"/>
  <c r="AS72" i="8"/>
  <c r="AE72" i="8"/>
  <c r="Q72" i="8"/>
  <c r="BQ71" i="8"/>
  <c r="BB71" i="8"/>
  <c r="AN71" i="8"/>
  <c r="Z71" i="8"/>
  <c r="L71" i="8"/>
  <c r="BL70" i="8"/>
  <c r="AW70" i="8"/>
  <c r="AI70" i="8"/>
  <c r="U70" i="8"/>
  <c r="G70" i="8"/>
  <c r="BG69" i="8"/>
  <c r="AR69" i="8"/>
  <c r="AD69" i="8"/>
  <c r="P69" i="8"/>
  <c r="BQ68" i="8"/>
  <c r="BB68" i="8"/>
  <c r="AM68" i="8"/>
  <c r="Y68" i="8"/>
  <c r="K68" i="8"/>
  <c r="BL67" i="8"/>
  <c r="AW67" i="8"/>
  <c r="AH67" i="8"/>
  <c r="T67" i="8"/>
  <c r="G67" i="8"/>
  <c r="BI66" i="8"/>
  <c r="AV66" i="8"/>
  <c r="AI66" i="8"/>
  <c r="V66" i="8"/>
  <c r="H66" i="8"/>
  <c r="BJ65" i="8"/>
  <c r="AW65" i="8"/>
  <c r="AJ65" i="8"/>
  <c r="W65" i="8"/>
  <c r="K65" i="8"/>
  <c r="BN64" i="8"/>
  <c r="BB64" i="8"/>
  <c r="AP64" i="8"/>
  <c r="AD64" i="8"/>
  <c r="R64" i="8"/>
  <c r="F64" i="8"/>
  <c r="BI63" i="8"/>
  <c r="AW63" i="8"/>
  <c r="AK63" i="8"/>
  <c r="Y63" i="8"/>
  <c r="M63" i="8"/>
  <c r="BP62" i="8"/>
  <c r="BD62" i="8"/>
  <c r="AR62" i="8"/>
  <c r="AF62" i="8"/>
  <c r="T62" i="8"/>
  <c r="H62" i="8"/>
  <c r="BK61" i="8"/>
  <c r="AY61" i="8"/>
  <c r="AM61" i="8"/>
  <c r="AA61" i="8"/>
  <c r="O61" i="8"/>
  <c r="BF60" i="8"/>
  <c r="AT60" i="8"/>
  <c r="AH60" i="8"/>
  <c r="V60" i="8"/>
  <c r="J60" i="8"/>
  <c r="BM59" i="8"/>
  <c r="BA59" i="8"/>
  <c r="AO59" i="8"/>
  <c r="AC59" i="8"/>
  <c r="Q59" i="8"/>
  <c r="E59" i="8"/>
  <c r="BH58" i="8"/>
  <c r="AV58" i="8"/>
  <c r="AJ58" i="8"/>
  <c r="X58" i="8"/>
  <c r="L58" i="8"/>
  <c r="BO57" i="8"/>
  <c r="BC57" i="8"/>
  <c r="AQ57" i="8"/>
  <c r="AE57" i="8"/>
  <c r="AA131" i="8"/>
  <c r="Q121" i="8"/>
  <c r="BP114" i="8"/>
  <c r="BD110" i="8"/>
  <c r="BQ107" i="8"/>
  <c r="AL105" i="8"/>
  <c r="AQ103" i="8"/>
  <c r="N102" i="8"/>
  <c r="BP100" i="8"/>
  <c r="BE99" i="8"/>
  <c r="BA98" i="8"/>
  <c r="AO97" i="8"/>
  <c r="AW96" i="8"/>
  <c r="BL95" i="8"/>
  <c r="I95" i="8"/>
  <c r="W94" i="8"/>
  <c r="AM93" i="8"/>
  <c r="BJ92" i="8"/>
  <c r="U92" i="8"/>
  <c r="AW91" i="8"/>
  <c r="I91" i="8"/>
  <c r="AK90" i="8"/>
  <c r="BM89" i="8"/>
  <c r="Y89" i="8"/>
  <c r="BA88" i="8"/>
  <c r="N88" i="8"/>
  <c r="AQ87" i="8"/>
  <c r="I87" i="8"/>
  <c r="AO86" i="8"/>
  <c r="J86" i="8"/>
  <c r="AV85" i="8"/>
  <c r="AA85" i="8"/>
  <c r="BP84" i="8"/>
  <c r="AP84" i="8"/>
  <c r="R84" i="8"/>
  <c r="BI83" i="8"/>
  <c r="AJ83" i="8"/>
  <c r="J83" i="8"/>
  <c r="BC82" i="8"/>
  <c r="AD82" i="8"/>
  <c r="D82" i="8"/>
  <c r="AU81" i="8"/>
  <c r="W81" i="8"/>
  <c r="BM80" i="8"/>
  <c r="AL80" i="8"/>
  <c r="R80" i="8"/>
  <c r="BJ79" i="8"/>
  <c r="AO79" i="8"/>
  <c r="R79" i="8"/>
  <c r="BM78" i="8"/>
  <c r="AQ78" i="8"/>
  <c r="V78" i="8"/>
  <c r="BO77" i="8"/>
  <c r="AV77" i="8"/>
  <c r="AB77" i="8"/>
  <c r="I77" i="8"/>
  <c r="BC76" i="8"/>
  <c r="AK76" i="8"/>
  <c r="U76" i="8"/>
  <c r="E76" i="8"/>
  <c r="BF75" i="8"/>
  <c r="AR75" i="8"/>
  <c r="AC75" i="8"/>
  <c r="N75" i="8"/>
  <c r="BO74" i="8"/>
  <c r="BA74" i="8"/>
  <c r="AM74" i="8"/>
  <c r="X74" i="8"/>
  <c r="I74" i="8"/>
  <c r="BJ73" i="8"/>
  <c r="AV73" i="8"/>
  <c r="AH73" i="8"/>
  <c r="S73" i="8"/>
  <c r="D73" i="8"/>
  <c r="BE72" i="8"/>
  <c r="AQ72" i="8"/>
  <c r="AC72" i="8"/>
  <c r="N72" i="8"/>
  <c r="BN71" i="8"/>
  <c r="AZ71" i="8"/>
  <c r="AL71" i="8"/>
  <c r="X71" i="8"/>
  <c r="I71" i="8"/>
  <c r="BI70" i="8"/>
  <c r="AU70" i="8"/>
  <c r="AG70" i="8"/>
  <c r="S70" i="8"/>
  <c r="D70" i="8"/>
  <c r="BD69" i="8"/>
  <c r="AP69" i="8"/>
  <c r="AB69" i="8"/>
  <c r="N69" i="8"/>
  <c r="BN68" i="8"/>
  <c r="AY68" i="8"/>
  <c r="AK68" i="8"/>
  <c r="W68" i="8"/>
  <c r="I68" i="8"/>
  <c r="BI67" i="8"/>
  <c r="AT67" i="8"/>
  <c r="AF67" i="8"/>
  <c r="R67" i="8"/>
  <c r="E67" i="8"/>
  <c r="BG66" i="8"/>
  <c r="J130" i="8"/>
  <c r="K121" i="8"/>
  <c r="BC114" i="8"/>
  <c r="AV110" i="8"/>
  <c r="BJ107" i="8"/>
  <c r="W105" i="8"/>
  <c r="AN103" i="8"/>
  <c r="L102" i="8"/>
  <c r="BO100" i="8"/>
  <c r="BD99" i="8"/>
  <c r="AS98" i="8"/>
  <c r="AJ97" i="8"/>
  <c r="AV96" i="8"/>
  <c r="BI95" i="8"/>
  <c r="G95" i="8"/>
  <c r="V94" i="8"/>
  <c r="AK93" i="8"/>
  <c r="BH92" i="8"/>
  <c r="S92" i="8"/>
  <c r="AT91" i="8"/>
  <c r="G91" i="8"/>
  <c r="AI90" i="8"/>
  <c r="BK89" i="8"/>
  <c r="W89" i="8"/>
  <c r="AY88" i="8"/>
  <c r="L88" i="8"/>
  <c r="AP87" i="8"/>
  <c r="G87" i="8"/>
  <c r="AN86" i="8"/>
  <c r="H86" i="8"/>
  <c r="AU85" i="8"/>
  <c r="W85" i="8"/>
  <c r="BN84" i="8"/>
  <c r="AO84" i="8"/>
  <c r="O84" i="8"/>
  <c r="BH83" i="8"/>
  <c r="AI83" i="8"/>
  <c r="I83" i="8"/>
  <c r="AZ82" i="8"/>
  <c r="AB82" i="8"/>
  <c r="AQ81" i="8"/>
  <c r="V81" i="8"/>
  <c r="BK80" i="8"/>
  <c r="AJ80" i="8"/>
  <c r="Q80" i="8"/>
  <c r="BI79" i="8"/>
  <c r="AN79" i="8"/>
  <c r="Q79" i="8"/>
  <c r="BL78" i="8"/>
  <c r="AO78" i="8"/>
  <c r="U78" i="8"/>
  <c r="BN77" i="8"/>
  <c r="AU77" i="8"/>
  <c r="AA77" i="8"/>
  <c r="H77" i="8"/>
  <c r="BB76" i="8"/>
  <c r="AJ76" i="8"/>
  <c r="S76" i="8"/>
  <c r="D76" i="8"/>
  <c r="BE75" i="8"/>
  <c r="AQ75" i="8"/>
  <c r="AB75" i="8"/>
  <c r="M75" i="8"/>
  <c r="BN74" i="8"/>
  <c r="AZ74" i="8"/>
  <c r="AL74" i="8"/>
  <c r="W74" i="8"/>
  <c r="H74" i="8"/>
  <c r="BI73" i="8"/>
  <c r="AU73" i="8"/>
  <c r="AG73" i="8"/>
  <c r="R73" i="8"/>
  <c r="BD72" i="8"/>
  <c r="AP72" i="8"/>
  <c r="AB72" i="8"/>
  <c r="M72" i="8"/>
  <c r="BM71" i="8"/>
  <c r="AY71" i="8"/>
  <c r="AK71" i="8"/>
  <c r="W71" i="8"/>
  <c r="H71" i="8"/>
  <c r="BH70" i="8"/>
  <c r="AT70" i="8"/>
  <c r="AF70" i="8"/>
  <c r="R70" i="8"/>
  <c r="BC69" i="8"/>
  <c r="AO69" i="8"/>
  <c r="AA69" i="8"/>
  <c r="M69" i="8"/>
  <c r="BM68" i="8"/>
  <c r="AX68" i="8"/>
  <c r="AJ68" i="8"/>
  <c r="V68" i="8"/>
  <c r="H68" i="8"/>
  <c r="BH67" i="8"/>
  <c r="AS67" i="8"/>
  <c r="AE67" i="8"/>
  <c r="Q67" i="8"/>
  <c r="D67" i="8"/>
  <c r="BF66" i="8"/>
  <c r="AR66" i="8"/>
  <c r="AE66" i="8"/>
  <c r="R66" i="8"/>
  <c r="E66" i="8"/>
  <c r="BG65" i="8"/>
  <c r="AT65" i="8"/>
  <c r="AG65" i="8"/>
  <c r="T65" i="8"/>
  <c r="H65" i="8"/>
  <c r="BK64" i="8"/>
  <c r="AY64" i="8"/>
  <c r="AM64" i="8"/>
  <c r="AA64" i="8"/>
  <c r="O64" i="8"/>
  <c r="BF63" i="8"/>
  <c r="AT63" i="8"/>
  <c r="AH63" i="8"/>
  <c r="V63" i="8"/>
  <c r="J63" i="8"/>
  <c r="BM62" i="8"/>
  <c r="BA62" i="8"/>
  <c r="AO62" i="8"/>
  <c r="AC62" i="8"/>
  <c r="Q62" i="8"/>
  <c r="H129" i="8"/>
  <c r="AD141" i="8"/>
  <c r="AJ115" i="8"/>
  <c r="S108" i="8"/>
  <c r="BB103" i="8"/>
  <c r="J101" i="8"/>
  <c r="BD98" i="8"/>
  <c r="BA96" i="8"/>
  <c r="M95" i="8"/>
  <c r="AP93" i="8"/>
  <c r="X92" i="8"/>
  <c r="M91" i="8"/>
  <c r="BP89" i="8"/>
  <c r="BD88" i="8"/>
  <c r="AT87" i="8"/>
  <c r="AQ86" i="8"/>
  <c r="AZ85" i="8"/>
  <c r="V84" i="8"/>
  <c r="AK83" i="8"/>
  <c r="BD82" i="8"/>
  <c r="E82" i="8"/>
  <c r="Y81" i="8"/>
  <c r="AP80" i="8"/>
  <c r="BK79" i="8"/>
  <c r="S79" i="8"/>
  <c r="AR78" i="8"/>
  <c r="J78" i="8"/>
  <c r="AO77" i="8"/>
  <c r="E77" i="8"/>
  <c r="AO76" i="8"/>
  <c r="O76" i="8"/>
  <c r="BC75" i="8"/>
  <c r="AE75" i="8"/>
  <c r="G75" i="8"/>
  <c r="AV74" i="8"/>
  <c r="U74" i="8"/>
  <c r="BN73" i="8"/>
  <c r="AP73" i="8"/>
  <c r="O73" i="8"/>
  <c r="BF72" i="8"/>
  <c r="AH72" i="8"/>
  <c r="I72" i="8"/>
  <c r="AX71" i="8"/>
  <c r="AA71" i="8"/>
  <c r="AR70" i="8"/>
  <c r="T70" i="8"/>
  <c r="BK69" i="8"/>
  <c r="AL69" i="8"/>
  <c r="K69" i="8"/>
  <c r="BD68" i="8"/>
  <c r="AF68" i="8"/>
  <c r="E68" i="8"/>
  <c r="AV67" i="8"/>
  <c r="X67" i="8"/>
  <c r="BO66" i="8"/>
  <c r="AT66" i="8"/>
  <c r="AA66" i="8"/>
  <c r="F66" i="8"/>
  <c r="BC65" i="8"/>
  <c r="AH65" i="8"/>
  <c r="P65" i="8"/>
  <c r="BL64" i="8"/>
  <c r="AU64" i="8"/>
  <c r="AB64" i="8"/>
  <c r="K64" i="8"/>
  <c r="BG63" i="8"/>
  <c r="AP63" i="8"/>
  <c r="W63" i="8"/>
  <c r="F63" i="8"/>
  <c r="BB62" i="8"/>
  <c r="AK62" i="8"/>
  <c r="R62" i="8"/>
  <c r="BQ61" i="8"/>
  <c r="AZ61" i="8"/>
  <c r="AJ61" i="8"/>
  <c r="U61" i="8"/>
  <c r="D61" i="8"/>
  <c r="BC60" i="8"/>
  <c r="AN60" i="8"/>
  <c r="W60" i="8"/>
  <c r="G60" i="8"/>
  <c r="BG59" i="8"/>
  <c r="AP59" i="8"/>
  <c r="Z59" i="8"/>
  <c r="K59" i="8"/>
  <c r="BI58" i="8"/>
  <c r="AS58" i="8"/>
  <c r="AD58" i="8"/>
  <c r="M58" i="8"/>
  <c r="BL57" i="8"/>
  <c r="AW57" i="8"/>
  <c r="AF57" i="8"/>
  <c r="Q57" i="8"/>
  <c r="BD56" i="8"/>
  <c r="AO56" i="8"/>
  <c r="Z56" i="8"/>
  <c r="L56" i="8"/>
  <c r="BM55" i="8"/>
  <c r="AY55" i="8"/>
  <c r="AJ55" i="8"/>
  <c r="U55" i="8"/>
  <c r="G55" i="8"/>
  <c r="BH54" i="8"/>
  <c r="AT54" i="8"/>
  <c r="AG54" i="8"/>
  <c r="S54" i="8"/>
  <c r="F54" i="8"/>
  <c r="BH53" i="8"/>
  <c r="AU53" i="8"/>
  <c r="AH53" i="8"/>
  <c r="U53" i="8"/>
  <c r="H53" i="8"/>
  <c r="AU131" i="8"/>
  <c r="R114" i="8"/>
  <c r="AO107" i="8"/>
  <c r="Z103" i="8"/>
  <c r="BC100" i="8"/>
  <c r="AH98" i="8"/>
  <c r="AM96" i="8"/>
  <c r="BP94" i="8"/>
  <c r="AE93" i="8"/>
  <c r="N92" i="8"/>
  <c r="BF89" i="8"/>
  <c r="AU88" i="8"/>
  <c r="AL87" i="8"/>
  <c r="AH86" i="8"/>
  <c r="AT85" i="8"/>
  <c r="BM84" i="8"/>
  <c r="N84" i="8"/>
  <c r="AG83" i="8"/>
  <c r="AV82" i="8"/>
  <c r="BP81" i="8"/>
  <c r="Q81" i="8"/>
  <c r="AI80" i="8"/>
  <c r="BH79" i="8"/>
  <c r="P79" i="8"/>
  <c r="AN78" i="8"/>
  <c r="G78" i="8"/>
  <c r="AN77" i="8"/>
  <c r="AM76" i="8"/>
  <c r="M76" i="8"/>
  <c r="BA75" i="8"/>
  <c r="Z75" i="8"/>
  <c r="D75" i="8"/>
  <c r="AU74" i="8"/>
  <c r="T74" i="8"/>
  <c r="BK73" i="8"/>
  <c r="AM73" i="8"/>
  <c r="N73" i="8"/>
  <c r="BC72" i="8"/>
  <c r="AF72" i="8"/>
  <c r="H72" i="8"/>
  <c r="AW71" i="8"/>
  <c r="Y71" i="8"/>
  <c r="BP70" i="8"/>
  <c r="AQ70" i="8"/>
  <c r="P70" i="8"/>
  <c r="BI69" i="8"/>
  <c r="AK69" i="8"/>
  <c r="J69" i="8"/>
  <c r="BA68" i="8"/>
  <c r="AC68" i="8"/>
  <c r="AR67" i="8"/>
  <c r="U67" i="8"/>
  <c r="BN66" i="8"/>
  <c r="AQ66" i="8"/>
  <c r="Y66" i="8"/>
  <c r="D66" i="8"/>
  <c r="BA65" i="8"/>
  <c r="AF65" i="8"/>
  <c r="N65" i="8"/>
  <c r="BJ64" i="8"/>
  <c r="AS64" i="8"/>
  <c r="Z64" i="8"/>
  <c r="I64" i="8"/>
  <c r="BE63" i="8"/>
  <c r="AN63" i="8"/>
  <c r="U63" i="8"/>
  <c r="D63" i="8"/>
  <c r="AZ62" i="8"/>
  <c r="AI62" i="8"/>
  <c r="P62" i="8"/>
  <c r="BP61" i="8"/>
  <c r="AX61" i="8"/>
  <c r="AI61" i="8"/>
  <c r="T61" i="8"/>
  <c r="BQ60" i="8"/>
  <c r="BB60" i="8"/>
  <c r="AM60" i="8"/>
  <c r="U60" i="8"/>
  <c r="F60" i="8"/>
  <c r="BF59" i="8"/>
  <c r="AN59" i="8"/>
  <c r="Y59" i="8"/>
  <c r="J59" i="8"/>
  <c r="BG58" i="8"/>
  <c r="AR58" i="8"/>
  <c r="AC58" i="8"/>
  <c r="K58" i="8"/>
  <c r="BK57" i="8"/>
  <c r="AV57" i="8"/>
  <c r="AD57" i="8"/>
  <c r="P57" i="8"/>
  <c r="BQ56" i="8"/>
  <c r="BC56" i="8"/>
  <c r="AM56" i="8"/>
  <c r="Y56" i="8"/>
  <c r="K56" i="8"/>
  <c r="BL55" i="8"/>
  <c r="AX55" i="8"/>
  <c r="AH55" i="8"/>
  <c r="T55" i="8"/>
  <c r="F55" i="8"/>
  <c r="BG54" i="8"/>
  <c r="AS54" i="8"/>
  <c r="AE54" i="8"/>
  <c r="R54" i="8"/>
  <c r="E54" i="8"/>
  <c r="BG53" i="8"/>
  <c r="AT53" i="8"/>
  <c r="AM127" i="8"/>
  <c r="AX113" i="8"/>
  <c r="S107" i="8"/>
  <c r="P103" i="8"/>
  <c r="AX100" i="8"/>
  <c r="AC98" i="8"/>
  <c r="AH96" i="8"/>
  <c r="BI94" i="8"/>
  <c r="Z93" i="8"/>
  <c r="I92" i="8"/>
  <c r="BL90" i="8"/>
  <c r="BA89" i="8"/>
  <c r="AO88" i="8"/>
  <c r="AG87" i="8"/>
  <c r="AD86" i="8"/>
  <c r="AS85" i="8"/>
  <c r="BJ84" i="8"/>
  <c r="M84" i="8"/>
  <c r="AF83" i="8"/>
  <c r="AT82" i="8"/>
  <c r="BM81" i="8"/>
  <c r="N81" i="8"/>
  <c r="AH80" i="8"/>
  <c r="BF79" i="8"/>
  <c r="O79" i="8"/>
  <c r="AL78" i="8"/>
  <c r="BP77" i="8"/>
  <c r="AL77" i="8"/>
  <c r="BQ76" i="8"/>
  <c r="AH76" i="8"/>
  <c r="J76" i="8"/>
  <c r="AZ75" i="8"/>
  <c r="Y75" i="8"/>
  <c r="BP74" i="8"/>
  <c r="AR74" i="8"/>
  <c r="S74" i="8"/>
  <c r="BH73" i="8"/>
  <c r="AK73" i="8"/>
  <c r="M73" i="8"/>
  <c r="BB72" i="8"/>
  <c r="AD72" i="8"/>
  <c r="F72" i="8"/>
  <c r="AV71" i="8"/>
  <c r="U71" i="8"/>
  <c r="BN70" i="8"/>
  <c r="AP70" i="8"/>
  <c r="O70" i="8"/>
  <c r="BF69" i="8"/>
  <c r="AH69" i="8"/>
  <c r="H69" i="8"/>
  <c r="AW68" i="8"/>
  <c r="Z68" i="8"/>
  <c r="BQ67" i="8"/>
  <c r="AQ67" i="8"/>
  <c r="S67" i="8"/>
  <c r="BL66" i="8"/>
  <c r="AP66" i="8"/>
  <c r="W66" i="8"/>
  <c r="AX65" i="8"/>
  <c r="AE65" i="8"/>
  <c r="L65" i="8"/>
  <c r="BI64" i="8"/>
  <c r="AQ64" i="8"/>
  <c r="Y64" i="8"/>
  <c r="G64" i="8"/>
  <c r="BD63" i="8"/>
  <c r="AL63" i="8"/>
  <c r="T63" i="8"/>
  <c r="BQ62" i="8"/>
  <c r="AY62" i="8"/>
  <c r="AG62" i="8"/>
  <c r="O62" i="8"/>
  <c r="BN61" i="8"/>
  <c r="AW61" i="8"/>
  <c r="AH61" i="8"/>
  <c r="R61" i="8"/>
  <c r="BP60" i="8"/>
  <c r="BA60" i="8"/>
  <c r="AK60" i="8"/>
  <c r="T60" i="8"/>
  <c r="E60" i="8"/>
  <c r="BD59" i="8"/>
  <c r="AM59" i="8"/>
  <c r="X59" i="8"/>
  <c r="H59" i="8"/>
  <c r="BF58" i="8"/>
  <c r="AQ58" i="8"/>
  <c r="AA58" i="8"/>
  <c r="J58" i="8"/>
  <c r="BJ57" i="8"/>
  <c r="AT57" i="8"/>
  <c r="AC57" i="8"/>
  <c r="O57" i="8"/>
  <c r="BP56" i="8"/>
  <c r="BA56" i="8"/>
  <c r="AL56" i="8"/>
  <c r="X56" i="8"/>
  <c r="J56" i="8"/>
  <c r="BK55" i="8"/>
  <c r="AV55" i="8"/>
  <c r="AG55" i="8"/>
  <c r="S55" i="8"/>
  <c r="E55" i="8"/>
  <c r="BF54" i="8"/>
  <c r="AQ54" i="8"/>
  <c r="AD54" i="8"/>
  <c r="Q54" i="8"/>
  <c r="D54" i="8"/>
  <c r="BF53" i="8"/>
  <c r="AS53" i="8"/>
  <c r="AF53" i="8"/>
  <c r="S53" i="8"/>
  <c r="F53" i="8"/>
  <c r="BH52" i="8"/>
  <c r="AT126" i="8"/>
  <c r="Z113" i="8"/>
  <c r="H107" i="8"/>
  <c r="G103" i="8"/>
  <c r="AN100" i="8"/>
  <c r="U98" i="8"/>
  <c r="AE96" i="8"/>
  <c r="BD94" i="8"/>
  <c r="U93" i="8"/>
  <c r="F92" i="8"/>
  <c r="BI90" i="8"/>
  <c r="AW89" i="8"/>
  <c r="AL88" i="8"/>
  <c r="AD87" i="8"/>
  <c r="AC86" i="8"/>
  <c r="AQ85" i="8"/>
  <c r="BF84" i="8"/>
  <c r="K84" i="8"/>
  <c r="AA83" i="8"/>
  <c r="AS82" i="8"/>
  <c r="BL81" i="8"/>
  <c r="M81" i="8"/>
  <c r="AF80" i="8"/>
  <c r="BC79" i="8"/>
  <c r="M79" i="8"/>
  <c r="AJ78" i="8"/>
  <c r="BM77" i="8"/>
  <c r="AH77" i="8"/>
  <c r="BO76" i="8"/>
  <c r="AG76" i="8"/>
  <c r="F76" i="8"/>
  <c r="AW75" i="8"/>
  <c r="X75" i="8"/>
  <c r="BM74" i="8"/>
  <c r="AP74" i="8"/>
  <c r="R74" i="8"/>
  <c r="BG73" i="8"/>
  <c r="AI73" i="8"/>
  <c r="K73" i="8"/>
  <c r="BA72" i="8"/>
  <c r="Z72" i="8"/>
  <c r="D72" i="8"/>
  <c r="AU71" i="8"/>
  <c r="T71" i="8"/>
  <c r="BK70" i="8"/>
  <c r="AM70" i="8"/>
  <c r="M70" i="8"/>
  <c r="BB69" i="8"/>
  <c r="AE69" i="8"/>
  <c r="G69" i="8"/>
  <c r="AV68" i="8"/>
  <c r="X68" i="8"/>
  <c r="BO67" i="8"/>
  <c r="AP67" i="8"/>
  <c r="P67" i="8"/>
  <c r="BJ66" i="8"/>
  <c r="AO66" i="8"/>
  <c r="T66" i="8"/>
  <c r="BQ65" i="8"/>
  <c r="AV65" i="8"/>
  <c r="AD65" i="8"/>
  <c r="J65" i="8"/>
  <c r="BH64" i="8"/>
  <c r="AO64" i="8"/>
  <c r="X64" i="8"/>
  <c r="E64" i="8"/>
  <c r="BC63" i="8"/>
  <c r="AJ63" i="8"/>
  <c r="S63" i="8"/>
  <c r="BO62" i="8"/>
  <c r="AX62" i="8"/>
  <c r="AE62" i="8"/>
  <c r="N62" i="8"/>
  <c r="BL61" i="8"/>
  <c r="AV61" i="8"/>
  <c r="AG61" i="8"/>
  <c r="P61" i="8"/>
  <c r="BO60" i="8"/>
  <c r="AZ60" i="8"/>
  <c r="AI60" i="8"/>
  <c r="S60" i="8"/>
  <c r="D60" i="8"/>
  <c r="BB59" i="8"/>
  <c r="AL59" i="8"/>
  <c r="W59" i="8"/>
  <c r="F59" i="8"/>
  <c r="BE58" i="8"/>
  <c r="AP58" i="8"/>
  <c r="Y58" i="8"/>
  <c r="I58" i="8"/>
  <c r="BI57" i="8"/>
  <c r="AR57" i="8"/>
  <c r="AB57" i="8"/>
  <c r="N57" i="8"/>
  <c r="BO56" i="8"/>
  <c r="AY56" i="8"/>
  <c r="AK56" i="8"/>
  <c r="W56" i="8"/>
  <c r="I56" i="8"/>
  <c r="BJ55" i="8"/>
  <c r="AT55" i="8"/>
  <c r="AF55" i="8"/>
  <c r="R55" i="8"/>
  <c r="D55" i="8"/>
  <c r="BE54" i="8"/>
  <c r="AP54" i="8"/>
  <c r="AC54" i="8"/>
  <c r="P54" i="8"/>
  <c r="BE53" i="8"/>
  <c r="AR53" i="8"/>
  <c r="AE53" i="8"/>
  <c r="R53" i="8"/>
  <c r="BK125" i="8"/>
  <c r="N113" i="8"/>
  <c r="D107" i="8"/>
  <c r="F103" i="8"/>
  <c r="AL100" i="8"/>
  <c r="Q98" i="8"/>
  <c r="AD96" i="8"/>
  <c r="BA94" i="8"/>
  <c r="T93" i="8"/>
  <c r="D92" i="8"/>
  <c r="BH90" i="8"/>
  <c r="AV89" i="8"/>
  <c r="AK88" i="8"/>
  <c r="AC87" i="8"/>
  <c r="AB86" i="8"/>
  <c r="AP85" i="8"/>
  <c r="BD84" i="8"/>
  <c r="H84" i="8"/>
  <c r="X83" i="8"/>
  <c r="AR82" i="8"/>
  <c r="BI81" i="8"/>
  <c r="L81" i="8"/>
  <c r="AE80" i="8"/>
  <c r="BB79" i="8"/>
  <c r="L79" i="8"/>
  <c r="AI78" i="8"/>
  <c r="BL77" i="8"/>
  <c r="AC77" i="8"/>
  <c r="BM76" i="8"/>
  <c r="AE76" i="8"/>
  <c r="AU75" i="8"/>
  <c r="W75" i="8"/>
  <c r="BL74" i="8"/>
  <c r="AN74" i="8"/>
  <c r="P74" i="8"/>
  <c r="BF73" i="8"/>
  <c r="AE73" i="8"/>
  <c r="I73" i="8"/>
  <c r="AZ72" i="8"/>
  <c r="Y72" i="8"/>
  <c r="BP71" i="8"/>
  <c r="AR71" i="8"/>
  <c r="R71" i="8"/>
  <c r="BG70" i="8"/>
  <c r="AJ70" i="8"/>
  <c r="L70" i="8"/>
  <c r="BA69" i="8"/>
  <c r="AC69" i="8"/>
  <c r="E69" i="8"/>
  <c r="AU68" i="8"/>
  <c r="U68" i="8"/>
  <c r="BM67" i="8"/>
  <c r="AO67" i="8"/>
  <c r="O67" i="8"/>
  <c r="BH66" i="8"/>
  <c r="AN66" i="8"/>
  <c r="S66" i="8"/>
  <c r="BP65" i="8"/>
  <c r="AU65" i="8"/>
  <c r="AC65" i="8"/>
  <c r="I65" i="8"/>
  <c r="BG64" i="8"/>
  <c r="AN64" i="8"/>
  <c r="W64" i="8"/>
  <c r="D64" i="8"/>
  <c r="BB63" i="8"/>
  <c r="AI63" i="8"/>
  <c r="R63" i="8"/>
  <c r="BN62" i="8"/>
  <c r="AW62" i="8"/>
  <c r="AD62" i="8"/>
  <c r="M62" i="8"/>
  <c r="BJ61" i="8"/>
  <c r="AU61" i="8"/>
  <c r="AF61" i="8"/>
  <c r="N61" i="8"/>
  <c r="BN60" i="8"/>
  <c r="AY60" i="8"/>
  <c r="AG60" i="8"/>
  <c r="R60" i="8"/>
  <c r="AZ59" i="8"/>
  <c r="AK59" i="8"/>
  <c r="V59" i="8"/>
  <c r="D59" i="8"/>
  <c r="BD58" i="8"/>
  <c r="AO58" i="8"/>
  <c r="W58" i="8"/>
  <c r="H58" i="8"/>
  <c r="BH57" i="8"/>
  <c r="AP57" i="8"/>
  <c r="AA57" i="8"/>
  <c r="M57" i="8"/>
  <c r="BM56" i="8"/>
  <c r="AX56" i="8"/>
  <c r="AJ56" i="8"/>
  <c r="V56" i="8"/>
  <c r="H56" i="8"/>
  <c r="BH55" i="8"/>
  <c r="AS55" i="8"/>
  <c r="AE55" i="8"/>
  <c r="Q55" i="8"/>
  <c r="BC54" i="8"/>
  <c r="AO54" i="8"/>
  <c r="AB54" i="8"/>
  <c r="O54" i="8"/>
  <c r="BQ53" i="8"/>
  <c r="BD53" i="8"/>
  <c r="AQ53" i="8"/>
  <c r="AD53" i="8"/>
  <c r="Q53" i="8"/>
  <c r="D53" i="8"/>
  <c r="BE52" i="8"/>
  <c r="AR52" i="8"/>
  <c r="AU112" i="8"/>
  <c r="AV106" i="8"/>
  <c r="BH102" i="8"/>
  <c r="AB100" i="8"/>
  <c r="F98" i="8"/>
  <c r="U96" i="8"/>
  <c r="AU94" i="8"/>
  <c r="O93" i="8"/>
  <c r="BN91" i="8"/>
  <c r="BB90" i="8"/>
  <c r="AQ89" i="8"/>
  <c r="AE88" i="8"/>
  <c r="Y87" i="8"/>
  <c r="X86" i="8"/>
  <c r="AH85" i="8"/>
  <c r="BB84" i="8"/>
  <c r="D84" i="8"/>
  <c r="V83" i="8"/>
  <c r="AO82" i="8"/>
  <c r="BD81" i="8"/>
  <c r="H81" i="8"/>
  <c r="X80" i="8"/>
  <c r="AW79" i="8"/>
  <c r="E79" i="8"/>
  <c r="AC78" i="8"/>
  <c r="BJ77" i="8"/>
  <c r="Z77" i="8"/>
  <c r="BJ76" i="8"/>
  <c r="AD76" i="8"/>
  <c r="BQ75" i="8"/>
  <c r="AS75" i="8"/>
  <c r="U75" i="8"/>
  <c r="BK74" i="8"/>
  <c r="AJ74" i="8"/>
  <c r="N74" i="8"/>
  <c r="BE73" i="8"/>
  <c r="AD73" i="8"/>
  <c r="F73" i="8"/>
  <c r="AW72" i="8"/>
  <c r="W72" i="8"/>
  <c r="BL71" i="8"/>
  <c r="AO71" i="8"/>
  <c r="Q71" i="8"/>
  <c r="BF70" i="8"/>
  <c r="AH70" i="8"/>
  <c r="J70" i="8"/>
  <c r="AZ69" i="8"/>
  <c r="Z69" i="8"/>
  <c r="BK121" i="8"/>
  <c r="M111" i="8"/>
  <c r="AO105" i="8"/>
  <c r="Y102" i="8"/>
  <c r="BP99" i="8"/>
  <c r="AT97" i="8"/>
  <c r="BO95" i="8"/>
  <c r="Z94" i="8"/>
  <c r="BO92" i="8"/>
  <c r="AZ91" i="8"/>
  <c r="AN90" i="8"/>
  <c r="AC89" i="8"/>
  <c r="Q88" i="8"/>
  <c r="L87" i="8"/>
  <c r="L86" i="8"/>
  <c r="AB85" i="8"/>
  <c r="AQ84" i="8"/>
  <c r="BK83" i="8"/>
  <c r="M83" i="8"/>
  <c r="AE82" i="8"/>
  <c r="AX81" i="8"/>
  <c r="BN80" i="8"/>
  <c r="T80" i="8"/>
  <c r="AQ79" i="8"/>
  <c r="BP78" i="8"/>
  <c r="Z78" i="8"/>
  <c r="BH77" i="8"/>
  <c r="X77" i="8"/>
  <c r="BE76" i="8"/>
  <c r="AB76" i="8"/>
  <c r="BP75" i="8"/>
  <c r="AO75" i="8"/>
  <c r="S75" i="8"/>
  <c r="BJ74" i="8"/>
  <c r="AI74" i="8"/>
  <c r="K74" i="8"/>
  <c r="BB73" i="8"/>
  <c r="AB73" i="8"/>
  <c r="BQ72" i="8"/>
  <c r="AT72" i="8"/>
  <c r="V72" i="8"/>
  <c r="BK71" i="8"/>
  <c r="AM71" i="8"/>
  <c r="O71" i="8"/>
  <c r="BE70" i="8"/>
  <c r="AE70" i="8"/>
  <c r="H70" i="8"/>
  <c r="AY69" i="8"/>
  <c r="Y69" i="8"/>
  <c r="BP68" i="8"/>
  <c r="AR68" i="8"/>
  <c r="R68" i="8"/>
  <c r="BF67" i="8"/>
  <c r="AJ67" i="8"/>
  <c r="L67" i="8"/>
  <c r="BC66" i="8"/>
  <c r="AJ66" i="8"/>
  <c r="I119" i="8"/>
  <c r="BK109" i="8"/>
  <c r="BF104" i="8"/>
  <c r="BD101" i="8"/>
  <c r="AL99" i="8"/>
  <c r="T97" i="8"/>
  <c r="AW95" i="8"/>
  <c r="H94" i="8"/>
  <c r="AW92" i="8"/>
  <c r="AK91" i="8"/>
  <c r="Y90" i="8"/>
  <c r="M89" i="8"/>
  <c r="BQ87" i="8"/>
  <c r="BN86" i="8"/>
  <c r="E86" i="8"/>
  <c r="S85" i="8"/>
  <c r="AL84" i="8"/>
  <c r="BA83" i="8"/>
  <c r="F83" i="8"/>
  <c r="V82" i="8"/>
  <c r="AN81" i="8"/>
  <c r="BG80" i="8"/>
  <c r="J80" i="8"/>
  <c r="AH79" i="8"/>
  <c r="BF78" i="8"/>
  <c r="Q78" i="8"/>
  <c r="BA77" i="8"/>
  <c r="U77" i="8"/>
  <c r="AZ76" i="8"/>
  <c r="W76" i="8"/>
  <c r="BL75" i="8"/>
  <c r="AL75" i="8"/>
  <c r="L75" i="8"/>
  <c r="BD74" i="8"/>
  <c r="AF74" i="8"/>
  <c r="F74" i="8"/>
  <c r="AW73" i="8"/>
  <c r="Y73" i="8"/>
  <c r="BO72" i="8"/>
  <c r="AO72" i="8"/>
  <c r="R72" i="8"/>
  <c r="BI71" i="8"/>
  <c r="AI71" i="8"/>
  <c r="K71" i="8"/>
  <c r="BB70" i="8"/>
  <c r="AB70" i="8"/>
  <c r="BP69" i="8"/>
  <c r="AT69" i="8"/>
  <c r="V69" i="8"/>
  <c r="BJ68" i="8"/>
  <c r="AL68" i="8"/>
  <c r="N68" i="8"/>
  <c r="BD67" i="8"/>
  <c r="AD67" i="8"/>
  <c r="H67" i="8"/>
  <c r="BA66" i="8"/>
  <c r="AF66" i="8"/>
  <c r="N66" i="8"/>
  <c r="BH65" i="8"/>
  <c r="AP65" i="8"/>
  <c r="U65" i="8"/>
  <c r="D65" i="8"/>
  <c r="AZ64" i="8"/>
  <c r="AI64" i="8"/>
  <c r="P64" i="8"/>
  <c r="BN63" i="8"/>
  <c r="AU63" i="8"/>
  <c r="AD63" i="8"/>
  <c r="K63" i="8"/>
  <c r="BI62" i="8"/>
  <c r="AP62" i="8"/>
  <c r="Y62" i="8"/>
  <c r="F62" i="8"/>
  <c r="BF61" i="8"/>
  <c r="AP61" i="8"/>
  <c r="Y61" i="8"/>
  <c r="J61" i="8"/>
  <c r="BI60" i="8"/>
  <c r="AR60" i="8"/>
  <c r="AC60" i="8"/>
  <c r="M60" i="8"/>
  <c r="BK59" i="8"/>
  <c r="AV59" i="8"/>
  <c r="AF59" i="8"/>
  <c r="O59" i="8"/>
  <c r="U120" i="8"/>
  <c r="BO101" i="8"/>
  <c r="BA95" i="8"/>
  <c r="AP91" i="8"/>
  <c r="G88" i="8"/>
  <c r="T85" i="8"/>
  <c r="H83" i="8"/>
  <c r="BH80" i="8"/>
  <c r="BH78" i="8"/>
  <c r="V77" i="8"/>
  <c r="BO75" i="8"/>
  <c r="BG74" i="8"/>
  <c r="AY73" i="8"/>
  <c r="AR72" i="8"/>
  <c r="AJ71" i="8"/>
  <c r="AD70" i="8"/>
  <c r="W69" i="8"/>
  <c r="AH68" i="8"/>
  <c r="AM67" i="8"/>
  <c r="AY66" i="8"/>
  <c r="J66" i="8"/>
  <c r="AK65" i="8"/>
  <c r="BO64" i="8"/>
  <c r="AE64" i="8"/>
  <c r="BJ63" i="8"/>
  <c r="Z63" i="8"/>
  <c r="BE62" i="8"/>
  <c r="U62" i="8"/>
  <c r="BD61" i="8"/>
  <c r="W61" i="8"/>
  <c r="BE60" i="8"/>
  <c r="AA60" i="8"/>
  <c r="BI59" i="8"/>
  <c r="AB59" i="8"/>
  <c r="BN58" i="8"/>
  <c r="AI58" i="8"/>
  <c r="G58" i="8"/>
  <c r="AY57" i="8"/>
  <c r="V57" i="8"/>
  <c r="BJ56" i="8"/>
  <c r="AQ56" i="8"/>
  <c r="O56" i="8"/>
  <c r="BD55" i="8"/>
  <c r="AD55" i="8"/>
  <c r="I55" i="8"/>
  <c r="AX54" i="8"/>
  <c r="Z54" i="8"/>
  <c r="G54" i="8"/>
  <c r="AX53" i="8"/>
  <c r="AB53" i="8"/>
  <c r="J53" i="8"/>
  <c r="BI52" i="8"/>
  <c r="AS52" i="8"/>
  <c r="AE52" i="8"/>
  <c r="R52" i="8"/>
  <c r="E52" i="8"/>
  <c r="BG51" i="8"/>
  <c r="AT51" i="8"/>
  <c r="AG51" i="8"/>
  <c r="T51" i="8"/>
  <c r="G51" i="8"/>
  <c r="BI50" i="8"/>
  <c r="AU50" i="8"/>
  <c r="AH50" i="8"/>
  <c r="U50" i="8"/>
  <c r="I50" i="8"/>
  <c r="BL49" i="8"/>
  <c r="AZ49" i="8"/>
  <c r="AN49" i="8"/>
  <c r="AB49" i="8"/>
  <c r="P49" i="8"/>
  <c r="D49" i="8"/>
  <c r="BG48" i="8"/>
  <c r="AU48" i="8"/>
  <c r="AI48" i="8"/>
  <c r="W48" i="8"/>
  <c r="K48" i="8"/>
  <c r="BN47" i="8"/>
  <c r="BB47" i="8"/>
  <c r="AP47" i="8"/>
  <c r="AD47" i="8"/>
  <c r="R47" i="8"/>
  <c r="F47" i="8"/>
  <c r="BI46" i="8"/>
  <c r="AW46" i="8"/>
  <c r="AK46" i="8"/>
  <c r="Y46" i="8"/>
  <c r="M46" i="8"/>
  <c r="BP45" i="8"/>
  <c r="BD45" i="8"/>
  <c r="AR45" i="8"/>
  <c r="AF45" i="8"/>
  <c r="T45" i="8"/>
  <c r="H45" i="8"/>
  <c r="BK44" i="8"/>
  <c r="AY44" i="8"/>
  <c r="AM44" i="8"/>
  <c r="AA44" i="8"/>
  <c r="O44" i="8"/>
  <c r="BF43" i="8"/>
  <c r="AT43" i="8"/>
  <c r="AH43" i="8"/>
  <c r="V43" i="8"/>
  <c r="J43" i="8"/>
  <c r="BM42" i="8"/>
  <c r="BA42" i="8"/>
  <c r="AO42" i="8"/>
  <c r="AC42" i="8"/>
  <c r="Q42" i="8"/>
  <c r="E42" i="8"/>
  <c r="BH41" i="8"/>
  <c r="AV41" i="8"/>
  <c r="AJ41" i="8"/>
  <c r="X41" i="8"/>
  <c r="L41" i="8"/>
  <c r="BO40" i="8"/>
  <c r="BC40" i="8"/>
  <c r="AQ40" i="8"/>
  <c r="AE40" i="8"/>
  <c r="S40" i="8"/>
  <c r="G40" i="8"/>
  <c r="BJ39" i="8"/>
  <c r="AX39" i="8"/>
  <c r="AL39" i="8"/>
  <c r="Z39" i="8"/>
  <c r="N39" i="8"/>
  <c r="BQ38" i="8"/>
  <c r="BE38" i="8"/>
  <c r="AS38" i="8"/>
  <c r="AG38" i="8"/>
  <c r="U38" i="8"/>
  <c r="I38" i="8"/>
  <c r="BL37" i="8"/>
  <c r="AZ37" i="8"/>
  <c r="AN37" i="8"/>
  <c r="AB37" i="8"/>
  <c r="P37" i="8"/>
  <c r="D37" i="8"/>
  <c r="BG36" i="8"/>
  <c r="AU36" i="8"/>
  <c r="AI36" i="8"/>
  <c r="W36" i="8"/>
  <c r="K36" i="8"/>
  <c r="BN35" i="8"/>
  <c r="BB35" i="8"/>
  <c r="AP35" i="8"/>
  <c r="AD35" i="8"/>
  <c r="R35" i="8"/>
  <c r="F35" i="8"/>
  <c r="BI34" i="8"/>
  <c r="AW34" i="8"/>
  <c r="AK34" i="8"/>
  <c r="Y34" i="8"/>
  <c r="M34" i="8"/>
  <c r="BP33" i="8"/>
  <c r="BD33" i="8"/>
  <c r="AR33" i="8"/>
  <c r="AF33" i="8"/>
  <c r="T33" i="8"/>
  <c r="H33" i="8"/>
  <c r="BK32" i="8"/>
  <c r="AY32" i="8"/>
  <c r="AM32" i="8"/>
  <c r="AA32" i="8"/>
  <c r="O32" i="8"/>
  <c r="BF31" i="8"/>
  <c r="AT31" i="8"/>
  <c r="AH31" i="8"/>
  <c r="V31" i="8"/>
  <c r="J31" i="8"/>
  <c r="BM30" i="8"/>
  <c r="BA30" i="8"/>
  <c r="AO30" i="8"/>
  <c r="AC30" i="8"/>
  <c r="Q30" i="8"/>
  <c r="E30" i="8"/>
  <c r="BH29" i="8"/>
  <c r="AV29" i="8"/>
  <c r="AJ29" i="8"/>
  <c r="X29" i="8"/>
  <c r="L29" i="8"/>
  <c r="BO28" i="8"/>
  <c r="BC28" i="8"/>
  <c r="AQ28" i="8"/>
  <c r="AE28" i="8"/>
  <c r="S28" i="8"/>
  <c r="G28" i="8"/>
  <c r="BJ27" i="8"/>
  <c r="AX27" i="8"/>
  <c r="AL27" i="8"/>
  <c r="Z27" i="8"/>
  <c r="N27" i="8"/>
  <c r="BQ26" i="8"/>
  <c r="BE26" i="8"/>
  <c r="AS26" i="8"/>
  <c r="AG26" i="8"/>
  <c r="U26" i="8"/>
  <c r="I26" i="8"/>
  <c r="BL25" i="8"/>
  <c r="AZ25" i="8"/>
  <c r="AN25" i="8"/>
  <c r="AB25" i="8"/>
  <c r="P25" i="8"/>
  <c r="D25" i="8"/>
  <c r="BG24" i="8"/>
  <c r="AU24" i="8"/>
  <c r="AI24" i="8"/>
  <c r="W24" i="8"/>
  <c r="K24" i="8"/>
  <c r="BN23" i="8"/>
  <c r="BB23" i="8"/>
  <c r="AP23" i="8"/>
  <c r="AD23" i="8"/>
  <c r="R23" i="8"/>
  <c r="F23" i="8"/>
  <c r="BI22" i="8"/>
  <c r="AW22" i="8"/>
  <c r="AK22" i="8"/>
  <c r="Y22" i="8"/>
  <c r="M22" i="8"/>
  <c r="BP21" i="8"/>
  <c r="BD21" i="8"/>
  <c r="AR21" i="8"/>
  <c r="AF21" i="8"/>
  <c r="Y118" i="8"/>
  <c r="AY101" i="8"/>
  <c r="AO95" i="8"/>
  <c r="AG91" i="8"/>
  <c r="BN87" i="8"/>
  <c r="R85" i="8"/>
  <c r="BD80" i="8"/>
  <c r="BE78" i="8"/>
  <c r="P77" i="8"/>
  <c r="BI75" i="8"/>
  <c r="BB74" i="8"/>
  <c r="AT73" i="8"/>
  <c r="AN72" i="8"/>
  <c r="AG71" i="8"/>
  <c r="AA70" i="8"/>
  <c r="S69" i="8"/>
  <c r="AG68" i="8"/>
  <c r="AG67" i="8"/>
  <c r="AW66" i="8"/>
  <c r="G66" i="8"/>
  <c r="AI65" i="8"/>
  <c r="BM64" i="8"/>
  <c r="AC64" i="8"/>
  <c r="BH63" i="8"/>
  <c r="X63" i="8"/>
  <c r="BC62" i="8"/>
  <c r="S62" i="8"/>
  <c r="BB61" i="8"/>
  <c r="V61" i="8"/>
  <c r="BD60" i="8"/>
  <c r="Y60" i="8"/>
  <c r="BH59" i="8"/>
  <c r="AA59" i="8"/>
  <c r="BM58" i="8"/>
  <c r="AH58" i="8"/>
  <c r="F58" i="8"/>
  <c r="AX57" i="8"/>
  <c r="T57" i="8"/>
  <c r="BI56" i="8"/>
  <c r="AI56" i="8"/>
  <c r="N56" i="8"/>
  <c r="BC55" i="8"/>
  <c r="AC55" i="8"/>
  <c r="H55" i="8"/>
  <c r="AW54" i="8"/>
  <c r="Y54" i="8"/>
  <c r="BP53" i="8"/>
  <c r="AW53" i="8"/>
  <c r="Z53" i="8"/>
  <c r="I53" i="8"/>
  <c r="BG52" i="8"/>
  <c r="AQ52" i="8"/>
  <c r="AD52" i="8"/>
  <c r="Q52" i="8"/>
  <c r="D52" i="8"/>
  <c r="BF51" i="8"/>
  <c r="AS51" i="8"/>
  <c r="AF51" i="8"/>
  <c r="S51" i="8"/>
  <c r="F51" i="8"/>
  <c r="BG50" i="8"/>
  <c r="AT50" i="8"/>
  <c r="AG50" i="8"/>
  <c r="T50" i="8"/>
  <c r="H50" i="8"/>
  <c r="BK49" i="8"/>
  <c r="AY49" i="8"/>
  <c r="AM49" i="8"/>
  <c r="AA49" i="8"/>
  <c r="O49" i="8"/>
  <c r="BF48" i="8"/>
  <c r="AT48" i="8"/>
  <c r="AH48" i="8"/>
  <c r="V48" i="8"/>
  <c r="J48" i="8"/>
  <c r="BM47" i="8"/>
  <c r="BA47" i="8"/>
  <c r="AO47" i="8"/>
  <c r="AC47" i="8"/>
  <c r="Q47" i="8"/>
  <c r="E47" i="8"/>
  <c r="BH46" i="8"/>
  <c r="AV46" i="8"/>
  <c r="AJ46" i="8"/>
  <c r="X46" i="8"/>
  <c r="L46" i="8"/>
  <c r="BO45" i="8"/>
  <c r="BC45" i="8"/>
  <c r="AQ45" i="8"/>
  <c r="AE45" i="8"/>
  <c r="S45" i="8"/>
  <c r="G45" i="8"/>
  <c r="BJ44" i="8"/>
  <c r="AX44" i="8"/>
  <c r="AL44" i="8"/>
  <c r="Z44" i="8"/>
  <c r="N44" i="8"/>
  <c r="BQ43" i="8"/>
  <c r="BE43" i="8"/>
  <c r="AS43" i="8"/>
  <c r="AG43" i="8"/>
  <c r="U43" i="8"/>
  <c r="I43" i="8"/>
  <c r="BL42" i="8"/>
  <c r="AZ42" i="8"/>
  <c r="AN42" i="8"/>
  <c r="AB42" i="8"/>
  <c r="P42" i="8"/>
  <c r="D42" i="8"/>
  <c r="BG41" i="8"/>
  <c r="AU41" i="8"/>
  <c r="AI41" i="8"/>
  <c r="W41" i="8"/>
  <c r="K41" i="8"/>
  <c r="BN40" i="8"/>
  <c r="BB40" i="8"/>
  <c r="AP40" i="8"/>
  <c r="AD40" i="8"/>
  <c r="R40" i="8"/>
  <c r="F40" i="8"/>
  <c r="BI39" i="8"/>
  <c r="AW39" i="8"/>
  <c r="AK39" i="8"/>
  <c r="Y39" i="8"/>
  <c r="M39" i="8"/>
  <c r="BP38" i="8"/>
  <c r="BD38" i="8"/>
  <c r="AR38" i="8"/>
  <c r="AF38" i="8"/>
  <c r="T38" i="8"/>
  <c r="H38" i="8"/>
  <c r="BK37" i="8"/>
  <c r="AY37" i="8"/>
  <c r="AM37" i="8"/>
  <c r="AA37" i="8"/>
  <c r="O37" i="8"/>
  <c r="BF36" i="8"/>
  <c r="AT36" i="8"/>
  <c r="AH36" i="8"/>
  <c r="V36" i="8"/>
  <c r="J36" i="8"/>
  <c r="BM35" i="8"/>
  <c r="BA35" i="8"/>
  <c r="AO35" i="8"/>
  <c r="AC35" i="8"/>
  <c r="Q35" i="8"/>
  <c r="E35" i="8"/>
  <c r="BH34" i="8"/>
  <c r="AV34" i="8"/>
  <c r="AJ34" i="8"/>
  <c r="X34" i="8"/>
  <c r="L34" i="8"/>
  <c r="BO33" i="8"/>
  <c r="BC33" i="8"/>
  <c r="AQ33" i="8"/>
  <c r="AE33" i="8"/>
  <c r="S33" i="8"/>
  <c r="G33" i="8"/>
  <c r="BJ32" i="8"/>
  <c r="AX32" i="8"/>
  <c r="AL32" i="8"/>
  <c r="Z32" i="8"/>
  <c r="N32" i="8"/>
  <c r="BQ31" i="8"/>
  <c r="BE31" i="8"/>
  <c r="AS31" i="8"/>
  <c r="AG31" i="8"/>
  <c r="U31" i="8"/>
  <c r="I31" i="8"/>
  <c r="BL30" i="8"/>
  <c r="AZ30" i="8"/>
  <c r="AN30" i="8"/>
  <c r="AB30" i="8"/>
  <c r="P30" i="8"/>
  <c r="D30" i="8"/>
  <c r="BG29" i="8"/>
  <c r="AU29" i="8"/>
  <c r="AI29" i="8"/>
  <c r="W29" i="8"/>
  <c r="K29" i="8"/>
  <c r="BN28" i="8"/>
  <c r="BB28" i="8"/>
  <c r="AP28" i="8"/>
  <c r="AD28" i="8"/>
  <c r="R28" i="8"/>
  <c r="F28" i="8"/>
  <c r="BI27" i="8"/>
  <c r="AW27" i="8"/>
  <c r="AK27" i="8"/>
  <c r="Y27" i="8"/>
  <c r="M27" i="8"/>
  <c r="BP26" i="8"/>
  <c r="BD26" i="8"/>
  <c r="AR26" i="8"/>
  <c r="AF26" i="8"/>
  <c r="T26" i="8"/>
  <c r="H26" i="8"/>
  <c r="BK25" i="8"/>
  <c r="AY25" i="8"/>
  <c r="AM25" i="8"/>
  <c r="AA25" i="8"/>
  <c r="O25" i="8"/>
  <c r="BF24" i="8"/>
  <c r="AT24" i="8"/>
  <c r="AH24" i="8"/>
  <c r="V24" i="8"/>
  <c r="J24" i="8"/>
  <c r="BM23" i="8"/>
  <c r="BA23" i="8"/>
  <c r="AO23" i="8"/>
  <c r="AC23" i="8"/>
  <c r="Q23" i="8"/>
  <c r="E23" i="8"/>
  <c r="BH22" i="8"/>
  <c r="AV22" i="8"/>
  <c r="AJ22" i="8"/>
  <c r="X22" i="8"/>
  <c r="L22" i="8"/>
  <c r="BO21" i="8"/>
  <c r="P118" i="8"/>
  <c r="AW101" i="8"/>
  <c r="AN95" i="8"/>
  <c r="AF91" i="8"/>
  <c r="BM87" i="8"/>
  <c r="P85" i="8"/>
  <c r="BQ82" i="8"/>
  <c r="BA80" i="8"/>
  <c r="BD78" i="8"/>
  <c r="N77" i="8"/>
  <c r="BG75" i="8"/>
  <c r="AY74" i="8"/>
  <c r="AS73" i="8"/>
  <c r="AL72" i="8"/>
  <c r="AF71" i="8"/>
  <c r="X70" i="8"/>
  <c r="Q69" i="8"/>
  <c r="T68" i="8"/>
  <c r="AC67" i="8"/>
  <c r="AU66" i="8"/>
  <c r="BN65" i="8"/>
  <c r="Z65" i="8"/>
  <c r="BE64" i="8"/>
  <c r="U64" i="8"/>
  <c r="AZ63" i="8"/>
  <c r="P63" i="8"/>
  <c r="AU62" i="8"/>
  <c r="K62" i="8"/>
  <c r="AT61" i="8"/>
  <c r="M61" i="8"/>
  <c r="AW60" i="8"/>
  <c r="Q60" i="8"/>
  <c r="AY59" i="8"/>
  <c r="T59" i="8"/>
  <c r="BK58" i="8"/>
  <c r="AG58" i="8"/>
  <c r="E58" i="8"/>
  <c r="AO57" i="8"/>
  <c r="S57" i="8"/>
  <c r="BH56" i="8"/>
  <c r="AH56" i="8"/>
  <c r="M56" i="8"/>
  <c r="BB55" i="8"/>
  <c r="AB55" i="8"/>
  <c r="BQ54" i="8"/>
  <c r="AV54" i="8"/>
  <c r="X54" i="8"/>
  <c r="BO53" i="8"/>
  <c r="AV53" i="8"/>
  <c r="Y53" i="8"/>
  <c r="G53" i="8"/>
  <c r="BD52" i="8"/>
  <c r="AP52" i="8"/>
  <c r="AC52" i="8"/>
  <c r="P52" i="8"/>
  <c r="BE51" i="8"/>
  <c r="AR51" i="8"/>
  <c r="AE51" i="8"/>
  <c r="R51" i="8"/>
  <c r="D51" i="8"/>
  <c r="BF50" i="8"/>
  <c r="AS50" i="8"/>
  <c r="AF50" i="8"/>
  <c r="S50" i="8"/>
  <c r="G50" i="8"/>
  <c r="BJ49" i="8"/>
  <c r="AX49" i="8"/>
  <c r="AL49" i="8"/>
  <c r="Z49" i="8"/>
  <c r="N49" i="8"/>
  <c r="BQ48" i="8"/>
  <c r="BE48" i="8"/>
  <c r="AS48" i="8"/>
  <c r="AG48" i="8"/>
  <c r="U48" i="8"/>
  <c r="I48" i="8"/>
  <c r="BL47" i="8"/>
  <c r="AZ47" i="8"/>
  <c r="AN47" i="8"/>
  <c r="AB47" i="8"/>
  <c r="P47" i="8"/>
  <c r="D47" i="8"/>
  <c r="BG46" i="8"/>
  <c r="AU46" i="8"/>
  <c r="AI46" i="8"/>
  <c r="W46" i="8"/>
  <c r="K46" i="8"/>
  <c r="BN45" i="8"/>
  <c r="BB45" i="8"/>
  <c r="AP45" i="8"/>
  <c r="AD45" i="8"/>
  <c r="R45" i="8"/>
  <c r="F45" i="8"/>
  <c r="BI44" i="8"/>
  <c r="AW44" i="8"/>
  <c r="AK44" i="8"/>
  <c r="Y44" i="8"/>
  <c r="M44" i="8"/>
  <c r="BP43" i="8"/>
  <c r="BD43" i="8"/>
  <c r="AR43" i="8"/>
  <c r="AF43" i="8"/>
  <c r="T43" i="8"/>
  <c r="H43" i="8"/>
  <c r="BK42" i="8"/>
  <c r="AY42" i="8"/>
  <c r="AM42" i="8"/>
  <c r="AA42" i="8"/>
  <c r="O42" i="8"/>
  <c r="BF41" i="8"/>
  <c r="AT41" i="8"/>
  <c r="AH41" i="8"/>
  <c r="V41" i="8"/>
  <c r="J41" i="8"/>
  <c r="BM40" i="8"/>
  <c r="BA40" i="8"/>
  <c r="AO40" i="8"/>
  <c r="AC40" i="8"/>
  <c r="Q40" i="8"/>
  <c r="E40" i="8"/>
  <c r="BH39" i="8"/>
  <c r="AV39" i="8"/>
  <c r="AJ39" i="8"/>
  <c r="X39" i="8"/>
  <c r="L39" i="8"/>
  <c r="BO38" i="8"/>
  <c r="BC38" i="8"/>
  <c r="AQ38" i="8"/>
  <c r="AE38" i="8"/>
  <c r="S38" i="8"/>
  <c r="G38" i="8"/>
  <c r="BJ37" i="8"/>
  <c r="AX37" i="8"/>
  <c r="AL37" i="8"/>
  <c r="Z37" i="8"/>
  <c r="N37" i="8"/>
  <c r="BQ36" i="8"/>
  <c r="BE36" i="8"/>
  <c r="AS36" i="8"/>
  <c r="AG36" i="8"/>
  <c r="U36" i="8"/>
  <c r="I36" i="8"/>
  <c r="BL35" i="8"/>
  <c r="AZ35" i="8"/>
  <c r="AN35" i="8"/>
  <c r="AB35" i="8"/>
  <c r="P35" i="8"/>
  <c r="D35" i="8"/>
  <c r="BG34" i="8"/>
  <c r="AU34" i="8"/>
  <c r="AI34" i="8"/>
  <c r="W34" i="8"/>
  <c r="K34" i="8"/>
  <c r="BN33" i="8"/>
  <c r="BB33" i="8"/>
  <c r="AP33" i="8"/>
  <c r="AD33" i="8"/>
  <c r="R33" i="8"/>
  <c r="F33" i="8"/>
  <c r="BI32" i="8"/>
  <c r="AW32" i="8"/>
  <c r="AK32" i="8"/>
  <c r="Y32" i="8"/>
  <c r="M32" i="8"/>
  <c r="BP31" i="8"/>
  <c r="BD31" i="8"/>
  <c r="AR31" i="8"/>
  <c r="AF31" i="8"/>
  <c r="AQ117" i="8"/>
  <c r="AK101" i="8"/>
  <c r="AH95" i="8"/>
  <c r="AA91" i="8"/>
  <c r="BG87" i="8"/>
  <c r="L85" i="8"/>
  <c r="BK82" i="8"/>
  <c r="AX80" i="8"/>
  <c r="BA78" i="8"/>
  <c r="K77" i="8"/>
  <c r="BD75" i="8"/>
  <c r="AX74" i="8"/>
  <c r="AQ73" i="8"/>
  <c r="AK72" i="8"/>
  <c r="AC71" i="8"/>
  <c r="V70" i="8"/>
  <c r="O69" i="8"/>
  <c r="Q68" i="8"/>
  <c r="AB67" i="8"/>
  <c r="AL66" i="8"/>
  <c r="BK65" i="8"/>
  <c r="X65" i="8"/>
  <c r="BC64" i="8"/>
  <c r="S64" i="8"/>
  <c r="AX63" i="8"/>
  <c r="N63" i="8"/>
  <c r="AS62" i="8"/>
  <c r="I62" i="8"/>
  <c r="AS61" i="8"/>
  <c r="L61" i="8"/>
  <c r="AU60" i="8"/>
  <c r="P60" i="8"/>
  <c r="AX59" i="8"/>
  <c r="R59" i="8"/>
  <c r="BC58" i="8"/>
  <c r="AF58" i="8"/>
  <c r="AN57" i="8"/>
  <c r="R57" i="8"/>
  <c r="BG56" i="8"/>
  <c r="AG56" i="8"/>
  <c r="G56" i="8"/>
  <c r="BA55" i="8"/>
  <c r="AA55" i="8"/>
  <c r="BO54" i="8"/>
  <c r="AU54" i="8"/>
  <c r="W54" i="8"/>
  <c r="BN53" i="8"/>
  <c r="AP53" i="8"/>
  <c r="X53" i="8"/>
  <c r="E53" i="8"/>
  <c r="BC52" i="8"/>
  <c r="AO52" i="8"/>
  <c r="AB52" i="8"/>
  <c r="O52" i="8"/>
  <c r="BQ51" i="8"/>
  <c r="BD51" i="8"/>
  <c r="AQ51" i="8"/>
  <c r="AD51" i="8"/>
  <c r="P51" i="8"/>
  <c r="BE50" i="8"/>
  <c r="AR50" i="8"/>
  <c r="AE50" i="8"/>
  <c r="R50" i="8"/>
  <c r="F50" i="8"/>
  <c r="BI49" i="8"/>
  <c r="AW49" i="8"/>
  <c r="AK49" i="8"/>
  <c r="Y49" i="8"/>
  <c r="M49" i="8"/>
  <c r="BP48" i="8"/>
  <c r="BD48" i="8"/>
  <c r="AR48" i="8"/>
  <c r="AF48" i="8"/>
  <c r="T48" i="8"/>
  <c r="H48" i="8"/>
  <c r="BK47" i="8"/>
  <c r="AY47" i="8"/>
  <c r="AM47" i="8"/>
  <c r="AA47" i="8"/>
  <c r="O47" i="8"/>
  <c r="BF46" i="8"/>
  <c r="AT46" i="8"/>
  <c r="AH46" i="8"/>
  <c r="V46" i="8"/>
  <c r="J46" i="8"/>
  <c r="BM45" i="8"/>
  <c r="BA45" i="8"/>
  <c r="AO45" i="8"/>
  <c r="AC45" i="8"/>
  <c r="Q45" i="8"/>
  <c r="E45" i="8"/>
  <c r="BH44" i="8"/>
  <c r="AV44" i="8"/>
  <c r="AJ44" i="8"/>
  <c r="X44" i="8"/>
  <c r="L44" i="8"/>
  <c r="BO43" i="8"/>
  <c r="BC43" i="8"/>
  <c r="AQ43" i="8"/>
  <c r="AE43" i="8"/>
  <c r="S43" i="8"/>
  <c r="G43" i="8"/>
  <c r="BJ42" i="8"/>
  <c r="AX42" i="8"/>
  <c r="AL42" i="8"/>
  <c r="Z42" i="8"/>
  <c r="N42" i="8"/>
  <c r="BQ41" i="8"/>
  <c r="BE41" i="8"/>
  <c r="AS41" i="8"/>
  <c r="AG41" i="8"/>
  <c r="U41" i="8"/>
  <c r="I41" i="8"/>
  <c r="BL40" i="8"/>
  <c r="AZ40" i="8"/>
  <c r="AN40" i="8"/>
  <c r="AB40" i="8"/>
  <c r="P40" i="8"/>
  <c r="D40" i="8"/>
  <c r="BG39" i="8"/>
  <c r="AU39" i="8"/>
  <c r="AI39" i="8"/>
  <c r="W39" i="8"/>
  <c r="K39" i="8"/>
  <c r="BN38" i="8"/>
  <c r="BB38" i="8"/>
  <c r="AP38" i="8"/>
  <c r="AD38" i="8"/>
  <c r="R38" i="8"/>
  <c r="F38" i="8"/>
  <c r="BI37" i="8"/>
  <c r="AW37" i="8"/>
  <c r="AK37" i="8"/>
  <c r="Y37" i="8"/>
  <c r="M37" i="8"/>
  <c r="BP36" i="8"/>
  <c r="BD36" i="8"/>
  <c r="AR36" i="8"/>
  <c r="AF36" i="8"/>
  <c r="T36" i="8"/>
  <c r="H36" i="8"/>
  <c r="BK35" i="8"/>
  <c r="AY35" i="8"/>
  <c r="AM35" i="8"/>
  <c r="AA35" i="8"/>
  <c r="O35" i="8"/>
  <c r="BF34" i="8"/>
  <c r="AT34" i="8"/>
  <c r="AH34" i="8"/>
  <c r="V34" i="8"/>
  <c r="J34" i="8"/>
  <c r="BM33" i="8"/>
  <c r="BA33" i="8"/>
  <c r="AO33" i="8"/>
  <c r="AC33" i="8"/>
  <c r="Q33" i="8"/>
  <c r="E33" i="8"/>
  <c r="BH32" i="8"/>
  <c r="AV32" i="8"/>
  <c r="AJ32" i="8"/>
  <c r="X32" i="8"/>
  <c r="L32" i="8"/>
  <c r="BO31" i="8"/>
  <c r="BC31" i="8"/>
  <c r="AQ31" i="8"/>
  <c r="BF109" i="8"/>
  <c r="AC99" i="8"/>
  <c r="BP93" i="8"/>
  <c r="V90" i="8"/>
  <c r="BK86" i="8"/>
  <c r="AK84" i="8"/>
  <c r="S82" i="8"/>
  <c r="I80" i="8"/>
  <c r="N78" i="8"/>
  <c r="AX76" i="8"/>
  <c r="AK75" i="8"/>
  <c r="AD74" i="8"/>
  <c r="W73" i="8"/>
  <c r="P72" i="8"/>
  <c r="F71" i="8"/>
  <c r="BO69" i="8"/>
  <c r="BK68" i="8"/>
  <c r="J68" i="8"/>
  <c r="M67" i="8"/>
  <c r="AD66" i="8"/>
  <c r="BF65" i="8"/>
  <c r="S65" i="8"/>
  <c r="AX64" i="8"/>
  <c r="N64" i="8"/>
  <c r="AS63" i="8"/>
  <c r="I63" i="8"/>
  <c r="AN62" i="8"/>
  <c r="E62" i="8"/>
  <c r="AN61" i="8"/>
  <c r="I61" i="8"/>
  <c r="AQ60" i="8"/>
  <c r="K60" i="8"/>
  <c r="AU59" i="8"/>
  <c r="N59" i="8"/>
  <c r="BA58" i="8"/>
  <c r="V58" i="8"/>
  <c r="BN57" i="8"/>
  <c r="AL57" i="8"/>
  <c r="J57" i="8"/>
  <c r="BE56" i="8"/>
  <c r="AE56" i="8"/>
  <c r="AR55" i="8"/>
  <c r="X55" i="8"/>
  <c r="BL54" i="8"/>
  <c r="AM54" i="8"/>
  <c r="U54" i="8"/>
  <c r="BL53" i="8"/>
  <c r="AN53" i="8"/>
  <c r="V53" i="8"/>
  <c r="BP52" i="8"/>
  <c r="BA52" i="8"/>
  <c r="AM52" i="8"/>
  <c r="Z52" i="8"/>
  <c r="M52" i="8"/>
  <c r="BO51" i="8"/>
  <c r="BB51" i="8"/>
  <c r="AN51" i="8"/>
  <c r="AA51" i="8"/>
  <c r="N51" i="8"/>
  <c r="BP50" i="8"/>
  <c r="BC50" i="8"/>
  <c r="AP50" i="8"/>
  <c r="AC50" i="8"/>
  <c r="P50" i="8"/>
  <c r="D50" i="8"/>
  <c r="BG49" i="8"/>
  <c r="AU49" i="8"/>
  <c r="AI49" i="8"/>
  <c r="W49" i="8"/>
  <c r="K49" i="8"/>
  <c r="BN48" i="8"/>
  <c r="BB48" i="8"/>
  <c r="AP48" i="8"/>
  <c r="AD48" i="8"/>
  <c r="R48" i="8"/>
  <c r="F48" i="8"/>
  <c r="BI47" i="8"/>
  <c r="AW47" i="8"/>
  <c r="AK47" i="8"/>
  <c r="Y47" i="8"/>
  <c r="M47" i="8"/>
  <c r="BP46" i="8"/>
  <c r="BD46" i="8"/>
  <c r="AR46" i="8"/>
  <c r="AF46" i="8"/>
  <c r="T46" i="8"/>
  <c r="H46" i="8"/>
  <c r="BK45" i="8"/>
  <c r="AY45" i="8"/>
  <c r="AM45" i="8"/>
  <c r="AA45" i="8"/>
  <c r="O45" i="8"/>
  <c r="BF44" i="8"/>
  <c r="AT44" i="8"/>
  <c r="AH44" i="8"/>
  <c r="V44" i="8"/>
  <c r="J44" i="8"/>
  <c r="BM43" i="8"/>
  <c r="BA43" i="8"/>
  <c r="AO43" i="8"/>
  <c r="AC43" i="8"/>
  <c r="Q43" i="8"/>
  <c r="E43" i="8"/>
  <c r="BH42" i="8"/>
  <c r="AV42" i="8"/>
  <c r="AJ42" i="8"/>
  <c r="X42" i="8"/>
  <c r="L42" i="8"/>
  <c r="BO41" i="8"/>
  <c r="BC41" i="8"/>
  <c r="AQ41" i="8"/>
  <c r="AE41" i="8"/>
  <c r="S41" i="8"/>
  <c r="G41" i="8"/>
  <c r="BJ40" i="8"/>
  <c r="AX40" i="8"/>
  <c r="AL40" i="8"/>
  <c r="Z40" i="8"/>
  <c r="N40" i="8"/>
  <c r="BQ39" i="8"/>
  <c r="BE39" i="8"/>
  <c r="AS39" i="8"/>
  <c r="AG39" i="8"/>
  <c r="U39" i="8"/>
  <c r="I39" i="8"/>
  <c r="BL38" i="8"/>
  <c r="AZ38" i="8"/>
  <c r="AN38" i="8"/>
  <c r="AB38" i="8"/>
  <c r="P38" i="8"/>
  <c r="D38" i="8"/>
  <c r="BG37" i="8"/>
  <c r="AU37" i="8"/>
  <c r="AI37" i="8"/>
  <c r="W37" i="8"/>
  <c r="K37" i="8"/>
  <c r="BN36" i="8"/>
  <c r="BB36" i="8"/>
  <c r="AP36" i="8"/>
  <c r="AD36" i="8"/>
  <c r="R36" i="8"/>
  <c r="F36" i="8"/>
  <c r="BI35" i="8"/>
  <c r="AW35" i="8"/>
  <c r="AK35" i="8"/>
  <c r="Y35" i="8"/>
  <c r="M35" i="8"/>
  <c r="BP34" i="8"/>
  <c r="BD34" i="8"/>
  <c r="AR34" i="8"/>
  <c r="AF34" i="8"/>
  <c r="T34" i="8"/>
  <c r="H34" i="8"/>
  <c r="BK33" i="8"/>
  <c r="AY33" i="8"/>
  <c r="AM33" i="8"/>
  <c r="AA33" i="8"/>
  <c r="O33" i="8"/>
  <c r="BF32" i="8"/>
  <c r="AT32" i="8"/>
  <c r="AH32" i="8"/>
  <c r="V32" i="8"/>
  <c r="J32" i="8"/>
  <c r="BM31" i="8"/>
  <c r="BA31" i="8"/>
  <c r="AO31" i="8"/>
  <c r="AC31" i="8"/>
  <c r="AK109" i="8"/>
  <c r="AB99" i="8"/>
  <c r="BN93" i="8"/>
  <c r="U90" i="8"/>
  <c r="BI86" i="8"/>
  <c r="AF84" i="8"/>
  <c r="R82" i="8"/>
  <c r="H80" i="8"/>
  <c r="M78" i="8"/>
  <c r="AW76" i="8"/>
  <c r="AI75" i="8"/>
  <c r="AB74" i="8"/>
  <c r="U73" i="8"/>
  <c r="K72" i="8"/>
  <c r="E71" i="8"/>
  <c r="BN69" i="8"/>
  <c r="BI68" i="8"/>
  <c r="F68" i="8"/>
  <c r="J67" i="8"/>
  <c r="AC66" i="8"/>
  <c r="BE65" i="8"/>
  <c r="R65" i="8"/>
  <c r="AW64" i="8"/>
  <c r="M64" i="8"/>
  <c r="AR63" i="8"/>
  <c r="H63" i="8"/>
  <c r="AM62" i="8"/>
  <c r="D62" i="8"/>
  <c r="AL61" i="8"/>
  <c r="H61" i="8"/>
  <c r="AP60" i="8"/>
  <c r="I60" i="8"/>
  <c r="AT59" i="8"/>
  <c r="M59" i="8"/>
  <c r="AY58" i="8"/>
  <c r="U58" i="8"/>
  <c r="BM57" i="8"/>
  <c r="AK57" i="8"/>
  <c r="H57" i="8"/>
  <c r="AW56" i="8"/>
  <c r="AC56" i="8"/>
  <c r="BQ55" i="8"/>
  <c r="AQ55" i="8"/>
  <c r="V55" i="8"/>
  <c r="BK54" i="8"/>
  <c r="AL54" i="8"/>
  <c r="N54" i="8"/>
  <c r="BJ53" i="8"/>
  <c r="AL53" i="8"/>
  <c r="T53" i="8"/>
  <c r="BO52" i="8"/>
  <c r="AZ52" i="8"/>
  <c r="AL52" i="8"/>
  <c r="Y52" i="8"/>
  <c r="L52" i="8"/>
  <c r="BN51" i="8"/>
  <c r="AZ51" i="8"/>
  <c r="AM51" i="8"/>
  <c r="Z51" i="8"/>
  <c r="M51" i="8"/>
  <c r="BO50" i="8"/>
  <c r="BB50" i="8"/>
  <c r="AO50" i="8"/>
  <c r="AB50" i="8"/>
  <c r="O50" i="8"/>
  <c r="BF49" i="8"/>
  <c r="AT49" i="8"/>
  <c r="AH49" i="8"/>
  <c r="V49" i="8"/>
  <c r="J49" i="8"/>
  <c r="BM48" i="8"/>
  <c r="BA48" i="8"/>
  <c r="AO48" i="8"/>
  <c r="AC48" i="8"/>
  <c r="Q48" i="8"/>
  <c r="E48" i="8"/>
  <c r="BH47" i="8"/>
  <c r="AV47" i="8"/>
  <c r="AJ47" i="8"/>
  <c r="X47" i="8"/>
  <c r="L47" i="8"/>
  <c r="BO46" i="8"/>
  <c r="BC46" i="8"/>
  <c r="AQ46" i="8"/>
  <c r="AE46" i="8"/>
  <c r="S46" i="8"/>
  <c r="G46" i="8"/>
  <c r="BJ45" i="8"/>
  <c r="AX45" i="8"/>
  <c r="AL45" i="8"/>
  <c r="Z45" i="8"/>
  <c r="N45" i="8"/>
  <c r="BQ44" i="8"/>
  <c r="BE44" i="8"/>
  <c r="AS44" i="8"/>
  <c r="AG44" i="8"/>
  <c r="U44" i="8"/>
  <c r="I44" i="8"/>
  <c r="BL43" i="8"/>
  <c r="AZ43" i="8"/>
  <c r="AN43" i="8"/>
  <c r="AB43" i="8"/>
  <c r="P43" i="8"/>
  <c r="D43" i="8"/>
  <c r="BG42" i="8"/>
  <c r="AU42" i="8"/>
  <c r="AI42" i="8"/>
  <c r="W42" i="8"/>
  <c r="K42" i="8"/>
  <c r="BN41" i="8"/>
  <c r="BB41" i="8"/>
  <c r="AP41" i="8"/>
  <c r="AD41" i="8"/>
  <c r="R41" i="8"/>
  <c r="F41" i="8"/>
  <c r="BI40" i="8"/>
  <c r="AW40" i="8"/>
  <c r="AK40" i="8"/>
  <c r="Y40" i="8"/>
  <c r="M40" i="8"/>
  <c r="BP39" i="8"/>
  <c r="BD39" i="8"/>
  <c r="AR39" i="8"/>
  <c r="AF39" i="8"/>
  <c r="T39" i="8"/>
  <c r="H39" i="8"/>
  <c r="BK38" i="8"/>
  <c r="AY38" i="8"/>
  <c r="AM38" i="8"/>
  <c r="AA38" i="8"/>
  <c r="O38" i="8"/>
  <c r="BF37" i="8"/>
  <c r="AT37" i="8"/>
  <c r="AH37" i="8"/>
  <c r="V37" i="8"/>
  <c r="J37" i="8"/>
  <c r="BM36" i="8"/>
  <c r="BA36" i="8"/>
  <c r="AO36" i="8"/>
  <c r="AC36" i="8"/>
  <c r="Q36" i="8"/>
  <c r="E36" i="8"/>
  <c r="BH35" i="8"/>
  <c r="AV35" i="8"/>
  <c r="AJ35" i="8"/>
  <c r="X35" i="8"/>
  <c r="L35" i="8"/>
  <c r="BO34" i="8"/>
  <c r="BC34" i="8"/>
  <c r="V109" i="8"/>
  <c r="P99" i="8"/>
  <c r="BJ93" i="8"/>
  <c r="O90" i="8"/>
  <c r="BD86" i="8"/>
  <c r="AB84" i="8"/>
  <c r="P82" i="8"/>
  <c r="F80" i="8"/>
  <c r="L78" i="8"/>
  <c r="AQ76" i="8"/>
  <c r="AG75" i="8"/>
  <c r="Z74" i="8"/>
  <c r="P73" i="8"/>
  <c r="J72" i="8"/>
  <c r="D71" i="8"/>
  <c r="BM69" i="8"/>
  <c r="BH68" i="8"/>
  <c r="BK67" i="8"/>
  <c r="F67" i="8"/>
  <c r="AB66" i="8"/>
  <c r="BD65" i="8"/>
  <c r="Q65" i="8"/>
  <c r="AV64" i="8"/>
  <c r="L64" i="8"/>
  <c r="AQ63" i="8"/>
  <c r="G63" i="8"/>
  <c r="AL62" i="8"/>
  <c r="AK61" i="8"/>
  <c r="F61" i="8"/>
  <c r="AO60" i="8"/>
  <c r="H60" i="8"/>
  <c r="AR59" i="8"/>
  <c r="L59" i="8"/>
  <c r="AW58" i="8"/>
  <c r="T58" i="8"/>
  <c r="BF57" i="8"/>
  <c r="AJ57" i="8"/>
  <c r="G57" i="8"/>
  <c r="AV56" i="8"/>
  <c r="AA56" i="8"/>
  <c r="BP55" i="8"/>
  <c r="AP55" i="8"/>
  <c r="P55" i="8"/>
  <c r="BJ54" i="8"/>
  <c r="AK54" i="8"/>
  <c r="M54" i="8"/>
  <c r="BI53" i="8"/>
  <c r="AK53" i="8"/>
  <c r="P53" i="8"/>
  <c r="BN52" i="8"/>
  <c r="AY52" i="8"/>
  <c r="AK52" i="8"/>
  <c r="X52" i="8"/>
  <c r="K52" i="8"/>
  <c r="BL51" i="8"/>
  <c r="AY51" i="8"/>
  <c r="AL51" i="8"/>
  <c r="Y51" i="8"/>
  <c r="L51" i="8"/>
  <c r="BN50" i="8"/>
  <c r="BA50" i="8"/>
  <c r="AN50" i="8"/>
  <c r="AA50" i="8"/>
  <c r="N50" i="8"/>
  <c r="BQ49" i="8"/>
  <c r="BE49" i="8"/>
  <c r="AS49" i="8"/>
  <c r="AG49" i="8"/>
  <c r="U49" i="8"/>
  <c r="I49" i="8"/>
  <c r="BL48" i="8"/>
  <c r="AZ48" i="8"/>
  <c r="AN48" i="8"/>
  <c r="AB48" i="8"/>
  <c r="P48" i="8"/>
  <c r="D48" i="8"/>
  <c r="BG47" i="8"/>
  <c r="AU47" i="8"/>
  <c r="AI47" i="8"/>
  <c r="W47" i="8"/>
  <c r="K47" i="8"/>
  <c r="BN46" i="8"/>
  <c r="BB46" i="8"/>
  <c r="AP46" i="8"/>
  <c r="AD46" i="8"/>
  <c r="R46" i="8"/>
  <c r="F46" i="8"/>
  <c r="BI45" i="8"/>
  <c r="AW45" i="8"/>
  <c r="AK45" i="8"/>
  <c r="Y45" i="8"/>
  <c r="M45" i="8"/>
  <c r="BP44" i="8"/>
  <c r="BD44" i="8"/>
  <c r="AR44" i="8"/>
  <c r="AF44" i="8"/>
  <c r="T44" i="8"/>
  <c r="H44" i="8"/>
  <c r="BK43" i="8"/>
  <c r="AY43" i="8"/>
  <c r="AM43" i="8"/>
  <c r="AA43" i="8"/>
  <c r="O43" i="8"/>
  <c r="BF42" i="8"/>
  <c r="AT42" i="8"/>
  <c r="AH42" i="8"/>
  <c r="V42" i="8"/>
  <c r="J42" i="8"/>
  <c r="BM41" i="8"/>
  <c r="BA41" i="8"/>
  <c r="AO41" i="8"/>
  <c r="AC41" i="8"/>
  <c r="Q41" i="8"/>
  <c r="E41" i="8"/>
  <c r="BH40" i="8"/>
  <c r="AV40" i="8"/>
  <c r="AJ40" i="8"/>
  <c r="X40" i="8"/>
  <c r="L40" i="8"/>
  <c r="BO39" i="8"/>
  <c r="BC39" i="8"/>
  <c r="AQ39" i="8"/>
  <c r="AE39" i="8"/>
  <c r="S39" i="8"/>
  <c r="G39" i="8"/>
  <c r="BJ38" i="8"/>
  <c r="AX38" i="8"/>
  <c r="AL38" i="8"/>
  <c r="Z38" i="8"/>
  <c r="N38" i="8"/>
  <c r="BQ37" i="8"/>
  <c r="BE37" i="8"/>
  <c r="AS37" i="8"/>
  <c r="AG37" i="8"/>
  <c r="U37" i="8"/>
  <c r="I37" i="8"/>
  <c r="BL36" i="8"/>
  <c r="AZ36" i="8"/>
  <c r="AN36" i="8"/>
  <c r="AB36" i="8"/>
  <c r="P36" i="8"/>
  <c r="D36" i="8"/>
  <c r="BG35" i="8"/>
  <c r="AU35" i="8"/>
  <c r="AI35" i="8"/>
  <c r="W35" i="8"/>
  <c r="K35" i="8"/>
  <c r="BN34" i="8"/>
  <c r="BB34" i="8"/>
  <c r="AP34" i="8"/>
  <c r="AD34" i="8"/>
  <c r="R34" i="8"/>
  <c r="F34" i="8"/>
  <c r="BI33" i="8"/>
  <c r="AW33" i="8"/>
  <c r="AK33" i="8"/>
  <c r="Y33" i="8"/>
  <c r="M33" i="8"/>
  <c r="BP32" i="8"/>
  <c r="BD32" i="8"/>
  <c r="AR32" i="8"/>
  <c r="AF32" i="8"/>
  <c r="T32" i="8"/>
  <c r="H32" i="8"/>
  <c r="BK31" i="8"/>
  <c r="AY31" i="8"/>
  <c r="AM31" i="8"/>
  <c r="D105" i="8"/>
  <c r="AD97" i="8"/>
  <c r="BD92" i="8"/>
  <c r="S89" i="8"/>
  <c r="F86" i="8"/>
  <c r="BE83" i="8"/>
  <c r="AO81" i="8"/>
  <c r="AK79" i="8"/>
  <c r="BC77" i="8"/>
  <c r="Z76" i="8"/>
  <c r="P75" i="8"/>
  <c r="G74" i="8"/>
  <c r="BP72" i="8"/>
  <c r="BJ71" i="8"/>
  <c r="BD70" i="8"/>
  <c r="AW69" i="8"/>
  <c r="BF68" i="8"/>
  <c r="BE67" i="8"/>
  <c r="Q66" i="8"/>
  <c r="AS65" i="8"/>
  <c r="G65" i="8"/>
  <c r="AL64" i="8"/>
  <c r="BQ63" i="8"/>
  <c r="AG63" i="8"/>
  <c r="BL62" i="8"/>
  <c r="AB62" i="8"/>
  <c r="BI61" i="8"/>
  <c r="AD61" i="8"/>
  <c r="BM60" i="8"/>
  <c r="AF60" i="8"/>
  <c r="BP59" i="8"/>
  <c r="AJ59" i="8"/>
  <c r="AU58" i="8"/>
  <c r="S58" i="8"/>
  <c r="BD57" i="8"/>
  <c r="AH57" i="8"/>
  <c r="F57" i="8"/>
  <c r="AU56" i="8"/>
  <c r="U56" i="8"/>
  <c r="BO55" i="8"/>
  <c r="AO55" i="8"/>
  <c r="O55" i="8"/>
  <c r="BI54" i="8"/>
  <c r="AJ54" i="8"/>
  <c r="L54" i="8"/>
  <c r="BC53" i="8"/>
  <c r="AJ53" i="8"/>
  <c r="N53" i="8"/>
  <c r="BM52" i="8"/>
  <c r="AX52" i="8"/>
  <c r="AJ52" i="8"/>
  <c r="W52" i="8"/>
  <c r="I52" i="8"/>
  <c r="BK51" i="8"/>
  <c r="AX51" i="8"/>
  <c r="AK51" i="8"/>
  <c r="X51" i="8"/>
  <c r="K51" i="8"/>
  <c r="BM50" i="8"/>
  <c r="AZ50" i="8"/>
  <c r="AM50" i="8"/>
  <c r="Z50" i="8"/>
  <c r="M50" i="8"/>
  <c r="BP49" i="8"/>
  <c r="BD49" i="8"/>
  <c r="AR49" i="8"/>
  <c r="AF49" i="8"/>
  <c r="T49" i="8"/>
  <c r="H49" i="8"/>
  <c r="BK48" i="8"/>
  <c r="AY48" i="8"/>
  <c r="AM48" i="8"/>
  <c r="AA48" i="8"/>
  <c r="O48" i="8"/>
  <c r="BF47" i="8"/>
  <c r="AT47" i="8"/>
  <c r="AH47" i="8"/>
  <c r="V47" i="8"/>
  <c r="J47" i="8"/>
  <c r="BM46" i="8"/>
  <c r="BA46" i="8"/>
  <c r="AO46" i="8"/>
  <c r="AC46" i="8"/>
  <c r="Q46" i="8"/>
  <c r="E46" i="8"/>
  <c r="BH45" i="8"/>
  <c r="AV45" i="8"/>
  <c r="AJ45" i="8"/>
  <c r="X45" i="8"/>
  <c r="L45" i="8"/>
  <c r="BO44" i="8"/>
  <c r="BC44" i="8"/>
  <c r="AQ44" i="8"/>
  <c r="AE44" i="8"/>
  <c r="S44" i="8"/>
  <c r="G44" i="8"/>
  <c r="BJ43" i="8"/>
  <c r="AX43" i="8"/>
  <c r="AL43" i="8"/>
  <c r="Z43" i="8"/>
  <c r="N43" i="8"/>
  <c r="BQ42" i="8"/>
  <c r="BE42" i="8"/>
  <c r="AS42" i="8"/>
  <c r="AG42" i="8"/>
  <c r="U42" i="8"/>
  <c r="I42" i="8"/>
  <c r="BL41" i="8"/>
  <c r="AZ41" i="8"/>
  <c r="AN41" i="8"/>
  <c r="AB41" i="8"/>
  <c r="P41" i="8"/>
  <c r="D41" i="8"/>
  <c r="BG40" i="8"/>
  <c r="AU40" i="8"/>
  <c r="AI40" i="8"/>
  <c r="W40" i="8"/>
  <c r="K40" i="8"/>
  <c r="BN39" i="8"/>
  <c r="BB39" i="8"/>
  <c r="AP39" i="8"/>
  <c r="AD39" i="8"/>
  <c r="AP104" i="8"/>
  <c r="Q97" i="8"/>
  <c r="AT92" i="8"/>
  <c r="J89" i="8"/>
  <c r="BQ85" i="8"/>
  <c r="AY83" i="8"/>
  <c r="AM81" i="8"/>
  <c r="AG79" i="8"/>
  <c r="AY77" i="8"/>
  <c r="R76" i="8"/>
  <c r="K75" i="8"/>
  <c r="E74" i="8"/>
  <c r="BN72" i="8"/>
  <c r="BG71" i="8"/>
  <c r="AY70" i="8"/>
  <c r="AQ69" i="8"/>
  <c r="AT68" i="8"/>
  <c r="BC67" i="8"/>
  <c r="BP66" i="8"/>
  <c r="P66" i="8"/>
  <c r="AR65" i="8"/>
  <c r="F65" i="8"/>
  <c r="AK64" i="8"/>
  <c r="BP63" i="8"/>
  <c r="AF63" i="8"/>
  <c r="BK62" i="8"/>
  <c r="AA62" i="8"/>
  <c r="BH61" i="8"/>
  <c r="AB61" i="8"/>
  <c r="BL60" i="8"/>
  <c r="AE60" i="8"/>
  <c r="BN59" i="8"/>
  <c r="AI59" i="8"/>
  <c r="BQ58" i="8"/>
  <c r="AT58" i="8"/>
  <c r="R58" i="8"/>
  <c r="BB57" i="8"/>
  <c r="Z57" i="8"/>
  <c r="E57" i="8"/>
  <c r="AT56" i="8"/>
  <c r="T56" i="8"/>
  <c r="BN55" i="8"/>
  <c r="AN55" i="8"/>
  <c r="N55" i="8"/>
  <c r="BA54" i="8"/>
  <c r="AI54" i="8"/>
  <c r="K54" i="8"/>
  <c r="BB53" i="8"/>
  <c r="AI53" i="8"/>
  <c r="M53" i="8"/>
  <c r="BL52" i="8"/>
  <c r="AW52" i="8"/>
  <c r="AI52" i="8"/>
  <c r="U52" i="8"/>
  <c r="H52" i="8"/>
  <c r="BJ51" i="8"/>
  <c r="AW51" i="8"/>
  <c r="AJ51" i="8"/>
  <c r="W51" i="8"/>
  <c r="J51" i="8"/>
  <c r="BL50" i="8"/>
  <c r="AY50" i="8"/>
  <c r="AL50" i="8"/>
  <c r="Y50" i="8"/>
  <c r="L50" i="8"/>
  <c r="BO49" i="8"/>
  <c r="BC49" i="8"/>
  <c r="AQ49" i="8"/>
  <c r="AE49" i="8"/>
  <c r="S49" i="8"/>
  <c r="G49" i="8"/>
  <c r="BJ48" i="8"/>
  <c r="AX48" i="8"/>
  <c r="AL48" i="8"/>
  <c r="Z48" i="8"/>
  <c r="N48" i="8"/>
  <c r="BQ47" i="8"/>
  <c r="BE47" i="8"/>
  <c r="AS47" i="8"/>
  <c r="AG47" i="8"/>
  <c r="U47" i="8"/>
  <c r="I47" i="8"/>
  <c r="BL46" i="8"/>
  <c r="AZ46" i="8"/>
  <c r="AN46" i="8"/>
  <c r="AB46" i="8"/>
  <c r="P46" i="8"/>
  <c r="D46" i="8"/>
  <c r="BG45" i="8"/>
  <c r="AU45" i="8"/>
  <c r="AI45" i="8"/>
  <c r="W45" i="8"/>
  <c r="K45" i="8"/>
  <c r="BN44" i="8"/>
  <c r="BB44" i="8"/>
  <c r="AP44" i="8"/>
  <c r="AD44" i="8"/>
  <c r="R44" i="8"/>
  <c r="F44" i="8"/>
  <c r="BI43" i="8"/>
  <c r="AW43" i="8"/>
  <c r="AK43" i="8"/>
  <c r="Y43" i="8"/>
  <c r="M43" i="8"/>
  <c r="BP42" i="8"/>
  <c r="BD42" i="8"/>
  <c r="AR42" i="8"/>
  <c r="AF42" i="8"/>
  <c r="T42" i="8"/>
  <c r="H42" i="8"/>
  <c r="BK41" i="8"/>
  <c r="AY41" i="8"/>
  <c r="AM41" i="8"/>
  <c r="AA41" i="8"/>
  <c r="O41" i="8"/>
  <c r="BF40" i="8"/>
  <c r="AT40" i="8"/>
  <c r="AH40" i="8"/>
  <c r="V40" i="8"/>
  <c r="J40" i="8"/>
  <c r="BM39" i="8"/>
  <c r="BA39" i="8"/>
  <c r="AO39" i="8"/>
  <c r="AC39" i="8"/>
  <c r="Q39" i="8"/>
  <c r="S110" i="8"/>
  <c r="BQ86" i="8"/>
  <c r="X78" i="8"/>
  <c r="AA73" i="8"/>
  <c r="BI65" i="8"/>
  <c r="AV63" i="8"/>
  <c r="AR61" i="8"/>
  <c r="AW59" i="8"/>
  <c r="BP57" i="8"/>
  <c r="AF56" i="8"/>
  <c r="BM54" i="8"/>
  <c r="AO53" i="8"/>
  <c r="AN52" i="8"/>
  <c r="BC51" i="8"/>
  <c r="BQ50" i="8"/>
  <c r="Q50" i="8"/>
  <c r="AJ49" i="8"/>
  <c r="BC48" i="8"/>
  <c r="G48" i="8"/>
  <c r="Z47" i="8"/>
  <c r="AS46" i="8"/>
  <c r="BL45" i="8"/>
  <c r="P45" i="8"/>
  <c r="AI44" i="8"/>
  <c r="BB43" i="8"/>
  <c r="F43" i="8"/>
  <c r="Y42" i="8"/>
  <c r="AR41" i="8"/>
  <c r="BK40" i="8"/>
  <c r="O40" i="8"/>
  <c r="AH39" i="8"/>
  <c r="BM38" i="8"/>
  <c r="AJ38" i="8"/>
  <c r="J38" i="8"/>
  <c r="AR37" i="8"/>
  <c r="R37" i="8"/>
  <c r="BC36" i="8"/>
  <c r="Z36" i="8"/>
  <c r="BO35" i="8"/>
  <c r="AH35" i="8"/>
  <c r="H35" i="8"/>
  <c r="AS34" i="8"/>
  <c r="U34" i="8"/>
  <c r="BL33" i="8"/>
  <c r="AN33" i="8"/>
  <c r="P33" i="8"/>
  <c r="BG32" i="8"/>
  <c r="AI32" i="8"/>
  <c r="K32" i="8"/>
  <c r="BB31" i="8"/>
  <c r="AE31" i="8"/>
  <c r="P31" i="8"/>
  <c r="BQ30" i="8"/>
  <c r="BC30" i="8"/>
  <c r="AM30" i="8"/>
  <c r="Y30" i="8"/>
  <c r="K30" i="8"/>
  <c r="BL29" i="8"/>
  <c r="AX29" i="8"/>
  <c r="AH29" i="8"/>
  <c r="T29" i="8"/>
  <c r="F29" i="8"/>
  <c r="BG28" i="8"/>
  <c r="AS28" i="8"/>
  <c r="AC28" i="8"/>
  <c r="O28" i="8"/>
  <c r="BP27" i="8"/>
  <c r="BB27" i="8"/>
  <c r="AN27" i="8"/>
  <c r="X27" i="8"/>
  <c r="J27" i="8"/>
  <c r="BK26" i="8"/>
  <c r="AW26" i="8"/>
  <c r="AI26" i="8"/>
  <c r="S26" i="8"/>
  <c r="E26" i="8"/>
  <c r="BF25" i="8"/>
  <c r="AR25" i="8"/>
  <c r="AD25" i="8"/>
  <c r="N25" i="8"/>
  <c r="BO24" i="8"/>
  <c r="BA24" i="8"/>
  <c r="AM24" i="8"/>
  <c r="Y24" i="8"/>
  <c r="I24" i="8"/>
  <c r="BJ23" i="8"/>
  <c r="AV23" i="8"/>
  <c r="AH23" i="8"/>
  <c r="T23" i="8"/>
  <c r="D23" i="8"/>
  <c r="BE22" i="8"/>
  <c r="AQ22" i="8"/>
  <c r="AC22" i="8"/>
  <c r="O22" i="8"/>
  <c r="BN21" i="8"/>
  <c r="BA21" i="8"/>
  <c r="AN21" i="8"/>
  <c r="AA21" i="8"/>
  <c r="O21" i="8"/>
  <c r="BF20" i="8"/>
  <c r="AT20" i="8"/>
  <c r="AH20" i="8"/>
  <c r="V20" i="8"/>
  <c r="J20" i="8"/>
  <c r="BM19" i="8"/>
  <c r="BA19" i="8"/>
  <c r="AO19" i="8"/>
  <c r="AC19" i="8"/>
  <c r="Q19" i="8"/>
  <c r="E19" i="8"/>
  <c r="BH18" i="8"/>
  <c r="AV18" i="8"/>
  <c r="AJ18" i="8"/>
  <c r="X18" i="8"/>
  <c r="L18" i="8"/>
  <c r="BO17" i="8"/>
  <c r="BC17" i="8"/>
  <c r="AQ17" i="8"/>
  <c r="AE17" i="8"/>
  <c r="S17" i="8"/>
  <c r="G17" i="8"/>
  <c r="BJ16" i="8"/>
  <c r="AX16" i="8"/>
  <c r="AL16" i="8"/>
  <c r="Z16" i="8"/>
  <c r="N16" i="8"/>
  <c r="BQ15" i="8"/>
  <c r="BE15" i="8"/>
  <c r="AS15" i="8"/>
  <c r="AG15" i="8"/>
  <c r="U15" i="8"/>
  <c r="I15" i="8"/>
  <c r="BL14" i="8"/>
  <c r="AZ14" i="8"/>
  <c r="AN14" i="8"/>
  <c r="AB14" i="8"/>
  <c r="P14" i="8"/>
  <c r="D14" i="8"/>
  <c r="BG13" i="8"/>
  <c r="AU13" i="8"/>
  <c r="AI13" i="8"/>
  <c r="W13" i="8"/>
  <c r="K13" i="8"/>
  <c r="BN12" i="8"/>
  <c r="BB12" i="8"/>
  <c r="AP12" i="8"/>
  <c r="AD12" i="8"/>
  <c r="R12" i="8"/>
  <c r="F12" i="8"/>
  <c r="BI11" i="8"/>
  <c r="AW11" i="8"/>
  <c r="AK11" i="8"/>
  <c r="Y11" i="8"/>
  <c r="M11" i="8"/>
  <c r="BP10" i="8"/>
  <c r="BD10" i="8"/>
  <c r="AR10" i="8"/>
  <c r="AF10" i="8"/>
  <c r="T10" i="8"/>
  <c r="H10" i="8"/>
  <c r="BK9" i="8"/>
  <c r="AY9" i="8"/>
  <c r="AM9" i="8"/>
  <c r="AA9" i="8"/>
  <c r="O9" i="8"/>
  <c r="BF8" i="8"/>
  <c r="AT8" i="8"/>
  <c r="AH8" i="8"/>
  <c r="V8" i="8"/>
  <c r="J8" i="8"/>
  <c r="BM7" i="8"/>
  <c r="BA7" i="8"/>
  <c r="AO7" i="8"/>
  <c r="AC7" i="8"/>
  <c r="Q7" i="8"/>
  <c r="E7" i="8"/>
  <c r="BH6" i="8"/>
  <c r="AV6" i="8"/>
  <c r="AJ6" i="8"/>
  <c r="X6" i="8"/>
  <c r="L6" i="8"/>
  <c r="BO5" i="8"/>
  <c r="BC5" i="8"/>
  <c r="AQ5" i="8"/>
  <c r="AE5" i="8"/>
  <c r="S5" i="8"/>
  <c r="G5" i="8"/>
  <c r="BJ4" i="8"/>
  <c r="AX4" i="8"/>
  <c r="AL4" i="8"/>
  <c r="Z4" i="8"/>
  <c r="N4" i="8"/>
  <c r="BQ3" i="8"/>
  <c r="BE3" i="8"/>
  <c r="AS3" i="8"/>
  <c r="AO104" i="8"/>
  <c r="BL85" i="8"/>
  <c r="AR77" i="8"/>
  <c r="BL72" i="8"/>
  <c r="AO68" i="8"/>
  <c r="AQ65" i="8"/>
  <c r="AE63" i="8"/>
  <c r="Z61" i="8"/>
  <c r="AH59" i="8"/>
  <c r="BA57" i="8"/>
  <c r="S56" i="8"/>
  <c r="AZ54" i="8"/>
  <c r="AG53" i="8"/>
  <c r="AG52" i="8"/>
  <c r="AV51" i="8"/>
  <c r="BK50" i="8"/>
  <c r="K50" i="8"/>
  <c r="AD49" i="8"/>
  <c r="AW48" i="8"/>
  <c r="BP47" i="8"/>
  <c r="T47" i="8"/>
  <c r="AM46" i="8"/>
  <c r="BF45" i="8"/>
  <c r="J45" i="8"/>
  <c r="AC44" i="8"/>
  <c r="AV43" i="8"/>
  <c r="BO42" i="8"/>
  <c r="S42" i="8"/>
  <c r="AL41" i="8"/>
  <c r="BE40" i="8"/>
  <c r="I40" i="8"/>
  <c r="AB39" i="8"/>
  <c r="BI38" i="8"/>
  <c r="AI38" i="8"/>
  <c r="E38" i="8"/>
  <c r="AQ37" i="8"/>
  <c r="Q37" i="8"/>
  <c r="AY36" i="8"/>
  <c r="Y36" i="8"/>
  <c r="BJ35" i="8"/>
  <c r="AG35" i="8"/>
  <c r="G35" i="8"/>
  <c r="AQ34" i="8"/>
  <c r="S34" i="8"/>
  <c r="BJ33" i="8"/>
  <c r="AL33" i="8"/>
  <c r="N33" i="8"/>
  <c r="BE32" i="8"/>
  <c r="AG32" i="8"/>
  <c r="I32" i="8"/>
  <c r="AZ31" i="8"/>
  <c r="AD31" i="8"/>
  <c r="O31" i="8"/>
  <c r="BP30" i="8"/>
  <c r="BB30" i="8"/>
  <c r="AL30" i="8"/>
  <c r="X30" i="8"/>
  <c r="J30" i="8"/>
  <c r="BK29" i="8"/>
  <c r="AW29" i="8"/>
  <c r="AG29" i="8"/>
  <c r="S29" i="8"/>
  <c r="E29" i="8"/>
  <c r="BF28" i="8"/>
  <c r="AR28" i="8"/>
  <c r="AB28" i="8"/>
  <c r="N28" i="8"/>
  <c r="BO27" i="8"/>
  <c r="BA27" i="8"/>
  <c r="AM27" i="8"/>
  <c r="W27" i="8"/>
  <c r="I27" i="8"/>
  <c r="BJ26" i="8"/>
  <c r="AV26" i="8"/>
  <c r="AH26" i="8"/>
  <c r="R26" i="8"/>
  <c r="D26" i="8"/>
  <c r="BE25" i="8"/>
  <c r="AQ25" i="8"/>
  <c r="AC25" i="8"/>
  <c r="M25" i="8"/>
  <c r="BN24" i="8"/>
  <c r="AZ24" i="8"/>
  <c r="AL24" i="8"/>
  <c r="X24" i="8"/>
  <c r="H24" i="8"/>
  <c r="BI23" i="8"/>
  <c r="AU23" i="8"/>
  <c r="AG23" i="8"/>
  <c r="S23" i="8"/>
  <c r="BD22" i="8"/>
  <c r="AP22" i="8"/>
  <c r="AB22" i="8"/>
  <c r="N22" i="8"/>
  <c r="BM21" i="8"/>
  <c r="AZ21" i="8"/>
  <c r="AM21" i="8"/>
  <c r="Z21" i="8"/>
  <c r="N21" i="8"/>
  <c r="BQ20" i="8"/>
  <c r="BE20" i="8"/>
  <c r="AS20" i="8"/>
  <c r="AG20" i="8"/>
  <c r="U20" i="8"/>
  <c r="I20" i="8"/>
  <c r="BL19" i="8"/>
  <c r="AZ19" i="8"/>
  <c r="AN19" i="8"/>
  <c r="AB19" i="8"/>
  <c r="P19" i="8"/>
  <c r="D19" i="8"/>
  <c r="BG18" i="8"/>
  <c r="AU18" i="8"/>
  <c r="AI18" i="8"/>
  <c r="W18" i="8"/>
  <c r="K18" i="8"/>
  <c r="BN17" i="8"/>
  <c r="BB17" i="8"/>
  <c r="AP17" i="8"/>
  <c r="AD17" i="8"/>
  <c r="R17" i="8"/>
  <c r="F17" i="8"/>
  <c r="BI16" i="8"/>
  <c r="AW16" i="8"/>
  <c r="AK16" i="8"/>
  <c r="Y16" i="8"/>
  <c r="M16" i="8"/>
  <c r="BP15" i="8"/>
  <c r="BD15" i="8"/>
  <c r="AR15" i="8"/>
  <c r="AF15" i="8"/>
  <c r="T15" i="8"/>
  <c r="H15" i="8"/>
  <c r="BK14" i="8"/>
  <c r="AY14" i="8"/>
  <c r="AM14" i="8"/>
  <c r="AA14" i="8"/>
  <c r="O14" i="8"/>
  <c r="BF13" i="8"/>
  <c r="AT13" i="8"/>
  <c r="AH13" i="8"/>
  <c r="V13" i="8"/>
  <c r="J13" i="8"/>
  <c r="BM12" i="8"/>
  <c r="BA12" i="8"/>
  <c r="AO12" i="8"/>
  <c r="AC12" i="8"/>
  <c r="Q12" i="8"/>
  <c r="E12" i="8"/>
  <c r="BH11" i="8"/>
  <c r="AV11" i="8"/>
  <c r="AJ11" i="8"/>
  <c r="X11" i="8"/>
  <c r="L11" i="8"/>
  <c r="BO10" i="8"/>
  <c r="BC10" i="8"/>
  <c r="AQ10" i="8"/>
  <c r="AE10" i="8"/>
  <c r="S10" i="8"/>
  <c r="G10" i="8"/>
  <c r="BJ9" i="8"/>
  <c r="AX9" i="8"/>
  <c r="AL9" i="8"/>
  <c r="Z9" i="8"/>
  <c r="N9" i="8"/>
  <c r="X104" i="8"/>
  <c r="BI85" i="8"/>
  <c r="AP77" i="8"/>
  <c r="BI72" i="8"/>
  <c r="AI68" i="8"/>
  <c r="AM65" i="8"/>
  <c r="AB63" i="8"/>
  <c r="X61" i="8"/>
  <c r="AD59" i="8"/>
  <c r="AZ57" i="8"/>
  <c r="Q56" i="8"/>
  <c r="AY54" i="8"/>
  <c r="AC53" i="8"/>
  <c r="AF52" i="8"/>
  <c r="AU51" i="8"/>
  <c r="BJ50" i="8"/>
  <c r="J50" i="8"/>
  <c r="AC49" i="8"/>
  <c r="AV48" i="8"/>
  <c r="BO47" i="8"/>
  <c r="S47" i="8"/>
  <c r="AL46" i="8"/>
  <c r="BE45" i="8"/>
  <c r="I45" i="8"/>
  <c r="AB44" i="8"/>
  <c r="AU43" i="8"/>
  <c r="BN42" i="8"/>
  <c r="R42" i="8"/>
  <c r="AK41" i="8"/>
  <c r="BD40" i="8"/>
  <c r="H40" i="8"/>
  <c r="AA39" i="8"/>
  <c r="BH38" i="8"/>
  <c r="AH38" i="8"/>
  <c r="BP37" i="8"/>
  <c r="AP37" i="8"/>
  <c r="L37" i="8"/>
  <c r="AX36" i="8"/>
  <c r="X36" i="8"/>
  <c r="BF35" i="8"/>
  <c r="AF35" i="8"/>
  <c r="BQ34" i="8"/>
  <c r="AO34" i="8"/>
  <c r="Q34" i="8"/>
  <c r="BH33" i="8"/>
  <c r="AJ33" i="8"/>
  <c r="L33" i="8"/>
  <c r="BC32" i="8"/>
  <c r="AE32" i="8"/>
  <c r="G32" i="8"/>
  <c r="AX31" i="8"/>
  <c r="AB31" i="8"/>
  <c r="N31" i="8"/>
  <c r="BO30" i="8"/>
  <c r="AY30" i="8"/>
  <c r="AK30" i="8"/>
  <c r="W30" i="8"/>
  <c r="I30" i="8"/>
  <c r="BJ29" i="8"/>
  <c r="AT29" i="8"/>
  <c r="AF29" i="8"/>
  <c r="R29" i="8"/>
  <c r="D29" i="8"/>
  <c r="BE28" i="8"/>
  <c r="AO28" i="8"/>
  <c r="AA28" i="8"/>
  <c r="M28" i="8"/>
  <c r="BN27" i="8"/>
  <c r="AZ27" i="8"/>
  <c r="AJ27" i="8"/>
  <c r="V27" i="8"/>
  <c r="H27" i="8"/>
  <c r="BI26" i="8"/>
  <c r="AU26" i="8"/>
  <c r="AE26" i="8"/>
  <c r="Q26" i="8"/>
  <c r="BD25" i="8"/>
  <c r="AP25" i="8"/>
  <c r="Z25" i="8"/>
  <c r="L25" i="8"/>
  <c r="BM24" i="8"/>
  <c r="AY24" i="8"/>
  <c r="AK24" i="8"/>
  <c r="U24" i="8"/>
  <c r="G24" i="8"/>
  <c r="BH23" i="8"/>
  <c r="AT23" i="8"/>
  <c r="AF23" i="8"/>
  <c r="P23" i="8"/>
  <c r="BQ22" i="8"/>
  <c r="BC22" i="8"/>
  <c r="AO22" i="8"/>
  <c r="AA22" i="8"/>
  <c r="K22" i="8"/>
  <c r="BL21" i="8"/>
  <c r="AY21" i="8"/>
  <c r="AL21" i="8"/>
  <c r="Y21" i="8"/>
  <c r="M21" i="8"/>
  <c r="BP20" i="8"/>
  <c r="BD20" i="8"/>
  <c r="AR20" i="8"/>
  <c r="AF20" i="8"/>
  <c r="T20" i="8"/>
  <c r="H20" i="8"/>
  <c r="BK19" i="8"/>
  <c r="AY19" i="8"/>
  <c r="AM19" i="8"/>
  <c r="AA19" i="8"/>
  <c r="O19" i="8"/>
  <c r="BF18" i="8"/>
  <c r="AT18" i="8"/>
  <c r="AH18" i="8"/>
  <c r="V18" i="8"/>
  <c r="J18" i="8"/>
  <c r="BM17" i="8"/>
  <c r="BA17" i="8"/>
  <c r="AO17" i="8"/>
  <c r="AC17" i="8"/>
  <c r="Q17" i="8"/>
  <c r="E17" i="8"/>
  <c r="BH16" i="8"/>
  <c r="AV16" i="8"/>
  <c r="AJ16" i="8"/>
  <c r="X16" i="8"/>
  <c r="L16" i="8"/>
  <c r="BO15" i="8"/>
  <c r="BC15" i="8"/>
  <c r="AQ15" i="8"/>
  <c r="AE15" i="8"/>
  <c r="S15" i="8"/>
  <c r="G15" i="8"/>
  <c r="BJ14" i="8"/>
  <c r="AX14" i="8"/>
  <c r="AL14" i="8"/>
  <c r="Z14" i="8"/>
  <c r="N14" i="8"/>
  <c r="BQ13" i="8"/>
  <c r="BE13" i="8"/>
  <c r="AS13" i="8"/>
  <c r="AG13" i="8"/>
  <c r="U13" i="8"/>
  <c r="I13" i="8"/>
  <c r="BL12" i="8"/>
  <c r="AZ12" i="8"/>
  <c r="AN12" i="8"/>
  <c r="AB12" i="8"/>
  <c r="P12" i="8"/>
  <c r="D12" i="8"/>
  <c r="BG11" i="8"/>
  <c r="AU11" i="8"/>
  <c r="AI11" i="8"/>
  <c r="W11" i="8"/>
  <c r="K11" i="8"/>
  <c r="BN10" i="8"/>
  <c r="BB10" i="8"/>
  <c r="AP10" i="8"/>
  <c r="AD10" i="8"/>
  <c r="R10" i="8"/>
  <c r="F10" i="8"/>
  <c r="BI9" i="8"/>
  <c r="AW9" i="8"/>
  <c r="AK9" i="8"/>
  <c r="Y9" i="8"/>
  <c r="AT99" i="8"/>
  <c r="AN84" i="8"/>
  <c r="BA76" i="8"/>
  <c r="T72" i="8"/>
  <c r="L68" i="8"/>
  <c r="V65" i="8"/>
  <c r="L63" i="8"/>
  <c r="K61" i="8"/>
  <c r="P59" i="8"/>
  <c r="AM57" i="8"/>
  <c r="E56" i="8"/>
  <c r="AN54" i="8"/>
  <c r="W53" i="8"/>
  <c r="AA52" i="8"/>
  <c r="AP51" i="8"/>
  <c r="BD50" i="8"/>
  <c r="E50" i="8"/>
  <c r="X49" i="8"/>
  <c r="AQ48" i="8"/>
  <c r="BJ47" i="8"/>
  <c r="N47" i="8"/>
  <c r="AG46" i="8"/>
  <c r="AZ45" i="8"/>
  <c r="D45" i="8"/>
  <c r="W44" i="8"/>
  <c r="AP43" i="8"/>
  <c r="BI42" i="8"/>
  <c r="M42" i="8"/>
  <c r="AF41" i="8"/>
  <c r="AY40" i="8"/>
  <c r="V39" i="8"/>
  <c r="BG38" i="8"/>
  <c r="AC38" i="8"/>
  <c r="BO37" i="8"/>
  <c r="AO37" i="8"/>
  <c r="H37" i="8"/>
  <c r="AW36" i="8"/>
  <c r="S36" i="8"/>
  <c r="BE35" i="8"/>
  <c r="AE35" i="8"/>
  <c r="BM34" i="8"/>
  <c r="AN34" i="8"/>
  <c r="P34" i="8"/>
  <c r="BG33" i="8"/>
  <c r="AI33" i="8"/>
  <c r="K33" i="8"/>
  <c r="BB32" i="8"/>
  <c r="AD32" i="8"/>
  <c r="F32" i="8"/>
  <c r="AW31" i="8"/>
  <c r="AA31" i="8"/>
  <c r="M31" i="8"/>
  <c r="BN30" i="8"/>
  <c r="AX30" i="8"/>
  <c r="AJ30" i="8"/>
  <c r="V30" i="8"/>
  <c r="H30" i="8"/>
  <c r="BI29" i="8"/>
  <c r="AS29" i="8"/>
  <c r="AE29" i="8"/>
  <c r="Q29" i="8"/>
  <c r="BD28" i="8"/>
  <c r="AN28" i="8"/>
  <c r="Z28" i="8"/>
  <c r="L28" i="8"/>
  <c r="BM27" i="8"/>
  <c r="AY27" i="8"/>
  <c r="AI27" i="8"/>
  <c r="U27" i="8"/>
  <c r="G27" i="8"/>
  <c r="BH26" i="8"/>
  <c r="AT26" i="8"/>
  <c r="AD26" i="8"/>
  <c r="P26" i="8"/>
  <c r="BQ25" i="8"/>
  <c r="BC25" i="8"/>
  <c r="AO25" i="8"/>
  <c r="Y25" i="8"/>
  <c r="K25" i="8"/>
  <c r="BL24" i="8"/>
  <c r="AX24" i="8"/>
  <c r="AJ24" i="8"/>
  <c r="T24" i="8"/>
  <c r="F24" i="8"/>
  <c r="BG23" i="8"/>
  <c r="AS23" i="8"/>
  <c r="AE23" i="8"/>
  <c r="O23" i="8"/>
  <c r="BP22" i="8"/>
  <c r="BB22" i="8"/>
  <c r="AN22" i="8"/>
  <c r="Z22" i="8"/>
  <c r="J22" i="8"/>
  <c r="BK21" i="8"/>
  <c r="AX21" i="8"/>
  <c r="AK21" i="8"/>
  <c r="X21" i="8"/>
  <c r="L21" i="8"/>
  <c r="BO20" i="8"/>
  <c r="BC20" i="8"/>
  <c r="AQ20" i="8"/>
  <c r="AE20" i="8"/>
  <c r="S20" i="8"/>
  <c r="G20" i="8"/>
  <c r="BJ19" i="8"/>
  <c r="AX19" i="8"/>
  <c r="AL19" i="8"/>
  <c r="Z19" i="8"/>
  <c r="N19" i="8"/>
  <c r="BQ18" i="8"/>
  <c r="BE18" i="8"/>
  <c r="AS18" i="8"/>
  <c r="AG18" i="8"/>
  <c r="U18" i="8"/>
  <c r="O97" i="8"/>
  <c r="AX83" i="8"/>
  <c r="Q76" i="8"/>
  <c r="BD71" i="8"/>
  <c r="BA67" i="8"/>
  <c r="E65" i="8"/>
  <c r="BJ62" i="8"/>
  <c r="BK60" i="8"/>
  <c r="BP58" i="8"/>
  <c r="Y57" i="8"/>
  <c r="BF55" i="8"/>
  <c r="AH54" i="8"/>
  <c r="L53" i="8"/>
  <c r="T52" i="8"/>
  <c r="AI51" i="8"/>
  <c r="AX50" i="8"/>
  <c r="BN49" i="8"/>
  <c r="R49" i="8"/>
  <c r="AK48" i="8"/>
  <c r="BD47" i="8"/>
  <c r="H47" i="8"/>
  <c r="AA46" i="8"/>
  <c r="AT45" i="8"/>
  <c r="BM44" i="8"/>
  <c r="Q44" i="8"/>
  <c r="AJ43" i="8"/>
  <c r="BC42" i="8"/>
  <c r="G42" i="8"/>
  <c r="Z41" i="8"/>
  <c r="AS40" i="8"/>
  <c r="BL39" i="8"/>
  <c r="R39" i="8"/>
  <c r="BF38" i="8"/>
  <c r="Y38" i="8"/>
  <c r="BN37" i="8"/>
  <c r="AJ37" i="8"/>
  <c r="G37" i="8"/>
  <c r="AV36" i="8"/>
  <c r="O36" i="8"/>
  <c r="BD35" i="8"/>
  <c r="Z35" i="8"/>
  <c r="BL34" i="8"/>
  <c r="AM34" i="8"/>
  <c r="O34" i="8"/>
  <c r="BF33" i="8"/>
  <c r="AH33" i="8"/>
  <c r="J33" i="8"/>
  <c r="BA32" i="8"/>
  <c r="AC32" i="8"/>
  <c r="E32" i="8"/>
  <c r="AV31" i="8"/>
  <c r="Z31" i="8"/>
  <c r="L31" i="8"/>
  <c r="BK30" i="8"/>
  <c r="AW30" i="8"/>
  <c r="AI30" i="8"/>
  <c r="U30" i="8"/>
  <c r="G30" i="8"/>
  <c r="BF29" i="8"/>
  <c r="AR29" i="8"/>
  <c r="AD29" i="8"/>
  <c r="P29" i="8"/>
  <c r="BQ28" i="8"/>
  <c r="BA28" i="8"/>
  <c r="AM28" i="8"/>
  <c r="Y28" i="8"/>
  <c r="K28" i="8"/>
  <c r="BL27" i="8"/>
  <c r="AV27" i="8"/>
  <c r="AH27" i="8"/>
  <c r="T27" i="8"/>
  <c r="F27" i="8"/>
  <c r="BG26" i="8"/>
  <c r="AQ26" i="8"/>
  <c r="AC26" i="8"/>
  <c r="O26" i="8"/>
  <c r="BP25" i="8"/>
  <c r="BB25" i="8"/>
  <c r="AL25" i="8"/>
  <c r="X25" i="8"/>
  <c r="J25" i="8"/>
  <c r="H97" i="8"/>
  <c r="AU83" i="8"/>
  <c r="P76" i="8"/>
  <c r="BA71" i="8"/>
  <c r="AY67" i="8"/>
  <c r="BQ64" i="8"/>
  <c r="BG62" i="8"/>
  <c r="BG60" i="8"/>
  <c r="BO58" i="8"/>
  <c r="X57" i="8"/>
  <c r="BE55" i="8"/>
  <c r="AA54" i="8"/>
  <c r="K53" i="8"/>
  <c r="S52" i="8"/>
  <c r="AH51" i="8"/>
  <c r="AW50" i="8"/>
  <c r="BM49" i="8"/>
  <c r="Q49" i="8"/>
  <c r="AJ48" i="8"/>
  <c r="BC47" i="8"/>
  <c r="G47" i="8"/>
  <c r="Z46" i="8"/>
  <c r="AS45" i="8"/>
  <c r="BL44" i="8"/>
  <c r="P44" i="8"/>
  <c r="AI43" i="8"/>
  <c r="BB42" i="8"/>
  <c r="F42" i="8"/>
  <c r="Y41" i="8"/>
  <c r="AR40" i="8"/>
  <c r="BK39" i="8"/>
  <c r="P39" i="8"/>
  <c r="BA38" i="8"/>
  <c r="X38" i="8"/>
  <c r="BM37" i="8"/>
  <c r="AF37" i="8"/>
  <c r="F37" i="8"/>
  <c r="AQ36" i="8"/>
  <c r="N36" i="8"/>
  <c r="BC35" i="8"/>
  <c r="V35" i="8"/>
  <c r="BK34" i="8"/>
  <c r="AL34" i="8"/>
  <c r="N34" i="8"/>
  <c r="BE33" i="8"/>
  <c r="AG33" i="8"/>
  <c r="I33" i="8"/>
  <c r="AZ32" i="8"/>
  <c r="AB32" i="8"/>
  <c r="D32" i="8"/>
  <c r="AU31" i="8"/>
  <c r="Y31" i="8"/>
  <c r="K31" i="8"/>
  <c r="BJ30" i="8"/>
  <c r="AV30" i="8"/>
  <c r="AH30" i="8"/>
  <c r="T30" i="8"/>
  <c r="F30" i="8"/>
  <c r="BE29" i="8"/>
  <c r="AQ29" i="8"/>
  <c r="AC29" i="8"/>
  <c r="O29" i="8"/>
  <c r="BP28" i="8"/>
  <c r="AZ28" i="8"/>
  <c r="AL28" i="8"/>
  <c r="X28" i="8"/>
  <c r="J28" i="8"/>
  <c r="BK27" i="8"/>
  <c r="AU27" i="8"/>
  <c r="AG27" i="8"/>
  <c r="S27" i="8"/>
  <c r="E27" i="8"/>
  <c r="BF26" i="8"/>
  <c r="AP26" i="8"/>
  <c r="AB26" i="8"/>
  <c r="N26" i="8"/>
  <c r="BO25" i="8"/>
  <c r="BA25" i="8"/>
  <c r="AK25" i="8"/>
  <c r="W25" i="8"/>
  <c r="I25" i="8"/>
  <c r="BJ24" i="8"/>
  <c r="AV24" i="8"/>
  <c r="AF24" i="8"/>
  <c r="R24" i="8"/>
  <c r="D24" i="8"/>
  <c r="BE23" i="8"/>
  <c r="AQ23" i="8"/>
  <c r="AA23" i="8"/>
  <c r="M23" i="8"/>
  <c r="BN22" i="8"/>
  <c r="AZ22" i="8"/>
  <c r="AL22" i="8"/>
  <c r="V22" i="8"/>
  <c r="H22" i="8"/>
  <c r="BI21" i="8"/>
  <c r="AV21" i="8"/>
  <c r="AI21" i="8"/>
  <c r="V21" i="8"/>
  <c r="J21" i="8"/>
  <c r="BM20" i="8"/>
  <c r="BA20" i="8"/>
  <c r="AO20" i="8"/>
  <c r="AC20" i="8"/>
  <c r="Q20" i="8"/>
  <c r="E20" i="8"/>
  <c r="BH19" i="8"/>
  <c r="AV19" i="8"/>
  <c r="AJ19" i="8"/>
  <c r="X19" i="8"/>
  <c r="L19" i="8"/>
  <c r="BO18" i="8"/>
  <c r="BC18" i="8"/>
  <c r="AQ18" i="8"/>
  <c r="AE18" i="8"/>
  <c r="S18" i="8"/>
  <c r="G18" i="8"/>
  <c r="BJ17" i="8"/>
  <c r="AX17" i="8"/>
  <c r="AL17" i="8"/>
  <c r="Z17" i="8"/>
  <c r="N17" i="8"/>
  <c r="BQ16" i="8"/>
  <c r="BE16" i="8"/>
  <c r="AS16" i="8"/>
  <c r="AG16" i="8"/>
  <c r="U16" i="8"/>
  <c r="I16" i="8"/>
  <c r="BL15" i="8"/>
  <c r="AZ15" i="8"/>
  <c r="AN15" i="8"/>
  <c r="AB15" i="8"/>
  <c r="P15" i="8"/>
  <c r="D15" i="8"/>
  <c r="BG14" i="8"/>
  <c r="AU14" i="8"/>
  <c r="AI14" i="8"/>
  <c r="W14" i="8"/>
  <c r="K14" i="8"/>
  <c r="BN13" i="8"/>
  <c r="BB13" i="8"/>
  <c r="AP13" i="8"/>
  <c r="AD13" i="8"/>
  <c r="R13" i="8"/>
  <c r="F13" i="8"/>
  <c r="BI12" i="8"/>
  <c r="AW12" i="8"/>
  <c r="AK12" i="8"/>
  <c r="Y12" i="8"/>
  <c r="M12" i="8"/>
  <c r="BP11" i="8"/>
  <c r="BD11" i="8"/>
  <c r="AR11" i="8"/>
  <c r="AF11" i="8"/>
  <c r="T11" i="8"/>
  <c r="H11" i="8"/>
  <c r="BK10" i="8"/>
  <c r="AY10" i="8"/>
  <c r="AM10" i="8"/>
  <c r="AA10" i="8"/>
  <c r="O10" i="8"/>
  <c r="BF9" i="8"/>
  <c r="AT9" i="8"/>
  <c r="AH9" i="8"/>
  <c r="V9" i="8"/>
  <c r="J9" i="8"/>
  <c r="BM8" i="8"/>
  <c r="M94" i="8"/>
  <c r="AA82" i="8"/>
  <c r="AN75" i="8"/>
  <c r="M71" i="8"/>
  <c r="AA67" i="8"/>
  <c r="BA64" i="8"/>
  <c r="AQ62" i="8"/>
  <c r="AS60" i="8"/>
  <c r="BB58" i="8"/>
  <c r="L57" i="8"/>
  <c r="AZ55" i="8"/>
  <c r="V54" i="8"/>
  <c r="BQ52" i="8"/>
  <c r="N52" i="8"/>
  <c r="AB51" i="8"/>
  <c r="AQ50" i="8"/>
  <c r="BH49" i="8"/>
  <c r="L49" i="8"/>
  <c r="AE48" i="8"/>
  <c r="AX47" i="8"/>
  <c r="BQ46" i="8"/>
  <c r="U46" i="8"/>
  <c r="AN45" i="8"/>
  <c r="BG44" i="8"/>
  <c r="K44" i="8"/>
  <c r="AD43" i="8"/>
  <c r="AW42" i="8"/>
  <c r="BP41" i="8"/>
  <c r="T41" i="8"/>
  <c r="AM40" i="8"/>
  <c r="BF39" i="8"/>
  <c r="O39" i="8"/>
  <c r="AW38" i="8"/>
  <c r="W38" i="8"/>
  <c r="BH37" i="8"/>
  <c r="AE37" i="8"/>
  <c r="E37" i="8"/>
  <c r="AM36" i="8"/>
  <c r="M36" i="8"/>
  <c r="AX35" i="8"/>
  <c r="U35" i="8"/>
  <c r="BJ34" i="8"/>
  <c r="AG34" i="8"/>
  <c r="I34" i="8"/>
  <c r="AZ33" i="8"/>
  <c r="AB33" i="8"/>
  <c r="D33" i="8"/>
  <c r="AU32" i="8"/>
  <c r="W32" i="8"/>
  <c r="BN31" i="8"/>
  <c r="AP31" i="8"/>
  <c r="X31" i="8"/>
  <c r="H31" i="8"/>
  <c r="BI30" i="8"/>
  <c r="AU30" i="8"/>
  <c r="AG30" i="8"/>
  <c r="S30" i="8"/>
  <c r="BD29" i="8"/>
  <c r="AP29" i="8"/>
  <c r="AB29" i="8"/>
  <c r="N29" i="8"/>
  <c r="BM28" i="8"/>
  <c r="AY28" i="8"/>
  <c r="AK28" i="8"/>
  <c r="W28" i="8"/>
  <c r="I28" i="8"/>
  <c r="BH27" i="8"/>
  <c r="AT27" i="8"/>
  <c r="AF27" i="8"/>
  <c r="R27" i="8"/>
  <c r="D27" i="8"/>
  <c r="BC26" i="8"/>
  <c r="AO26" i="8"/>
  <c r="AA26" i="8"/>
  <c r="M26" i="8"/>
  <c r="BN25" i="8"/>
  <c r="AX25" i="8"/>
  <c r="AJ25" i="8"/>
  <c r="V25" i="8"/>
  <c r="H25" i="8"/>
  <c r="BI24" i="8"/>
  <c r="AS24" i="8"/>
  <c r="AE24" i="8"/>
  <c r="Q24" i="8"/>
  <c r="BD23" i="8"/>
  <c r="AN23" i="8"/>
  <c r="Z23" i="8"/>
  <c r="L23" i="8"/>
  <c r="BM22" i="8"/>
  <c r="AY22" i="8"/>
  <c r="AI22" i="8"/>
  <c r="U22" i="8"/>
  <c r="G22" i="8"/>
  <c r="BH21" i="8"/>
  <c r="AU21" i="8"/>
  <c r="AH21" i="8"/>
  <c r="U21" i="8"/>
  <c r="I21" i="8"/>
  <c r="BL20" i="8"/>
  <c r="AZ20" i="8"/>
  <c r="AN20" i="8"/>
  <c r="AB20" i="8"/>
  <c r="P20" i="8"/>
  <c r="D20" i="8"/>
  <c r="BG19" i="8"/>
  <c r="AU19" i="8"/>
  <c r="AI19" i="8"/>
  <c r="W19" i="8"/>
  <c r="K19" i="8"/>
  <c r="BN18" i="8"/>
  <c r="BB18" i="8"/>
  <c r="AP18" i="8"/>
  <c r="AD18" i="8"/>
  <c r="R18" i="8"/>
  <c r="F18" i="8"/>
  <c r="BI17" i="8"/>
  <c r="AW17" i="8"/>
  <c r="AK17" i="8"/>
  <c r="Y17" i="8"/>
  <c r="M17" i="8"/>
  <c r="BP16" i="8"/>
  <c r="BD16" i="8"/>
  <c r="AR16" i="8"/>
  <c r="AF16" i="8"/>
  <c r="T16" i="8"/>
  <c r="H16" i="8"/>
  <c r="BK15" i="8"/>
  <c r="AY15" i="8"/>
  <c r="AM15" i="8"/>
  <c r="AA15" i="8"/>
  <c r="O15" i="8"/>
  <c r="BF14" i="8"/>
  <c r="AT14" i="8"/>
  <c r="AH14" i="8"/>
  <c r="V14" i="8"/>
  <c r="J14" i="8"/>
  <c r="BM13" i="8"/>
  <c r="BA13" i="8"/>
  <c r="AO13" i="8"/>
  <c r="AC13" i="8"/>
  <c r="Q13" i="8"/>
  <c r="E13" i="8"/>
  <c r="BH12" i="8"/>
  <c r="AV12" i="8"/>
  <c r="AJ12" i="8"/>
  <c r="X12" i="8"/>
  <c r="L12" i="8"/>
  <c r="BO11" i="8"/>
  <c r="BC11" i="8"/>
  <c r="AQ11" i="8"/>
  <c r="AE11" i="8"/>
  <c r="S11" i="8"/>
  <c r="G11" i="8"/>
  <c r="BJ10" i="8"/>
  <c r="AX10" i="8"/>
  <c r="AL10" i="8"/>
  <c r="Z10" i="8"/>
  <c r="N10" i="8"/>
  <c r="BQ9" i="8"/>
  <c r="BE9" i="8"/>
  <c r="AS92" i="8"/>
  <c r="AK81" i="8"/>
  <c r="J75" i="8"/>
  <c r="AV70" i="8"/>
  <c r="BD66" i="8"/>
  <c r="AJ64" i="8"/>
  <c r="Z62" i="8"/>
  <c r="AD60" i="8"/>
  <c r="AM58" i="8"/>
  <c r="D57" i="8"/>
  <c r="AM55" i="8"/>
  <c r="J54" i="8"/>
  <c r="BK52" i="8"/>
  <c r="G52" i="8"/>
  <c r="V51" i="8"/>
  <c r="AK50" i="8"/>
  <c r="BB49" i="8"/>
  <c r="F49" i="8"/>
  <c r="Y48" i="8"/>
  <c r="AR47" i="8"/>
  <c r="BK46" i="8"/>
  <c r="O46" i="8"/>
  <c r="AH45" i="8"/>
  <c r="BA44" i="8"/>
  <c r="E44" i="8"/>
  <c r="X43" i="8"/>
  <c r="AQ42" i="8"/>
  <c r="BJ41" i="8"/>
  <c r="N41" i="8"/>
  <c r="AG40" i="8"/>
  <c r="AZ39" i="8"/>
  <c r="J39" i="8"/>
  <c r="AV38" i="8"/>
  <c r="V38" i="8"/>
  <c r="BD37" i="8"/>
  <c r="AD37" i="8"/>
  <c r="BO36" i="8"/>
  <c r="AL36" i="8"/>
  <c r="L36" i="8"/>
  <c r="AT35" i="8"/>
  <c r="T35" i="8"/>
  <c r="BE34" i="8"/>
  <c r="AE34" i="8"/>
  <c r="G34" i="8"/>
  <c r="AX33" i="8"/>
  <c r="Z33" i="8"/>
  <c r="BQ32" i="8"/>
  <c r="AS32" i="8"/>
  <c r="U32" i="8"/>
  <c r="BL31" i="8"/>
  <c r="AN31" i="8"/>
  <c r="W31" i="8"/>
  <c r="G31" i="8"/>
  <c r="BH30" i="8"/>
  <c r="AT30" i="8"/>
  <c r="AF30" i="8"/>
  <c r="R30" i="8"/>
  <c r="BQ29" i="8"/>
  <c r="BC29" i="8"/>
  <c r="AO29" i="8"/>
  <c r="AA29" i="8"/>
  <c r="M29" i="8"/>
  <c r="BL28" i="8"/>
  <c r="AX28" i="8"/>
  <c r="AJ28" i="8"/>
  <c r="V28" i="8"/>
  <c r="H28" i="8"/>
  <c r="BG27" i="8"/>
  <c r="AS27" i="8"/>
  <c r="AE27" i="8"/>
  <c r="Q27" i="8"/>
  <c r="BB26" i="8"/>
  <c r="AN26" i="8"/>
  <c r="Z26" i="8"/>
  <c r="L26" i="8"/>
  <c r="BM25" i="8"/>
  <c r="AW25" i="8"/>
  <c r="AI25" i="8"/>
  <c r="U25" i="8"/>
  <c r="G25" i="8"/>
  <c r="BH24" i="8"/>
  <c r="AR24" i="8"/>
  <c r="AD24" i="8"/>
  <c r="P24" i="8"/>
  <c r="BQ23" i="8"/>
  <c r="BC23" i="8"/>
  <c r="AM23" i="8"/>
  <c r="Y23" i="8"/>
  <c r="K23" i="8"/>
  <c r="BL22" i="8"/>
  <c r="AX22" i="8"/>
  <c r="AH22" i="8"/>
  <c r="T22" i="8"/>
  <c r="F22" i="8"/>
  <c r="BG21" i="8"/>
  <c r="AT21" i="8"/>
  <c r="AG21" i="8"/>
  <c r="T21" i="8"/>
  <c r="H21" i="8"/>
  <c r="BK20" i="8"/>
  <c r="AY20" i="8"/>
  <c r="AM20" i="8"/>
  <c r="AA20" i="8"/>
  <c r="O20" i="8"/>
  <c r="BF19" i="8"/>
  <c r="AT19" i="8"/>
  <c r="AH19" i="8"/>
  <c r="V19" i="8"/>
  <c r="J19" i="8"/>
  <c r="BM18" i="8"/>
  <c r="BA18" i="8"/>
  <c r="AO18" i="8"/>
  <c r="AC18" i="8"/>
  <c r="Q18" i="8"/>
  <c r="E18" i="8"/>
  <c r="BH17" i="8"/>
  <c r="AV17" i="8"/>
  <c r="AJ17" i="8"/>
  <c r="X17" i="8"/>
  <c r="L17" i="8"/>
  <c r="BO16" i="8"/>
  <c r="BC16" i="8"/>
  <c r="AQ16" i="8"/>
  <c r="AE16" i="8"/>
  <c r="S16" i="8"/>
  <c r="G16" i="8"/>
  <c r="BJ15" i="8"/>
  <c r="AX15" i="8"/>
  <c r="AL15" i="8"/>
  <c r="Z15" i="8"/>
  <c r="N15" i="8"/>
  <c r="BQ14" i="8"/>
  <c r="BE14" i="8"/>
  <c r="AS14" i="8"/>
  <c r="AG14" i="8"/>
  <c r="U14" i="8"/>
  <c r="I14" i="8"/>
  <c r="BL13" i="8"/>
  <c r="AZ13" i="8"/>
  <c r="AN13" i="8"/>
  <c r="AB13" i="8"/>
  <c r="P13" i="8"/>
  <c r="D13" i="8"/>
  <c r="BG12" i="8"/>
  <c r="AU12" i="8"/>
  <c r="AI12" i="8"/>
  <c r="W12" i="8"/>
  <c r="K12" i="8"/>
  <c r="BN11" i="8"/>
  <c r="BB11" i="8"/>
  <c r="AP11" i="8"/>
  <c r="AD11" i="8"/>
  <c r="R11" i="8"/>
  <c r="F11" i="8"/>
  <c r="BI10" i="8"/>
  <c r="AW10" i="8"/>
  <c r="AK10" i="8"/>
  <c r="Y10" i="8"/>
  <c r="M10" i="8"/>
  <c r="BP9" i="8"/>
  <c r="BD9" i="8"/>
  <c r="AR9" i="8"/>
  <c r="AF9" i="8"/>
  <c r="T9" i="8"/>
  <c r="H9" i="8"/>
  <c r="BK8" i="8"/>
  <c r="AY8" i="8"/>
  <c r="AM8" i="8"/>
  <c r="AL92" i="8"/>
  <c r="AF81" i="8"/>
  <c r="I75" i="8"/>
  <c r="AS70" i="8"/>
  <c r="BB66" i="8"/>
  <c r="AG64" i="8"/>
  <c r="W62" i="8"/>
  <c r="AB60" i="8"/>
  <c r="AK58" i="8"/>
  <c r="BK56" i="8"/>
  <c r="AL55" i="8"/>
  <c r="I54" i="8"/>
  <c r="BJ52" i="8"/>
  <c r="F52" i="8"/>
  <c r="U51" i="8"/>
  <c r="AI50" i="8"/>
  <c r="BA49" i="8"/>
  <c r="E49" i="8"/>
  <c r="X48" i="8"/>
  <c r="AQ47" i="8"/>
  <c r="BJ46" i="8"/>
  <c r="N46" i="8"/>
  <c r="AG45" i="8"/>
  <c r="AZ44" i="8"/>
  <c r="D44" i="8"/>
  <c r="W43" i="8"/>
  <c r="AP42" i="8"/>
  <c r="BI41" i="8"/>
  <c r="M41" i="8"/>
  <c r="AF40" i="8"/>
  <c r="AY39" i="8"/>
  <c r="F39" i="8"/>
  <c r="AU38" i="8"/>
  <c r="Q38" i="8"/>
  <c r="BC37" i="8"/>
  <c r="AC37" i="8"/>
  <c r="BK36" i="8"/>
  <c r="AK36" i="8"/>
  <c r="G36" i="8"/>
  <c r="AS35" i="8"/>
  <c r="S35" i="8"/>
  <c r="BA34" i="8"/>
  <c r="AC34" i="8"/>
  <c r="E34" i="8"/>
  <c r="AV33" i="8"/>
  <c r="X33" i="8"/>
  <c r="BO32" i="8"/>
  <c r="AQ32" i="8"/>
  <c r="S32" i="8"/>
  <c r="BJ31" i="8"/>
  <c r="AL31" i="8"/>
  <c r="T31" i="8"/>
  <c r="F31" i="8"/>
  <c r="BG30" i="8"/>
  <c r="AS30" i="8"/>
  <c r="AE30" i="8"/>
  <c r="O30" i="8"/>
  <c r="BP29" i="8"/>
  <c r="BB29" i="8"/>
  <c r="AN29" i="8"/>
  <c r="Z29" i="8"/>
  <c r="J29" i="8"/>
  <c r="BK28" i="8"/>
  <c r="AW28" i="8"/>
  <c r="AI28" i="8"/>
  <c r="U28" i="8"/>
  <c r="E28" i="8"/>
  <c r="BF27" i="8"/>
  <c r="AR27" i="8"/>
  <c r="AD27" i="8"/>
  <c r="P27" i="8"/>
  <c r="BO26" i="8"/>
  <c r="BA26" i="8"/>
  <c r="AM26" i="8"/>
  <c r="Y26" i="8"/>
  <c r="K26" i="8"/>
  <c r="BJ25" i="8"/>
  <c r="AV25" i="8"/>
  <c r="AH25" i="8"/>
  <c r="T25" i="8"/>
  <c r="F25" i="8"/>
  <c r="BE24" i="8"/>
  <c r="AQ24" i="8"/>
  <c r="AC24" i="8"/>
  <c r="O24" i="8"/>
  <c r="BP23" i="8"/>
  <c r="AZ23" i="8"/>
  <c r="AL23" i="8"/>
  <c r="X23" i="8"/>
  <c r="J23" i="8"/>
  <c r="BK22" i="8"/>
  <c r="AU22" i="8"/>
  <c r="AG22" i="8"/>
  <c r="S22" i="8"/>
  <c r="E22" i="8"/>
  <c r="BF21" i="8"/>
  <c r="AS21" i="8"/>
  <c r="AE21" i="8"/>
  <c r="S21" i="8"/>
  <c r="G21" i="8"/>
  <c r="BJ20" i="8"/>
  <c r="AX20" i="8"/>
  <c r="AL20" i="8"/>
  <c r="Z20" i="8"/>
  <c r="N20" i="8"/>
  <c r="BQ19" i="8"/>
  <c r="BE19" i="8"/>
  <c r="AS19" i="8"/>
  <c r="AG19" i="8"/>
  <c r="U19" i="8"/>
  <c r="I19" i="8"/>
  <c r="BL18" i="8"/>
  <c r="AZ18" i="8"/>
  <c r="AN18" i="8"/>
  <c r="AB18" i="8"/>
  <c r="AD90" i="8"/>
  <c r="L80" i="8"/>
  <c r="AG74" i="8"/>
  <c r="F70" i="8"/>
  <c r="AH66" i="8"/>
  <c r="Q64" i="8"/>
  <c r="G62" i="8"/>
  <c r="O60" i="8"/>
  <c r="AE58" i="8"/>
  <c r="BF56" i="8"/>
  <c r="Z55" i="8"/>
  <c r="BM53" i="8"/>
  <c r="BB52" i="8"/>
  <c r="BP51" i="8"/>
  <c r="O51" i="8"/>
  <c r="AD50" i="8"/>
  <c r="AV49" i="8"/>
  <c r="BO48" i="8"/>
  <c r="S48" i="8"/>
  <c r="AL47" i="8"/>
  <c r="BE46" i="8"/>
  <c r="I46" i="8"/>
  <c r="AB45" i="8"/>
  <c r="AU44" i="8"/>
  <c r="BN43" i="8"/>
  <c r="R43" i="8"/>
  <c r="AK42" i="8"/>
  <c r="BD41" i="8"/>
  <c r="H41" i="8"/>
  <c r="AA40" i="8"/>
  <c r="AT39" i="8"/>
  <c r="E39" i="8"/>
  <c r="AT38" i="8"/>
  <c r="M38" i="8"/>
  <c r="BB37" i="8"/>
  <c r="X37" i="8"/>
  <c r="BJ36" i="8"/>
  <c r="AJ36" i="8"/>
  <c r="AR35" i="8"/>
  <c r="N35" i="8"/>
  <c r="AZ34" i="8"/>
  <c r="AB34" i="8"/>
  <c r="D34" i="8"/>
  <c r="AU33" i="8"/>
  <c r="W33" i="8"/>
  <c r="BN32" i="8"/>
  <c r="AP32" i="8"/>
  <c r="R32" i="8"/>
  <c r="BI31" i="8"/>
  <c r="AK31" i="8"/>
  <c r="S31" i="8"/>
  <c r="E31" i="8"/>
  <c r="BF30" i="8"/>
  <c r="AR30" i="8"/>
  <c r="AD30" i="8"/>
  <c r="N30" i="8"/>
  <c r="BO29" i="8"/>
  <c r="BA29" i="8"/>
  <c r="AM29" i="8"/>
  <c r="Y29" i="8"/>
  <c r="I29" i="8"/>
  <c r="BJ28" i="8"/>
  <c r="AV28" i="8"/>
  <c r="AH28" i="8"/>
  <c r="T28" i="8"/>
  <c r="D28" i="8"/>
  <c r="BE27" i="8"/>
  <c r="AQ27" i="8"/>
  <c r="AC27" i="8"/>
  <c r="O27" i="8"/>
  <c r="BN26" i="8"/>
  <c r="AZ26" i="8"/>
  <c r="AL26" i="8"/>
  <c r="X26" i="8"/>
  <c r="J26" i="8"/>
  <c r="BI25" i="8"/>
  <c r="AU25" i="8"/>
  <c r="AG25" i="8"/>
  <c r="S25" i="8"/>
  <c r="E25" i="8"/>
  <c r="BD24" i="8"/>
  <c r="AP24" i="8"/>
  <c r="AB24" i="8"/>
  <c r="N24" i="8"/>
  <c r="BO23" i="8"/>
  <c r="AY23" i="8"/>
  <c r="AK23" i="8"/>
  <c r="W23" i="8"/>
  <c r="I23" i="8"/>
  <c r="BJ22" i="8"/>
  <c r="AT22" i="8"/>
  <c r="AF22" i="8"/>
  <c r="R22" i="8"/>
  <c r="D22" i="8"/>
  <c r="BE21" i="8"/>
  <c r="AQ21" i="8"/>
  <c r="AD21" i="8"/>
  <c r="R21" i="8"/>
  <c r="F21" i="8"/>
  <c r="BI20" i="8"/>
  <c r="N2" i="8"/>
  <c r="Z2" i="8"/>
  <c r="AL2" i="8"/>
  <c r="AX2" i="8"/>
  <c r="BJ2" i="8"/>
  <c r="G3" i="8"/>
  <c r="S3" i="8"/>
  <c r="AE3" i="8"/>
  <c r="AQ3" i="8"/>
  <c r="BD3" i="8"/>
  <c r="P4" i="8"/>
  <c r="AC4" i="8"/>
  <c r="AP4" i="8"/>
  <c r="BC4" i="8"/>
  <c r="BP4" i="8"/>
  <c r="N5" i="8"/>
  <c r="AA5" i="8"/>
  <c r="AN5" i="8"/>
  <c r="BA5" i="8"/>
  <c r="BN5" i="8"/>
  <c r="M6" i="8"/>
  <c r="Z6" i="8"/>
  <c r="AM6" i="8"/>
  <c r="AZ6" i="8"/>
  <c r="BM6" i="8"/>
  <c r="K7" i="8"/>
  <c r="X7" i="8"/>
  <c r="AK7" i="8"/>
  <c r="AX7" i="8"/>
  <c r="BK7" i="8"/>
  <c r="I8" i="8"/>
  <c r="W8" i="8"/>
  <c r="AJ8" i="8"/>
  <c r="AX8" i="8"/>
  <c r="BN8" i="8"/>
  <c r="P9" i="8"/>
  <c r="AI9" i="8"/>
  <c r="BC9" i="8"/>
  <c r="L10" i="8"/>
  <c r="AJ10" i="8"/>
  <c r="BH10" i="8"/>
  <c r="Q11" i="8"/>
  <c r="AO11" i="8"/>
  <c r="BM11" i="8"/>
  <c r="V12" i="8"/>
  <c r="AT12" i="8"/>
  <c r="AA13" i="8"/>
  <c r="AY13" i="8"/>
  <c r="H14" i="8"/>
  <c r="AF14" i="8"/>
  <c r="BD14" i="8"/>
  <c r="M15" i="8"/>
  <c r="AK15" i="8"/>
  <c r="BI15" i="8"/>
  <c r="R16" i="8"/>
  <c r="AP16" i="8"/>
  <c r="BN16" i="8"/>
  <c r="W17" i="8"/>
  <c r="AU17" i="8"/>
  <c r="D18" i="8"/>
  <c r="AK18" i="8"/>
  <c r="F19" i="8"/>
  <c r="AP19" i="8"/>
  <c r="K20" i="8"/>
  <c r="AU20" i="8"/>
  <c r="W21" i="8"/>
  <c r="I22" i="8"/>
  <c r="BO22" i="8"/>
  <c r="BF23" i="8"/>
  <c r="AW24" i="8"/>
  <c r="BG25" i="8"/>
  <c r="K27" i="8"/>
  <c r="AF28" i="8"/>
  <c r="AY29" i="8"/>
  <c r="BL32" i="8"/>
  <c r="I35" i="8"/>
  <c r="AV37" i="8"/>
  <c r="BP40" i="8"/>
  <c r="U45" i="8"/>
  <c r="AO49" i="8"/>
  <c r="J55" i="8"/>
  <c r="L66" i="8"/>
  <c r="O2" i="8"/>
  <c r="AA2" i="8"/>
  <c r="AM2" i="8"/>
  <c r="AY2" i="8"/>
  <c r="BK2" i="8"/>
  <c r="H3" i="8"/>
  <c r="T3" i="8"/>
  <c r="AF3" i="8"/>
  <c r="AR3" i="8"/>
  <c r="BF3" i="8"/>
  <c r="D4" i="8"/>
  <c r="Q4" i="8"/>
  <c r="AD4" i="8"/>
  <c r="AQ4" i="8"/>
  <c r="BD4" i="8"/>
  <c r="BQ4" i="8"/>
  <c r="O5" i="8"/>
  <c r="AB5" i="8"/>
  <c r="AO5" i="8"/>
  <c r="BB5" i="8"/>
  <c r="BP5" i="8"/>
  <c r="N6" i="8"/>
  <c r="AA6" i="8"/>
  <c r="AN6" i="8"/>
  <c r="BA6" i="8"/>
  <c r="BN6" i="8"/>
  <c r="L7" i="8"/>
  <c r="Y7" i="8"/>
  <c r="AL7" i="8"/>
  <c r="AY7" i="8"/>
  <c r="BL7" i="8"/>
  <c r="K8" i="8"/>
  <c r="X8" i="8"/>
  <c r="AK8" i="8"/>
  <c r="AZ8" i="8"/>
  <c r="BO8" i="8"/>
  <c r="Q9" i="8"/>
  <c r="AJ9" i="8"/>
  <c r="BG9" i="8"/>
  <c r="P10" i="8"/>
  <c r="AN10" i="8"/>
  <c r="BL10" i="8"/>
  <c r="U11" i="8"/>
  <c r="AS11" i="8"/>
  <c r="BQ11" i="8"/>
  <c r="Z12" i="8"/>
  <c r="AX12" i="8"/>
  <c r="G13" i="8"/>
  <c r="AE13" i="8"/>
  <c r="BC13" i="8"/>
  <c r="L14" i="8"/>
  <c r="AJ14" i="8"/>
  <c r="BH14" i="8"/>
  <c r="Q15" i="8"/>
  <c r="AO15" i="8"/>
  <c r="BM15" i="8"/>
  <c r="V16" i="8"/>
  <c r="AT16" i="8"/>
  <c r="AA17" i="8"/>
  <c r="AY17" i="8"/>
  <c r="H18" i="8"/>
  <c r="AL18" i="8"/>
  <c r="G19" i="8"/>
  <c r="AQ19" i="8"/>
  <c r="L20" i="8"/>
  <c r="AV20" i="8"/>
  <c r="AB21" i="8"/>
  <c r="P22" i="8"/>
  <c r="G23" i="8"/>
  <c r="BK23" i="8"/>
  <c r="BB24" i="8"/>
  <c r="BH25" i="8"/>
  <c r="L27" i="8"/>
  <c r="AG28" i="8"/>
  <c r="AZ29" i="8"/>
  <c r="D31" i="8"/>
  <c r="BM32" i="8"/>
  <c r="J35" i="8"/>
  <c r="BA37" i="8"/>
  <c r="BQ40" i="8"/>
  <c r="V45" i="8"/>
  <c r="AP49" i="8"/>
  <c r="L55" i="8"/>
  <c r="O66" i="8"/>
  <c r="D2" i="8"/>
  <c r="P2" i="8"/>
  <c r="AB2" i="8"/>
  <c r="AN2" i="8"/>
  <c r="AZ2" i="8"/>
  <c r="BL2" i="8"/>
  <c r="I3" i="8"/>
  <c r="U3" i="8"/>
  <c r="AG3" i="8"/>
  <c r="AT3" i="8"/>
  <c r="BG3" i="8"/>
  <c r="E4" i="8"/>
  <c r="R4" i="8"/>
  <c r="AE4" i="8"/>
  <c r="AR4" i="8"/>
  <c r="BE4" i="8"/>
  <c r="P5" i="8"/>
  <c r="AC5" i="8"/>
  <c r="AP5" i="8"/>
  <c r="BD5" i="8"/>
  <c r="BQ5" i="8"/>
  <c r="O6" i="8"/>
  <c r="AB6" i="8"/>
  <c r="AO6" i="8"/>
  <c r="BB6" i="8"/>
  <c r="BO6" i="8"/>
  <c r="M7" i="8"/>
  <c r="Z7" i="8"/>
  <c r="AM7" i="8"/>
  <c r="AZ7" i="8"/>
  <c r="BN7" i="8"/>
  <c r="L8" i="8"/>
  <c r="Y8" i="8"/>
  <c r="AL8" i="8"/>
  <c r="BA8" i="8"/>
  <c r="BP8" i="8"/>
  <c r="R9" i="8"/>
  <c r="AN9" i="8"/>
  <c r="BH9" i="8"/>
  <c r="Q10" i="8"/>
  <c r="AO10" i="8"/>
  <c r="BM10" i="8"/>
  <c r="V11" i="8"/>
  <c r="AT11" i="8"/>
  <c r="AA12" i="8"/>
  <c r="AY12" i="8"/>
  <c r="H13" i="8"/>
  <c r="AF13" i="8"/>
  <c r="BD13" i="8"/>
  <c r="M14" i="8"/>
  <c r="AK14" i="8"/>
  <c r="BI14" i="8"/>
  <c r="R15" i="8"/>
  <c r="AP15" i="8"/>
  <c r="BN15" i="8"/>
  <c r="W16" i="8"/>
  <c r="AU16" i="8"/>
  <c r="D17" i="8"/>
  <c r="AB17" i="8"/>
  <c r="AZ17" i="8"/>
  <c r="I18" i="8"/>
  <c r="AM18" i="8"/>
  <c r="H19" i="8"/>
  <c r="AR19" i="8"/>
  <c r="M20" i="8"/>
  <c r="AW20" i="8"/>
  <c r="AC21" i="8"/>
  <c r="Q22" i="8"/>
  <c r="H23" i="8"/>
  <c r="BL23" i="8"/>
  <c r="BC24" i="8"/>
  <c r="F26" i="8"/>
  <c r="AA27" i="8"/>
  <c r="AT28" i="8"/>
  <c r="BM29" i="8"/>
  <c r="Q31" i="8"/>
  <c r="U33" i="8"/>
  <c r="AL35" i="8"/>
  <c r="K38" i="8"/>
  <c r="AW41" i="8"/>
  <c r="BQ45" i="8"/>
  <c r="V50" i="8"/>
  <c r="AR56" i="8"/>
  <c r="AM69" i="8"/>
  <c r="E2" i="8"/>
  <c r="Q2" i="8"/>
  <c r="AC2" i="8"/>
  <c r="AO2" i="8"/>
  <c r="BA2" i="8"/>
  <c r="BM2" i="8"/>
  <c r="J3" i="8"/>
  <c r="V3" i="8"/>
  <c r="AH3" i="8"/>
  <c r="AU3" i="8"/>
  <c r="BH3" i="8"/>
  <c r="F4" i="8"/>
  <c r="S4" i="8"/>
  <c r="AF4" i="8"/>
  <c r="AS4" i="8"/>
  <c r="BF4" i="8"/>
  <c r="D5" i="8"/>
  <c r="Q5" i="8"/>
  <c r="AD5" i="8"/>
  <c r="AR5" i="8"/>
  <c r="BE5" i="8"/>
  <c r="P6" i="8"/>
  <c r="AC6" i="8"/>
  <c r="AP6" i="8"/>
  <c r="BC6" i="8"/>
  <c r="BP6" i="8"/>
  <c r="N7" i="8"/>
  <c r="AA7" i="8"/>
  <c r="AN7" i="8"/>
  <c r="BB7" i="8"/>
  <c r="BO7" i="8"/>
  <c r="M8" i="8"/>
  <c r="Z8" i="8"/>
  <c r="AN8" i="8"/>
  <c r="BB8" i="8"/>
  <c r="BQ8" i="8"/>
  <c r="S9" i="8"/>
  <c r="AO9" i="8"/>
  <c r="BL9" i="8"/>
  <c r="U10" i="8"/>
  <c r="AS10" i="8"/>
  <c r="BQ10" i="8"/>
  <c r="Z11" i="8"/>
  <c r="AX11" i="8"/>
  <c r="G12" i="8"/>
  <c r="AE12" i="8"/>
  <c r="BC12" i="8"/>
  <c r="L13" i="8"/>
  <c r="AJ13" i="8"/>
  <c r="BH13" i="8"/>
  <c r="Q14" i="8"/>
  <c r="AO14" i="8"/>
  <c r="BM14" i="8"/>
  <c r="V15" i="8"/>
  <c r="AT15" i="8"/>
  <c r="AA16" i="8"/>
  <c r="AY16" i="8"/>
  <c r="H17" i="8"/>
  <c r="AF17" i="8"/>
  <c r="BD17" i="8"/>
  <c r="M18" i="8"/>
  <c r="AR18" i="8"/>
  <c r="M19" i="8"/>
  <c r="AW19" i="8"/>
  <c r="R20" i="8"/>
  <c r="BB20" i="8"/>
  <c r="AJ21" i="8"/>
  <c r="W22" i="8"/>
  <c r="N23" i="8"/>
  <c r="E24" i="8"/>
  <c r="BK24" i="8"/>
  <c r="G26" i="8"/>
  <c r="AB27" i="8"/>
  <c r="AU28" i="8"/>
  <c r="BN29" i="8"/>
  <c r="R31" i="8"/>
  <c r="V33" i="8"/>
  <c r="AQ35" i="8"/>
  <c r="L38" i="8"/>
  <c r="AX41" i="8"/>
  <c r="W50" i="8"/>
  <c r="AS56" i="8"/>
  <c r="AN69" i="8"/>
  <c r="F2" i="8"/>
  <c r="R2" i="8"/>
  <c r="AD2" i="8"/>
  <c r="AP2" i="8"/>
  <c r="BB2" i="8"/>
  <c r="BN2" i="8"/>
  <c r="K3" i="8"/>
  <c r="W3" i="8"/>
  <c r="AI3" i="8"/>
  <c r="AV3" i="8"/>
  <c r="BI3" i="8"/>
  <c r="G4" i="8"/>
  <c r="T4" i="8"/>
  <c r="AG4" i="8"/>
  <c r="AT4" i="8"/>
  <c r="BG4" i="8"/>
  <c r="E5" i="8"/>
  <c r="R5" i="8"/>
  <c r="AF5" i="8"/>
  <c r="AS5" i="8"/>
  <c r="BF5" i="8"/>
  <c r="D6" i="8"/>
  <c r="Q6" i="8"/>
  <c r="AD6" i="8"/>
  <c r="AQ6" i="8"/>
  <c r="BD6" i="8"/>
  <c r="BQ6" i="8"/>
  <c r="O7" i="8"/>
  <c r="AB7" i="8"/>
  <c r="AP7" i="8"/>
  <c r="BC7" i="8"/>
  <c r="BP7" i="8"/>
  <c r="N8" i="8"/>
  <c r="AA8" i="8"/>
  <c r="AO8" i="8"/>
  <c r="BC8" i="8"/>
  <c r="D9" i="8"/>
  <c r="U9" i="8"/>
  <c r="AP9" i="8"/>
  <c r="BM9" i="8"/>
  <c r="V10" i="8"/>
  <c r="AT10" i="8"/>
  <c r="AA11" i="8"/>
  <c r="AY11" i="8"/>
  <c r="H12" i="8"/>
  <c r="AF12" i="8"/>
  <c r="BD12" i="8"/>
  <c r="M13" i="8"/>
  <c r="AK13" i="8"/>
  <c r="BI13" i="8"/>
  <c r="R14" i="8"/>
  <c r="AP14" i="8"/>
  <c r="BN14" i="8"/>
  <c r="W15" i="8"/>
  <c r="AU15" i="8"/>
  <c r="D16" i="8"/>
  <c r="AB16" i="8"/>
  <c r="AZ16" i="8"/>
  <c r="I17" i="8"/>
  <c r="AG17" i="8"/>
  <c r="BE17" i="8"/>
  <c r="N18" i="8"/>
  <c r="AW18" i="8"/>
  <c r="R19" i="8"/>
  <c r="BB19" i="8"/>
  <c r="W20" i="8"/>
  <c r="BG20" i="8"/>
  <c r="AO21" i="8"/>
  <c r="AD22" i="8"/>
  <c r="U23" i="8"/>
  <c r="L24" i="8"/>
  <c r="BP24" i="8"/>
  <c r="V26" i="8"/>
  <c r="AO27" i="8"/>
  <c r="BH28" i="8"/>
  <c r="L30" i="8"/>
  <c r="AI31" i="8"/>
  <c r="AS33" i="8"/>
  <c r="BP35" i="8"/>
  <c r="AK38" i="8"/>
  <c r="AD42" i="8"/>
  <c r="AX46" i="8"/>
  <c r="H51" i="8"/>
  <c r="O58" i="8"/>
  <c r="BQ73" i="8"/>
  <c r="BD19" i="8"/>
  <c r="Y20" i="8"/>
  <c r="BN20" i="8"/>
  <c r="AW21" i="8"/>
  <c r="AM22" i="8"/>
  <c r="AB23" i="8"/>
  <c r="S24" i="8"/>
  <c r="Q25" i="8"/>
  <c r="AJ26" i="8"/>
  <c r="BC27" i="8"/>
  <c r="G29" i="8"/>
  <c r="Z30" i="8"/>
  <c r="BG31" i="8"/>
  <c r="BQ33" i="8"/>
  <c r="AA36" i="8"/>
  <c r="K43" i="8"/>
  <c r="AE47" i="8"/>
  <c r="BH51" i="8"/>
  <c r="BJ59" i="8"/>
  <c r="AC79" i="8"/>
  <c r="I2" i="8"/>
  <c r="U2" i="8"/>
  <c r="AG2" i="8"/>
  <c r="AS2" i="8"/>
  <c r="BE2" i="8"/>
  <c r="BQ2" i="8"/>
  <c r="N3" i="8"/>
  <c r="Z3" i="8"/>
  <c r="AL3" i="8"/>
  <c r="AY3" i="8"/>
  <c r="BL3" i="8"/>
  <c r="J4" i="8"/>
  <c r="W4" i="8"/>
  <c r="AJ4" i="8"/>
  <c r="AW4" i="8"/>
  <c r="BK4" i="8"/>
  <c r="I5" i="8"/>
  <c r="V5" i="8"/>
  <c r="AI5" i="8"/>
  <c r="AV5" i="8"/>
  <c r="BI5" i="8"/>
  <c r="G6" i="8"/>
  <c r="T6" i="8"/>
  <c r="AG6" i="8"/>
  <c r="AT6" i="8"/>
  <c r="BG6" i="8"/>
  <c r="F7" i="8"/>
  <c r="S7" i="8"/>
  <c r="AF7" i="8"/>
  <c r="AS7" i="8"/>
  <c r="BF7" i="8"/>
  <c r="D8" i="8"/>
  <c r="Q8" i="8"/>
  <c r="AD8" i="8"/>
  <c r="AR8" i="8"/>
  <c r="BG8" i="8"/>
  <c r="G9" i="8"/>
  <c r="AB9" i="8"/>
  <c r="AU9" i="8"/>
  <c r="D10" i="8"/>
  <c r="AB10" i="8"/>
  <c r="AZ10" i="8"/>
  <c r="I11" i="8"/>
  <c r="AG11" i="8"/>
  <c r="BE11" i="8"/>
  <c r="N12" i="8"/>
  <c r="AL12" i="8"/>
  <c r="BJ12" i="8"/>
  <c r="S13" i="8"/>
  <c r="AQ13" i="8"/>
  <c r="BO13" i="8"/>
  <c r="X14" i="8"/>
  <c r="AV14" i="8"/>
  <c r="E15" i="8"/>
  <c r="AC15" i="8"/>
  <c r="BA15" i="8"/>
  <c r="J16" i="8"/>
  <c r="AH16" i="8"/>
  <c r="BF16" i="8"/>
  <c r="O17" i="8"/>
  <c r="AM17" i="8"/>
  <c r="BK17" i="8"/>
  <c r="T18" i="8"/>
  <c r="BD18" i="8"/>
  <c r="Y19" i="8"/>
  <c r="BI19" i="8"/>
  <c r="AD20" i="8"/>
  <c r="D21" i="8"/>
  <c r="BB21" i="8"/>
  <c r="AR22" i="8"/>
  <c r="AI23" i="8"/>
  <c r="Z24" i="8"/>
  <c r="R25" i="8"/>
  <c r="AK26" i="8"/>
  <c r="BD27" i="8"/>
  <c r="H29" i="8"/>
  <c r="AA30" i="8"/>
  <c r="BH31" i="8"/>
  <c r="AE36" i="8"/>
  <c r="D39" i="8"/>
  <c r="L43" i="8"/>
  <c r="AF47" i="8"/>
  <c r="BI51" i="8"/>
  <c r="BL59" i="8"/>
  <c r="AE79" i="8"/>
  <c r="J2" i="8"/>
  <c r="V2" i="8"/>
  <c r="AH2" i="8"/>
  <c r="AT2" i="8"/>
  <c r="BF2" i="8"/>
  <c r="O3" i="8"/>
  <c r="AA3" i="8"/>
  <c r="AM3" i="8"/>
  <c r="AZ3" i="8"/>
  <c r="BM3" i="8"/>
  <c r="K4" i="8"/>
  <c r="X4" i="8"/>
  <c r="AK4" i="8"/>
  <c r="AY4" i="8"/>
  <c r="BL4" i="8"/>
  <c r="J5" i="8"/>
  <c r="W5" i="8"/>
  <c r="AJ5" i="8"/>
  <c r="AW5" i="8"/>
  <c r="BJ5" i="8"/>
  <c r="H6" i="8"/>
  <c r="U6" i="8"/>
  <c r="AH6" i="8"/>
  <c r="AU6" i="8"/>
  <c r="BI6" i="8"/>
  <c r="G7" i="8"/>
  <c r="T7" i="8"/>
  <c r="AG7" i="8"/>
  <c r="AT7" i="8"/>
  <c r="BG7" i="8"/>
  <c r="E8" i="8"/>
  <c r="R8" i="8"/>
  <c r="AE8" i="8"/>
  <c r="AS8" i="8"/>
  <c r="BH8" i="8"/>
  <c r="I9" i="8"/>
  <c r="AC9" i="8"/>
  <c r="AV9" i="8"/>
  <c r="E10" i="8"/>
  <c r="AC10" i="8"/>
  <c r="BA10" i="8"/>
  <c r="J11" i="8"/>
  <c r="AH11" i="8"/>
  <c r="BF11" i="8"/>
  <c r="O12" i="8"/>
  <c r="AM12" i="8"/>
  <c r="BK12" i="8"/>
  <c r="T13" i="8"/>
  <c r="AR13" i="8"/>
  <c r="BP13" i="8"/>
  <c r="Y14" i="8"/>
  <c r="AW14" i="8"/>
  <c r="F15" i="8"/>
  <c r="AD15" i="8"/>
  <c r="BB15" i="8"/>
  <c r="K16" i="8"/>
  <c r="AI16" i="8"/>
  <c r="BG16" i="8"/>
  <c r="P17" i="8"/>
  <c r="AN17" i="8"/>
  <c r="BL17" i="8"/>
  <c r="Y18" i="8"/>
  <c r="BI18" i="8"/>
  <c r="AD19" i="8"/>
  <c r="BN19" i="8"/>
  <c r="AI20" i="8"/>
  <c r="E21" i="8"/>
  <c r="BC21" i="8"/>
  <c r="AS22" i="8"/>
  <c r="AJ23" i="8"/>
  <c r="AA24" i="8"/>
  <c r="AE25" i="8"/>
  <c r="AX26" i="8"/>
  <c r="BQ27" i="8"/>
  <c r="U29" i="8"/>
  <c r="AP30" i="8"/>
  <c r="P32" i="8"/>
  <c r="Z34" i="8"/>
  <c r="BH36" i="8"/>
  <c r="AM39" i="8"/>
  <c r="BG43" i="8"/>
  <c r="L48" i="8"/>
  <c r="AU52" i="8"/>
  <c r="BE61" i="8"/>
  <c r="D89" i="8"/>
  <c r="K2" i="8"/>
  <c r="W2" i="8"/>
  <c r="AI2" i="8"/>
  <c r="AU2" i="8"/>
  <c r="BG2" i="8"/>
  <c r="D3" i="8"/>
  <c r="P3" i="8"/>
  <c r="AB3" i="8"/>
  <c r="AN3" i="8"/>
  <c r="BA3" i="8"/>
  <c r="BN3" i="8"/>
  <c r="L4" i="8"/>
  <c r="Y4" i="8"/>
  <c r="AM4" i="8"/>
  <c r="AZ4" i="8"/>
  <c r="BM4" i="8"/>
  <c r="K5" i="8"/>
  <c r="X5" i="8"/>
  <c r="AK5" i="8"/>
  <c r="AX5" i="8"/>
  <c r="BK5" i="8"/>
  <c r="I6" i="8"/>
  <c r="V6" i="8"/>
  <c r="AI6" i="8"/>
  <c r="AW6" i="8"/>
  <c r="BJ6" i="8"/>
  <c r="H7" i="8"/>
  <c r="U7" i="8"/>
  <c r="AH7" i="8"/>
  <c r="AU7" i="8"/>
  <c r="BH7" i="8"/>
  <c r="F8" i="8"/>
  <c r="S8" i="8"/>
  <c r="AF8" i="8"/>
  <c r="AU8" i="8"/>
  <c r="BI8" i="8"/>
  <c r="K9" i="8"/>
  <c r="AD9" i="8"/>
  <c r="AZ9" i="8"/>
  <c r="I10" i="8"/>
  <c r="AG10" i="8"/>
  <c r="BE10" i="8"/>
  <c r="N11" i="8"/>
  <c r="AL11" i="8"/>
  <c r="BJ11" i="8"/>
  <c r="S12" i="8"/>
  <c r="AQ12" i="8"/>
  <c r="BO12" i="8"/>
  <c r="X13" i="8"/>
  <c r="AV13" i="8"/>
  <c r="E14" i="8"/>
  <c r="AC14" i="8"/>
  <c r="BA14" i="8"/>
  <c r="J15" i="8"/>
  <c r="AH15" i="8"/>
  <c r="BF15" i="8"/>
  <c r="O16" i="8"/>
  <c r="AM16" i="8"/>
  <c r="BK16" i="8"/>
  <c r="T17" i="8"/>
  <c r="AR17" i="8"/>
  <c r="BP17" i="8"/>
  <c r="Z18" i="8"/>
  <c r="BJ18" i="8"/>
  <c r="AE19" i="8"/>
  <c r="BO19" i="8"/>
  <c r="AJ20" i="8"/>
  <c r="K21" i="8"/>
  <c r="BJ21" i="8"/>
  <c r="BA22" i="8"/>
  <c r="AR23" i="8"/>
  <c r="AG24" i="8"/>
  <c r="AF25" i="8"/>
  <c r="AY26" i="8"/>
  <c r="V29" i="8"/>
  <c r="AQ30" i="8"/>
  <c r="Q32" i="8"/>
  <c r="AA34" i="8"/>
  <c r="BI36" i="8"/>
  <c r="AN39" i="8"/>
  <c r="BH43" i="8"/>
  <c r="M48" i="8"/>
  <c r="AV52" i="8"/>
  <c r="BG61" i="8"/>
  <c r="I89" i="8"/>
  <c r="H30" i="4"/>
  <c r="F42" i="4"/>
  <c r="H8" i="4"/>
  <c r="H5" i="5"/>
  <c r="F43" i="4"/>
  <c r="H21" i="5"/>
  <c r="H36" i="5"/>
  <c r="H9" i="5"/>
  <c r="H49" i="5"/>
  <c r="F17" i="4"/>
  <c r="F28" i="4"/>
  <c r="F39" i="4"/>
  <c r="F17" i="5"/>
  <c r="F48" i="5"/>
  <c r="F12" i="9"/>
  <c r="F42" i="5"/>
  <c r="F15" i="4"/>
  <c r="F5" i="4"/>
  <c r="F47" i="5"/>
  <c r="F18" i="4"/>
  <c r="F33" i="4"/>
  <c r="F16" i="5"/>
  <c r="F57" i="5"/>
  <c r="F44" i="5"/>
  <c r="F20" i="4"/>
  <c r="F10" i="5"/>
  <c r="F9" i="4"/>
  <c r="F8" i="4"/>
  <c r="F52" i="5"/>
  <c r="H11" i="9"/>
  <c r="H29" i="5"/>
  <c r="H15" i="5"/>
  <c r="H60" i="5"/>
  <c r="H46" i="5"/>
  <c r="F23" i="5"/>
  <c r="F28" i="5"/>
  <c r="F34" i="4"/>
  <c r="F18" i="5"/>
  <c r="F58" i="5"/>
  <c r="F45" i="5"/>
  <c r="H35" i="4"/>
  <c r="H19" i="4"/>
  <c r="H38" i="5"/>
  <c r="H13" i="5"/>
  <c r="H56" i="5"/>
  <c r="H7" i="5"/>
  <c r="F44" i="4"/>
  <c r="F6" i="5"/>
  <c r="F9" i="9"/>
  <c r="F14" i="9"/>
  <c r="F39" i="5"/>
  <c r="F22" i="4"/>
  <c r="F13" i="4"/>
  <c r="F54" i="5"/>
  <c r="F5" i="5"/>
  <c r="H13" i="9"/>
  <c r="H37" i="5"/>
  <c r="C11" i="10"/>
  <c r="H5" i="9"/>
  <c r="H53" i="5"/>
  <c r="H11" i="4"/>
  <c r="F24" i="4"/>
  <c r="F32" i="5"/>
  <c r="G11" i="10"/>
  <c r="C4" i="2"/>
  <c r="C141" i="8" l="1"/>
  <c r="C151" i="8"/>
  <c r="C139" i="8"/>
  <c r="G6" i="2"/>
  <c r="C149" i="8"/>
  <c r="C146" i="8"/>
  <c r="C143" i="8"/>
  <c r="C136" i="8"/>
  <c r="C133" i="8"/>
  <c r="C142" i="8"/>
  <c r="C152" i="8"/>
  <c r="C132" i="8"/>
  <c r="C120" i="8"/>
  <c r="C144" i="8"/>
  <c r="C148" i="8"/>
  <c r="C119" i="8"/>
  <c r="C150" i="8"/>
  <c r="C135" i="8"/>
  <c r="C127" i="8"/>
  <c r="C115" i="8"/>
  <c r="C128" i="8"/>
  <c r="C124" i="8"/>
  <c r="C113" i="8"/>
  <c r="C145" i="8"/>
  <c r="C134" i="8"/>
  <c r="C116" i="8"/>
  <c r="C108" i="8"/>
  <c r="C117" i="8"/>
  <c r="C129" i="8"/>
  <c r="C131" i="8"/>
  <c r="C130" i="8"/>
  <c r="C118" i="8"/>
  <c r="C107" i="8"/>
  <c r="C147" i="8"/>
  <c r="C126" i="8"/>
  <c r="C110" i="8"/>
  <c r="C137" i="8"/>
  <c r="C103" i="8"/>
  <c r="C121" i="8"/>
  <c r="C114" i="8"/>
  <c r="C140" i="8"/>
  <c r="C95" i="8"/>
  <c r="C123" i="8"/>
  <c r="C102" i="8"/>
  <c r="C138" i="8"/>
  <c r="C122" i="8"/>
  <c r="C105" i="8"/>
  <c r="C92" i="8"/>
  <c r="C112" i="8"/>
  <c r="C106" i="8"/>
  <c r="C101" i="8"/>
  <c r="C100" i="8"/>
  <c r="C99" i="8"/>
  <c r="C90" i="8"/>
  <c r="C104" i="8"/>
  <c r="C94" i="8"/>
  <c r="C88" i="8"/>
  <c r="C111" i="8"/>
  <c r="C72" i="8"/>
  <c r="C89" i="8"/>
  <c r="C75" i="8"/>
  <c r="C109" i="8"/>
  <c r="C98" i="8"/>
  <c r="C97" i="8"/>
  <c r="C87" i="8"/>
  <c r="C86" i="8"/>
  <c r="C84" i="8"/>
  <c r="C93" i="8"/>
  <c r="C74" i="8"/>
  <c r="C65" i="8"/>
  <c r="C53" i="8"/>
  <c r="C80" i="8"/>
  <c r="C63" i="8"/>
  <c r="C81" i="8"/>
  <c r="C79" i="8"/>
  <c r="C96" i="8"/>
  <c r="C78" i="8"/>
  <c r="C61" i="8"/>
  <c r="C82" i="8"/>
  <c r="C73" i="8"/>
  <c r="C70" i="8"/>
  <c r="C64" i="8"/>
  <c r="C85" i="8"/>
  <c r="C71" i="8"/>
  <c r="C57" i="8"/>
  <c r="C91" i="8"/>
  <c r="C77" i="8"/>
  <c r="C68" i="8"/>
  <c r="C66" i="8"/>
  <c r="C54" i="8"/>
  <c r="C76" i="8"/>
  <c r="C60" i="8"/>
  <c r="C55" i="8"/>
  <c r="C125" i="8"/>
  <c r="C44" i="8"/>
  <c r="C32" i="8"/>
  <c r="C83" i="8"/>
  <c r="C49" i="8"/>
  <c r="C37" i="8"/>
  <c r="C25" i="8"/>
  <c r="C52" i="8"/>
  <c r="C42" i="8"/>
  <c r="C58" i="8"/>
  <c r="C51" i="8"/>
  <c r="C47" i="8"/>
  <c r="C35" i="8"/>
  <c r="C56" i="8"/>
  <c r="C45" i="8"/>
  <c r="C33" i="8"/>
  <c r="C50" i="8"/>
  <c r="C38" i="8"/>
  <c r="C62" i="8"/>
  <c r="C43" i="8"/>
  <c r="C67" i="8"/>
  <c r="C59" i="8"/>
  <c r="C48" i="8"/>
  <c r="C41" i="8"/>
  <c r="C69" i="8"/>
  <c r="C21" i="8"/>
  <c r="C9" i="8"/>
  <c r="C23" i="8"/>
  <c r="C14" i="8"/>
  <c r="C26" i="8"/>
  <c r="C19" i="8"/>
  <c r="C40" i="8"/>
  <c r="C29" i="8"/>
  <c r="C10" i="8"/>
  <c r="C30" i="8"/>
  <c r="C24" i="8"/>
  <c r="C15" i="8"/>
  <c r="C27" i="8"/>
  <c r="C20" i="8"/>
  <c r="C36" i="8"/>
  <c r="C28" i="8"/>
  <c r="C7" i="8"/>
  <c r="C3" i="8"/>
  <c r="C8" i="8"/>
  <c r="D11" i="10" s="1"/>
  <c r="C34" i="8"/>
  <c r="C39" i="8"/>
  <c r="C11" i="8"/>
  <c r="C46" i="8"/>
  <c r="C16" i="8"/>
  <c r="C6" i="8"/>
  <c r="C12" i="8"/>
  <c r="C5" i="8"/>
  <c r="C17" i="8"/>
  <c r="C2" i="8"/>
  <c r="C22" i="8"/>
  <c r="C31" i="8"/>
  <c r="C13" i="8"/>
  <c r="C4" i="8"/>
  <c r="C18" i="8"/>
  <c r="E15" i="10"/>
  <c r="F15" i="10" s="1"/>
  <c r="E5" i="10"/>
  <c r="F5" i="10" s="1"/>
  <c r="E16" i="10"/>
  <c r="F16" i="10" s="1"/>
  <c r="E6" i="10"/>
  <c r="F6" i="10" s="1"/>
  <c r="E17" i="10"/>
  <c r="F17" i="10" s="1"/>
  <c r="E7" i="10"/>
  <c r="E8" i="10"/>
  <c r="F8" i="10" s="1"/>
  <c r="E9" i="10"/>
  <c r="F9" i="10" s="1"/>
  <c r="E10" i="10"/>
  <c r="F10" i="10" s="1"/>
  <c r="E11" i="10"/>
  <c r="F11" i="10" s="1"/>
  <c r="E12" i="10"/>
  <c r="F12" i="10" s="1"/>
  <c r="E13" i="10"/>
  <c r="F13" i="10" s="1"/>
  <c r="E14" i="10"/>
  <c r="F14" i="10" s="1"/>
  <c r="H25" i="5"/>
  <c r="C17" i="10"/>
  <c r="D17" i="10" s="1"/>
  <c r="G16" i="10"/>
  <c r="H16" i="10" s="1"/>
  <c r="F30" i="4"/>
  <c r="F26" i="4"/>
  <c r="F27" i="4"/>
  <c r="F25" i="4"/>
  <c r="G17" i="10"/>
  <c r="H17" i="10" s="1"/>
  <c r="G5" i="10"/>
  <c r="H5" i="10" s="1"/>
  <c r="C15" i="10"/>
  <c r="D15" i="10" s="1"/>
  <c r="G14" i="10"/>
  <c r="H14" i="10" s="1"/>
  <c r="F7" i="9"/>
  <c r="G9" i="10"/>
  <c r="H9" i="10" s="1"/>
  <c r="G12" i="10"/>
  <c r="H12" i="10" s="1"/>
  <c r="G15" i="10"/>
  <c r="H15" i="10" s="1"/>
  <c r="C5" i="10"/>
  <c r="D5" i="10" s="1"/>
  <c r="H31" i="4"/>
  <c r="C13" i="10"/>
  <c r="D13" i="10" s="1"/>
  <c r="C14" i="10"/>
  <c r="D14" i="10" s="1"/>
  <c r="H27" i="5"/>
  <c r="C8" i="10"/>
  <c r="D8" i="10" s="1"/>
  <c r="C16" i="10"/>
  <c r="D16" i="10" s="1"/>
  <c r="G13" i="10"/>
  <c r="H13" i="10" s="1"/>
  <c r="H40" i="4"/>
  <c r="G10" i="10"/>
  <c r="H10" i="10" s="1"/>
  <c r="G8" i="10"/>
  <c r="H8" i="10" s="1"/>
  <c r="G6" i="10"/>
  <c r="H6" i="10" s="1"/>
  <c r="C7" i="10"/>
  <c r="D7" i="10" s="1"/>
  <c r="C10" i="10"/>
  <c r="D10" i="10" s="1"/>
  <c r="C9" i="10"/>
  <c r="D9" i="10" s="1"/>
  <c r="C6" i="10"/>
  <c r="D6" i="10" s="1"/>
  <c r="C12" i="10"/>
  <c r="D12" i="10" s="1"/>
  <c r="G7" i="10"/>
  <c r="H7" i="10" s="1"/>
  <c r="H30" i="5"/>
  <c r="E3" i="9"/>
  <c r="E3" i="5"/>
  <c r="E3" i="4"/>
  <c r="C6" i="3"/>
  <c r="D3" i="3"/>
  <c r="J8" i="2" l="1"/>
  <c r="H11" i="10"/>
  <c r="F7" i="10"/>
  <c r="F16" i="3"/>
  <c r="G4" i="10" l="1"/>
  <c r="F8" i="3" s="1"/>
  <c r="C4" i="10"/>
  <c r="C9" i="3"/>
  <c r="C14" i="3"/>
  <c r="E4" i="10"/>
  <c r="F20" i="3"/>
  <c r="F18" i="3"/>
  <c r="F9" i="3"/>
  <c r="F15" i="3"/>
  <c r="F19" i="3"/>
  <c r="F14" i="3"/>
  <c r="F13" i="3"/>
  <c r="F11" i="3"/>
  <c r="F12" i="3"/>
  <c r="F21" i="3"/>
  <c r="F17" i="3"/>
  <c r="F10" i="3"/>
  <c r="F4" i="10" l="1"/>
  <c r="F18" i="10" s="1"/>
  <c r="E18" i="10"/>
  <c r="D4" i="10"/>
  <c r="D18" i="10" s="1"/>
  <c r="C18" i="10"/>
  <c r="H4" i="10"/>
  <c r="H18" i="10" s="1"/>
  <c r="C19" i="3" s="1"/>
  <c r="G18" i="10"/>
  <c r="F22" i="3" s="1"/>
  <c r="G17" i="3" s="1"/>
  <c r="G13" i="3" l="1"/>
  <c r="G11" i="3"/>
  <c r="G20" i="3"/>
  <c r="G18" i="3"/>
  <c r="G9" i="3"/>
  <c r="G14" i="3"/>
  <c r="G8" i="3"/>
  <c r="G15" i="3"/>
  <c r="G21" i="3"/>
  <c r="G19" i="3"/>
  <c r="G10" i="3"/>
  <c r="G16" i="3"/>
  <c r="G12" i="3"/>
  <c r="G2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<sst xmlns="http://schemas.openxmlformats.org/spreadsheetml/2006/main" count="1484" uniqueCount="638">
  <si>
    <t>Afghanistan</t>
  </si>
  <si>
    <t>AFN</t>
  </si>
  <si>
    <t>Inside</t>
  </si>
  <si>
    <t>Alcohol and Tobacco</t>
  </si>
  <si>
    <t>Clothing and Footwear</t>
  </si>
  <si>
    <t>Education</t>
  </si>
  <si>
    <t>Food and Non-Alcoholic Beverages</t>
  </si>
  <si>
    <t>Furniture, Household Equipment and Home Maintenance</t>
  </si>
  <si>
    <t>Other</t>
  </si>
  <si>
    <t>Recreation and Culture</t>
  </si>
  <si>
    <t>Transport Purchases</t>
  </si>
  <si>
    <t>Y</t>
  </si>
  <si>
    <t>DATE</t>
  </si>
  <si>
    <t>ITEM CATEGORY</t>
  </si>
  <si>
    <t>ITEM SUBCATEGORY</t>
  </si>
  <si>
    <t>Inside/Outside
Duty Station</t>
  </si>
  <si>
    <t>AMOUNT</t>
  </si>
  <si>
    <t>CURRENCY</t>
  </si>
  <si>
    <t>Albania</t>
  </si>
  <si>
    <t>ALL</t>
  </si>
  <si>
    <t>Outside</t>
  </si>
  <si>
    <t>Alcoholic beverages</t>
  </si>
  <si>
    <t>Food purchased in supermarkets, stores, markets</t>
  </si>
  <si>
    <t>AED</t>
  </si>
  <si>
    <t>M</t>
  </si>
  <si>
    <t>Algeria</t>
  </si>
  <si>
    <t>DZD</t>
  </si>
  <si>
    <t>Tobacco and tobacco products</t>
  </si>
  <si>
    <t>Non-alcoholic beverages</t>
  </si>
  <si>
    <t>Angola</t>
  </si>
  <si>
    <t>AOA</t>
  </si>
  <si>
    <t>Glassware, tableware and household utensils</t>
  </si>
  <si>
    <t>Remittances except medical and educational expenses</t>
  </si>
  <si>
    <t>Fuels and lubricants for personal transport</t>
  </si>
  <si>
    <t>AMD</t>
  </si>
  <si>
    <t>May</t>
  </si>
  <si>
    <t>Argentina</t>
  </si>
  <si>
    <t>ARS</t>
  </si>
  <si>
    <t>Hairdressing salons and personal grooming establishments</t>
  </si>
  <si>
    <t>Armenia</t>
  </si>
  <si>
    <t>Other personal effects</t>
  </si>
  <si>
    <t>Australia</t>
  </si>
  <si>
    <t>AUD</t>
  </si>
  <si>
    <t>Tuition and enrolment fees excluding capital assessment/surcharges</t>
  </si>
  <si>
    <t>Austria</t>
  </si>
  <si>
    <t>EUR</t>
  </si>
  <si>
    <t>5Y</t>
  </si>
  <si>
    <t>Azerbaijan</t>
  </si>
  <si>
    <t>AZN</t>
  </si>
  <si>
    <t>AWG</t>
  </si>
  <si>
    <t>Bahamas</t>
  </si>
  <si>
    <t>BSD</t>
  </si>
  <si>
    <t>Bahrain</t>
  </si>
  <si>
    <t>BHD</t>
  </si>
  <si>
    <t>BAM</t>
  </si>
  <si>
    <t>Bangladesh</t>
  </si>
  <si>
    <t>BDT</t>
  </si>
  <si>
    <t>BBD</t>
  </si>
  <si>
    <t>Barbados</t>
  </si>
  <si>
    <t>Belarus</t>
  </si>
  <si>
    <t>BYN</t>
  </si>
  <si>
    <t>Belgium</t>
  </si>
  <si>
    <t>Belize</t>
  </si>
  <si>
    <t>BZD</t>
  </si>
  <si>
    <t>BIF</t>
  </si>
  <si>
    <t>Benin</t>
  </si>
  <si>
    <t>XOF</t>
  </si>
  <si>
    <t>BMD</t>
  </si>
  <si>
    <t>Bhutan</t>
  </si>
  <si>
    <t>BTN</t>
  </si>
  <si>
    <t>BND</t>
  </si>
  <si>
    <t>Bolivia</t>
  </si>
  <si>
    <t>BOB</t>
  </si>
  <si>
    <t>Bosnia and Herzegovina</t>
  </si>
  <si>
    <t>BRL</t>
  </si>
  <si>
    <t>Botswana</t>
  </si>
  <si>
    <t>BWP</t>
  </si>
  <si>
    <t>Brazil</t>
  </si>
  <si>
    <t>Bulgaria</t>
  </si>
  <si>
    <t>Burkina Faso</t>
  </si>
  <si>
    <t>Burundi</t>
  </si>
  <si>
    <t>Cambodia</t>
  </si>
  <si>
    <t>KHR</t>
  </si>
  <si>
    <t>CAD</t>
  </si>
  <si>
    <t>Cameroon</t>
  </si>
  <si>
    <t>XAF</t>
  </si>
  <si>
    <t>CDF</t>
  </si>
  <si>
    <t>Canada</t>
  </si>
  <si>
    <t>CHF</t>
  </si>
  <si>
    <t>CVE</t>
  </si>
  <si>
    <t>CLP</t>
  </si>
  <si>
    <t>Central African Republic</t>
  </si>
  <si>
    <t>CNY</t>
  </si>
  <si>
    <t>Chad</t>
  </si>
  <si>
    <t>COP</t>
  </si>
  <si>
    <t>Chile</t>
  </si>
  <si>
    <t>CRC</t>
  </si>
  <si>
    <t>CUP</t>
  </si>
  <si>
    <t>HKD</t>
  </si>
  <si>
    <t>MOP</t>
  </si>
  <si>
    <t>CZK</t>
  </si>
  <si>
    <t>Colombia</t>
  </si>
  <si>
    <t>DJF</t>
  </si>
  <si>
    <t>Comoros</t>
  </si>
  <si>
    <t>KMF</t>
  </si>
  <si>
    <t>DKK</t>
  </si>
  <si>
    <t>Congo</t>
  </si>
  <si>
    <t>DOP</t>
  </si>
  <si>
    <t>Costa Rica</t>
  </si>
  <si>
    <t>EGP</t>
  </si>
  <si>
    <t>ERN</t>
  </si>
  <si>
    <t>Croatia</t>
  </si>
  <si>
    <t>ETB</t>
  </si>
  <si>
    <t>Cuba</t>
  </si>
  <si>
    <t>Cyprus</t>
  </si>
  <si>
    <t>FJD</t>
  </si>
  <si>
    <t>GBP</t>
  </si>
  <si>
    <t>Denmark</t>
  </si>
  <si>
    <t>GEL</t>
  </si>
  <si>
    <t>Djibouti</t>
  </si>
  <si>
    <t>GHS</t>
  </si>
  <si>
    <t>Dominican Republic</t>
  </si>
  <si>
    <t>GMD</t>
  </si>
  <si>
    <t>Ecuador</t>
  </si>
  <si>
    <t>USD</t>
  </si>
  <si>
    <t>GNF</t>
  </si>
  <si>
    <t>Egypt</t>
  </si>
  <si>
    <t>GTQ</t>
  </si>
  <si>
    <t>El Salvador</t>
  </si>
  <si>
    <t>GYD</t>
  </si>
  <si>
    <t>Equatorial Guinea</t>
  </si>
  <si>
    <t>Eritrea</t>
  </si>
  <si>
    <t>HNL</t>
  </si>
  <si>
    <t>Estonia</t>
  </si>
  <si>
    <t>SZL</t>
  </si>
  <si>
    <t>HTG</t>
  </si>
  <si>
    <t>Ethiopia</t>
  </si>
  <si>
    <t>HUF</t>
  </si>
  <si>
    <t>Fiji</t>
  </si>
  <si>
    <t>IDR</t>
  </si>
  <si>
    <t>Finland</t>
  </si>
  <si>
    <t>ILS</t>
  </si>
  <si>
    <t>France</t>
  </si>
  <si>
    <t>INR</t>
  </si>
  <si>
    <t>Gabon</t>
  </si>
  <si>
    <t>IQD</t>
  </si>
  <si>
    <t>Gambia</t>
  </si>
  <si>
    <t>IRR</t>
  </si>
  <si>
    <t>Georgia</t>
  </si>
  <si>
    <t>ISK</t>
  </si>
  <si>
    <t>Germany</t>
  </si>
  <si>
    <t>JMD</t>
  </si>
  <si>
    <t>Ghana</t>
  </si>
  <si>
    <t>JOD</t>
  </si>
  <si>
    <t>Greece</t>
  </si>
  <si>
    <t>JPY</t>
  </si>
  <si>
    <t>Guatemala</t>
  </si>
  <si>
    <t>KES</t>
  </si>
  <si>
    <t>Guinea</t>
  </si>
  <si>
    <t>KGS</t>
  </si>
  <si>
    <t>Guinea Bissau</t>
  </si>
  <si>
    <t>Guyana</t>
  </si>
  <si>
    <t>Haiti</t>
  </si>
  <si>
    <t>KPW</t>
  </si>
  <si>
    <t>Honduras</t>
  </si>
  <si>
    <t>KRW</t>
  </si>
  <si>
    <t>Hungary</t>
  </si>
  <si>
    <t>KWD</t>
  </si>
  <si>
    <t>India</t>
  </si>
  <si>
    <t>KYD</t>
  </si>
  <si>
    <t>Indonesia</t>
  </si>
  <si>
    <t>KZT</t>
  </si>
  <si>
    <t>Iran</t>
  </si>
  <si>
    <t>LAK</t>
  </si>
  <si>
    <t>Iraq</t>
  </si>
  <si>
    <t>LBP</t>
  </si>
  <si>
    <t>Ireland</t>
  </si>
  <si>
    <t>LKR</t>
  </si>
  <si>
    <t>Italy</t>
  </si>
  <si>
    <t>LRD</t>
  </si>
  <si>
    <t>Jamaica</t>
  </si>
  <si>
    <t>LSL</t>
  </si>
  <si>
    <t>Japan</t>
  </si>
  <si>
    <t>LYD</t>
  </si>
  <si>
    <t>Jerusalem</t>
  </si>
  <si>
    <t>MAD</t>
  </si>
  <si>
    <t>Jordan</t>
  </si>
  <si>
    <t>MDL</t>
  </si>
  <si>
    <t>Kazakhstan</t>
  </si>
  <si>
    <t>MGA</t>
  </si>
  <si>
    <t>Kenya</t>
  </si>
  <si>
    <t>MKD</t>
  </si>
  <si>
    <t>Kiribati</t>
  </si>
  <si>
    <t>MMK</t>
  </si>
  <si>
    <t>MNT</t>
  </si>
  <si>
    <t>Kuwait</t>
  </si>
  <si>
    <t>MRU</t>
  </si>
  <si>
    <t>Kyrgyzstan</t>
  </si>
  <si>
    <t>MUR</t>
  </si>
  <si>
    <t>MVR</t>
  </si>
  <si>
    <t>Latvia</t>
  </si>
  <si>
    <t>MWK</t>
  </si>
  <si>
    <t>Lebanon</t>
  </si>
  <si>
    <t>MXN</t>
  </si>
  <si>
    <t>Lesotho</t>
  </si>
  <si>
    <t>MYR</t>
  </si>
  <si>
    <t>Liberia</t>
  </si>
  <si>
    <t>MZN</t>
  </si>
  <si>
    <t>NAD</t>
  </si>
  <si>
    <t>Lithuania</t>
  </si>
  <si>
    <t>NGN</t>
  </si>
  <si>
    <t>Madagascar</t>
  </si>
  <si>
    <t>NIO</t>
  </si>
  <si>
    <t>Malawi</t>
  </si>
  <si>
    <t>NOK</t>
  </si>
  <si>
    <t>Malaysia</t>
  </si>
  <si>
    <t>NPR</t>
  </si>
  <si>
    <t>Maldives</t>
  </si>
  <si>
    <t>NZD</t>
  </si>
  <si>
    <t>Mali</t>
  </si>
  <si>
    <t>OMR</t>
  </si>
  <si>
    <t>Malta</t>
  </si>
  <si>
    <t>PAB</t>
  </si>
  <si>
    <t>Mauritania</t>
  </si>
  <si>
    <t>PEN</t>
  </si>
  <si>
    <t>Mauritius</t>
  </si>
  <si>
    <t>PGK</t>
  </si>
  <si>
    <t>Mexico</t>
  </si>
  <si>
    <t>PHP</t>
  </si>
  <si>
    <t>PKR</t>
  </si>
  <si>
    <t>Mongolia</t>
  </si>
  <si>
    <t>PLN</t>
  </si>
  <si>
    <t>Montenegro</t>
  </si>
  <si>
    <t>PYG</t>
  </si>
  <si>
    <t>Morocco</t>
  </si>
  <si>
    <t>QAR</t>
  </si>
  <si>
    <t>Mozambique</t>
  </si>
  <si>
    <t>RON</t>
  </si>
  <si>
    <t>Myanmar</t>
  </si>
  <si>
    <t>RSD</t>
  </si>
  <si>
    <t>Namibia</t>
  </si>
  <si>
    <t>RUB</t>
  </si>
  <si>
    <t>Nepal</t>
  </si>
  <si>
    <t>RWF</t>
  </si>
  <si>
    <t>Netherlands</t>
  </si>
  <si>
    <t>SAR</t>
  </si>
  <si>
    <t>New Caledonia</t>
  </si>
  <si>
    <t>XPF</t>
  </si>
  <si>
    <t>SBD</t>
  </si>
  <si>
    <t>New Zealand</t>
  </si>
  <si>
    <t>SCR</t>
  </si>
  <si>
    <t>Nicaragua</t>
  </si>
  <si>
    <t>SDG</t>
  </si>
  <si>
    <t>Niger</t>
  </si>
  <si>
    <t>SEK</t>
  </si>
  <si>
    <t>Nigeria</t>
  </si>
  <si>
    <t>SGD</t>
  </si>
  <si>
    <t>SHP</t>
  </si>
  <si>
    <t>Norway</t>
  </si>
  <si>
    <t>Oman</t>
  </si>
  <si>
    <t>SOS</t>
  </si>
  <si>
    <t>SRD</t>
  </si>
  <si>
    <t>Pakistan</t>
  </si>
  <si>
    <t>SSP</t>
  </si>
  <si>
    <t>Panama</t>
  </si>
  <si>
    <t>STN</t>
  </si>
  <si>
    <t>Papua New Guinea</t>
  </si>
  <si>
    <t>SYP</t>
  </si>
  <si>
    <t>Paraguay</t>
  </si>
  <si>
    <t>Peru</t>
  </si>
  <si>
    <t>THB</t>
  </si>
  <si>
    <t>Philippines</t>
  </si>
  <si>
    <t>TJS</t>
  </si>
  <si>
    <t>Poland</t>
  </si>
  <si>
    <t>TMT</t>
  </si>
  <si>
    <t>Portugal</t>
  </si>
  <si>
    <t>TND</t>
  </si>
  <si>
    <t>Qatar</t>
  </si>
  <si>
    <t>TOP</t>
  </si>
  <si>
    <t>Romania</t>
  </si>
  <si>
    <t>TRY</t>
  </si>
  <si>
    <t>Russian Federation</t>
  </si>
  <si>
    <t>TTD</t>
  </si>
  <si>
    <t>Rwanda</t>
  </si>
  <si>
    <t>TZS</t>
  </si>
  <si>
    <t>Saint Lucia</t>
  </si>
  <si>
    <t>XCD</t>
  </si>
  <si>
    <t>UAH</t>
  </si>
  <si>
    <t>Samoa</t>
  </si>
  <si>
    <t>WST</t>
  </si>
  <si>
    <t>UGX</t>
  </si>
  <si>
    <t>Sao Tome and Principe</t>
  </si>
  <si>
    <t>Saudi Arabia</t>
  </si>
  <si>
    <t>UYU</t>
  </si>
  <si>
    <t>Senegal</t>
  </si>
  <si>
    <t>UZS</t>
  </si>
  <si>
    <t>Serbia</t>
  </si>
  <si>
    <t>VES</t>
  </si>
  <si>
    <t>Seychelles</t>
  </si>
  <si>
    <t>VND</t>
  </si>
  <si>
    <t>Sierra Leone</t>
  </si>
  <si>
    <t>VUV</t>
  </si>
  <si>
    <t>Singapore</t>
  </si>
  <si>
    <t>Slovakia</t>
  </si>
  <si>
    <t>Slovenia</t>
  </si>
  <si>
    <t>Solomon Islands</t>
  </si>
  <si>
    <t>Somalia</t>
  </si>
  <si>
    <t>South Africa</t>
  </si>
  <si>
    <t>ZAR</t>
  </si>
  <si>
    <t>YER</t>
  </si>
  <si>
    <t>South Sudan</t>
  </si>
  <si>
    <t>Spain</t>
  </si>
  <si>
    <t>ZMW</t>
  </si>
  <si>
    <t>Sri Lanka</t>
  </si>
  <si>
    <t>Sudan</t>
  </si>
  <si>
    <t>Suriname</t>
  </si>
  <si>
    <t>Sweden</t>
  </si>
  <si>
    <t>Switzerland</t>
  </si>
  <si>
    <t>Syrian Arab Republic</t>
  </si>
  <si>
    <t>Tajikistan</t>
  </si>
  <si>
    <t>Thailand</t>
  </si>
  <si>
    <t>Timor-Leste</t>
  </si>
  <si>
    <t>Togo</t>
  </si>
  <si>
    <t>Tonga</t>
  </si>
  <si>
    <t>Trinidad and Tobago</t>
  </si>
  <si>
    <t>Tunisia</t>
  </si>
  <si>
    <t>Turkmenistan</t>
  </si>
  <si>
    <t>Uganda</t>
  </si>
  <si>
    <t>Ukraine</t>
  </si>
  <si>
    <t>United Arab Emirates</t>
  </si>
  <si>
    <t>United Kingdom</t>
  </si>
  <si>
    <t>Uruguay</t>
  </si>
  <si>
    <t>Uzbekistan</t>
  </si>
  <si>
    <t>Vanuatu</t>
  </si>
  <si>
    <t>Venezuela</t>
  </si>
  <si>
    <t>Zambia</t>
  </si>
  <si>
    <t>Zimbabwe</t>
  </si>
  <si>
    <t>XCG</t>
  </si>
  <si>
    <t>GIP</t>
  </si>
  <si>
    <t>SLE</t>
  </si>
  <si>
    <t>ZWG</t>
  </si>
  <si>
    <t>ICSC Electronic Diary: Itemized List of All Expenditures</t>
  </si>
  <si>
    <t>TIME
SPAN</t>
  </si>
  <si>
    <t>AMOUNT
in USD</t>
  </si>
  <si>
    <t>Other Expenditures</t>
  </si>
  <si>
    <t>Furniture, Household Equipment, Maintenance</t>
  </si>
  <si>
    <t>54a</t>
  </si>
  <si>
    <t>ICSC Electronic Diary for
Monthly Expenditures</t>
  </si>
  <si>
    <t>INSIDE COUNTRY
OF DUTY STATION</t>
  </si>
  <si>
    <t>OUTSIDE COUNTRY
OF DUTY STATION</t>
  </si>
  <si>
    <t>Amount Spent in Other Currency
(Expressed in USD)</t>
  </si>
  <si>
    <t>Amount Spent
(Expressed in USD)</t>
  </si>
  <si>
    <t>COUNTRY OF DUTY STATION</t>
  </si>
  <si>
    <t>Category</t>
  </si>
  <si>
    <t>TOTAL</t>
  </si>
  <si>
    <t>Total Expense</t>
  </si>
  <si>
    <t>As Percentage</t>
  </si>
  <si>
    <t>EXPENDITURES IN US DOLLAR</t>
  </si>
  <si>
    <t>ICSC ELECTRONIC DIARY: Summary of Expenses</t>
  </si>
  <si>
    <t>Health (Not Covered by Insurance, Out-of-Pocket)</t>
  </si>
  <si>
    <t>Information and communication services</t>
  </si>
  <si>
    <t>Pets and pet products</t>
  </si>
  <si>
    <t>Veterinary and other services for pets</t>
  </si>
  <si>
    <t>Cultural services</t>
  </si>
  <si>
    <t>Public transport and taxi services</t>
  </si>
  <si>
    <t>Postal and courier services</t>
  </si>
  <si>
    <t>Other transport of goods (removal and storage services, delivery, etc)</t>
  </si>
  <si>
    <t>Recreation, Sport and Culture</t>
  </si>
  <si>
    <t>Recreational and sporting services</t>
  </si>
  <si>
    <t>Newspapers, books and stationery</t>
  </si>
  <si>
    <t>Restaurants, cafes and similar eating facilities</t>
  </si>
  <si>
    <t>Canteens, cafeterias and refectories</t>
  </si>
  <si>
    <t>Insurance and Financial Services</t>
  </si>
  <si>
    <t>Insurance connected with health (supplementary medical insurance)</t>
  </si>
  <si>
    <t>Insurance connected with transport</t>
  </si>
  <si>
    <t>Insurance connected with dwelling</t>
  </si>
  <si>
    <t>Personal Care, Social Protection and Miscellaneous Goods and Services</t>
  </si>
  <si>
    <t>Other articles of clothing and clothing accessories</t>
  </si>
  <si>
    <t>Shoes and other footwear</t>
  </si>
  <si>
    <t>Furniture, furnishings and loose carpets</t>
  </si>
  <si>
    <t>Households textiles</t>
  </si>
  <si>
    <t>Small household appliances</t>
  </si>
  <si>
    <t>Tools and equipment for house and garden</t>
  </si>
  <si>
    <t>Medical products</t>
  </si>
  <si>
    <t>Assistive products</t>
  </si>
  <si>
    <t>Outpatient care services</t>
  </si>
  <si>
    <t>In-patient care services</t>
  </si>
  <si>
    <t>Parts and accessories for personal transport equipment</t>
  </si>
  <si>
    <t>Maintenance and repair of personal transport equipment</t>
  </si>
  <si>
    <t>Other services related to personal transport equipment</t>
  </si>
  <si>
    <t>Information and Communication</t>
  </si>
  <si>
    <t>Information and communication equipment</t>
  </si>
  <si>
    <t>Sport, camping and open-air equipment</t>
  </si>
  <si>
    <t>Games, toys and hobby-related articles</t>
  </si>
  <si>
    <t>Garden products, plants and flowers</t>
  </si>
  <si>
    <t>Package holidays</t>
  </si>
  <si>
    <t>Restaurants and Accommodation Services</t>
  </si>
  <si>
    <t>Accommodation services</t>
  </si>
  <si>
    <t>Financial services</t>
  </si>
  <si>
    <t>49a</t>
  </si>
  <si>
    <t>49b</t>
  </si>
  <si>
    <t>50a</t>
  </si>
  <si>
    <t>50b</t>
  </si>
  <si>
    <t>50c</t>
  </si>
  <si>
    <t>Electric appliances for personal care</t>
  </si>
  <si>
    <t>Other appliances, articles and products for personal care</t>
  </si>
  <si>
    <t>Social protection</t>
  </si>
  <si>
    <t>Other services</t>
  </si>
  <si>
    <t>ICSC Electronic Diary for
Yearly Expenditures and Education</t>
  </si>
  <si>
    <t>Education Services: Tuition and Enrollment Fees for Education Other than Tertiary Level</t>
  </si>
  <si>
    <t>52a</t>
  </si>
  <si>
    <t>52b</t>
  </si>
  <si>
    <t>52c</t>
  </si>
  <si>
    <t>52d</t>
  </si>
  <si>
    <t>Accommodation services of boarding schools, universities, etc</t>
  </si>
  <si>
    <t>Canteens and cafeterias of universities, schools and kindergartens</t>
  </si>
  <si>
    <t>Educational books and textbooks</t>
  </si>
  <si>
    <t>Passenger transport for students to and from school</t>
  </si>
  <si>
    <t>Childcare services</t>
  </si>
  <si>
    <t>Recreational and leisure services and other cultural services</t>
  </si>
  <si>
    <t>52e</t>
  </si>
  <si>
    <t>52f</t>
  </si>
  <si>
    <t>52g</t>
  </si>
  <si>
    <t>Tertiary Education</t>
  </si>
  <si>
    <t>Accommodation services of boarding schools and other educational establishments</t>
  </si>
  <si>
    <t>53a</t>
  </si>
  <si>
    <t>53b</t>
  </si>
  <si>
    <t>53c</t>
  </si>
  <si>
    <t>53d</t>
  </si>
  <si>
    <t>53e</t>
  </si>
  <si>
    <t>53f</t>
  </si>
  <si>
    <t>53g</t>
  </si>
  <si>
    <t>Unclassified Education</t>
  </si>
  <si>
    <t>Furnishings, Household Equipment and Routine Household Maintenance</t>
  </si>
  <si>
    <t>Major recreational durables</t>
  </si>
  <si>
    <t>Jewelry and watches</t>
  </si>
  <si>
    <t>Other Personal Effects</t>
  </si>
  <si>
    <t>Transport: Purchase and Sale of Vehicles</t>
  </si>
  <si>
    <t>58a</t>
  </si>
  <si>
    <t>58b</t>
  </si>
  <si>
    <t>Car 1 (Net of Purchase/Sale)</t>
  </si>
  <si>
    <t>Car 2 (Net of Purchase/Sale)</t>
  </si>
  <si>
    <t>59a</t>
  </si>
  <si>
    <t>59b</t>
  </si>
  <si>
    <t>Other vehicle 1 (Net of Purchase/Sale)</t>
  </si>
  <si>
    <t>Other vehicle 2 (Net of Purchase/Sale)</t>
  </si>
  <si>
    <t>ICSC Electronic Diary for Infrequent
Expenditures within Last Five Years</t>
  </si>
  <si>
    <t>Transport</t>
  </si>
  <si>
    <t>Personal and Miscellaneous Goods and Services</t>
  </si>
  <si>
    <t>Alcoholic Beverages</t>
  </si>
  <si>
    <t>Furniture</t>
  </si>
  <si>
    <t>Cleaning, Repair, Tailoring and Hire of Clothing</t>
  </si>
  <si>
    <t>Clothing Garments</t>
  </si>
  <si>
    <t>Other Clothing and Accessories</t>
  </si>
  <si>
    <t>Shoes and Footwear</t>
  </si>
  <si>
    <t>Food and Non Alcoholic Beverages</t>
  </si>
  <si>
    <t>Health Out of Pocket</t>
  </si>
  <si>
    <t>Furniture Household and Routine Home Maintenance</t>
  </si>
  <si>
    <t>Alcohol_and_Tobacco</t>
  </si>
  <si>
    <t>Clothing_and_Footwear</t>
  </si>
  <si>
    <t>Tertiary: Tuition and Enrolment Fees</t>
  </si>
  <si>
    <t>Tertiary: Boarding and Accommodation</t>
  </si>
  <si>
    <t>Tertiary: Canteens and Cafeterias</t>
  </si>
  <si>
    <t>Tertiary: Books</t>
  </si>
  <si>
    <t>Tertiary: Transport to/from School</t>
  </si>
  <si>
    <t>Tertiary: Childcare Services</t>
  </si>
  <si>
    <t>Tertiary: Recreation and Culture</t>
  </si>
  <si>
    <t>Non-Tertiary: Tuition and Enrolment Fees</t>
  </si>
  <si>
    <t>Non-Tertiary: Boarding and Accommodation</t>
  </si>
  <si>
    <t>Non-Tertiary: Canteens and Cafeterias</t>
  </si>
  <si>
    <t>Non-Tertiary: Books</t>
  </si>
  <si>
    <t>Non-Tertiary: Transport to/from School</t>
  </si>
  <si>
    <t>Non-Tertiary: Childcare Services</t>
  </si>
  <si>
    <t>Non-Tertiary: Recreation and Culture</t>
  </si>
  <si>
    <t>Unclassified: Tuition and Enrolment Fees</t>
  </si>
  <si>
    <t>Food Purchased in Markets</t>
  </si>
  <si>
    <t>Food_and_Non_Alcoholic_Beverages</t>
  </si>
  <si>
    <t>Non-Alcoholic Beverages Purchased in Markets</t>
  </si>
  <si>
    <t>Non-Durable Household Goods</t>
  </si>
  <si>
    <t>Household Textiles</t>
  </si>
  <si>
    <t>Small Household Appliances</t>
  </si>
  <si>
    <t>Glassware, Tableware, and Utensils</t>
  </si>
  <si>
    <t>Tools and Equipment for House and Garden</t>
  </si>
  <si>
    <t>Major Household Appliances</t>
  </si>
  <si>
    <t>Furniture_Household_and_Routine_Home_Maintenance</t>
  </si>
  <si>
    <t>Health_Out_of_Pocket</t>
  </si>
  <si>
    <t>Information_and_Communication</t>
  </si>
  <si>
    <t>Insurance_and_Financial_Services</t>
  </si>
  <si>
    <t>Personal_and_Miscellaneous_Goods_and_Services</t>
  </si>
  <si>
    <t>Recreation_and_Culture</t>
  </si>
  <si>
    <t>Restaurants_and_Accommodation_Services</t>
  </si>
  <si>
    <t>Medicine</t>
  </si>
  <si>
    <t>Medical Products</t>
  </si>
  <si>
    <t>Assistive Products</t>
  </si>
  <si>
    <t>Outpatient Care Services</t>
  </si>
  <si>
    <t>In-Patient Care Services</t>
  </si>
  <si>
    <t>Fuels and Lubricants for Personal Transport Equipment</t>
  </si>
  <si>
    <t>Public Transport and Taxi Services</t>
  </si>
  <si>
    <t>Postal and Courier Services</t>
  </si>
  <si>
    <t>Other Transport of Goods</t>
  </si>
  <si>
    <t>Parts and Accessories for Personal Transport Equipment</t>
  </si>
  <si>
    <t>Maintenance and Repair of Personal Transport Equipment</t>
  </si>
  <si>
    <t>Other Services Related to Personal Transport Equipment</t>
  </si>
  <si>
    <t>Air Travel</t>
  </si>
  <si>
    <t>Information and Communication Services</t>
  </si>
  <si>
    <t>Information and Communication Equipment</t>
  </si>
  <si>
    <t>InsideOutsideList</t>
  </si>
  <si>
    <t>ItemCategoryList</t>
  </si>
  <si>
    <t>Item_List</t>
  </si>
  <si>
    <t>Time_Span</t>
  </si>
  <si>
    <t>Item_List_Number</t>
  </si>
  <si>
    <t>Financial Services</t>
  </si>
  <si>
    <t>Insurance Connected with Dwelling</t>
  </si>
  <si>
    <t>Insurance Connected with Health (supplementary medical insurance)</t>
  </si>
  <si>
    <t>Insurance Connected with Transport</t>
  </si>
  <si>
    <t>Remittances Except Medical and Educational Expenses</t>
  </si>
  <si>
    <t>Electric Appliances for Personal Care</t>
  </si>
  <si>
    <t>Hairdressing Salons and Personal Grooming Establishments</t>
  </si>
  <si>
    <t>Jewelry and Watches</t>
  </si>
  <si>
    <t>Other Appliances, Articles and Products for Personal Care</t>
  </si>
  <si>
    <t>Other Services</t>
  </si>
  <si>
    <t>Social Protection</t>
  </si>
  <si>
    <t>Cultural Services</t>
  </si>
  <si>
    <t>Games, Toys and Hobby-Related Articles</t>
  </si>
  <si>
    <t>Garden Products, Plants and Flowers</t>
  </si>
  <si>
    <t>Major Recreational Durables</t>
  </si>
  <si>
    <t>Newspapers, Books and Stationery</t>
  </si>
  <si>
    <t>Package Holidays</t>
  </si>
  <si>
    <t>Pets and Pet Products</t>
  </si>
  <si>
    <t>Recreational and Sporting Services</t>
  </si>
  <si>
    <t>Sport, Camping and Open-Air Equipment</t>
  </si>
  <si>
    <t>Veterinary and Other Services for Pets</t>
  </si>
  <si>
    <t>Restaurants, Cafes and Similar Eating Facilities</t>
  </si>
  <si>
    <t>Canteens, Cafeterias and Refectories</t>
  </si>
  <si>
    <t>Accommodation Services</t>
  </si>
  <si>
    <t>Other Vehicle 1 (Net of Purchase/Sale)</t>
  </si>
  <si>
    <t>Other Vehicle 2 (Net of Purchase/Sale)</t>
  </si>
  <si>
    <t>DS_Country_List</t>
  </si>
  <si>
    <t>DS_Currency_List</t>
  </si>
  <si>
    <t>Anguilla</t>
  </si>
  <si>
    <t>Antigua and Barbuda</t>
  </si>
  <si>
    <t>Aruba</t>
  </si>
  <si>
    <t>Bermuda</t>
  </si>
  <si>
    <t>Bonaire</t>
  </si>
  <si>
    <t>British Virgin Islands</t>
  </si>
  <si>
    <t>Cabo Verde</t>
  </si>
  <si>
    <t>Cayman Islands</t>
  </si>
  <si>
    <t>China</t>
  </si>
  <si>
    <t>China, Hong Kong (SAR)</t>
  </si>
  <si>
    <t>China, Macao (SAR)</t>
  </si>
  <si>
    <t>Cook Islands</t>
  </si>
  <si>
    <t xml:space="preserve">Côte d'Ivoire            </t>
  </si>
  <si>
    <t>Czechia</t>
  </si>
  <si>
    <t>Democratic People's Republic of Korea</t>
  </si>
  <si>
    <t>Democratic Republic of the Congo</t>
  </si>
  <si>
    <t>Dominica</t>
  </si>
  <si>
    <t>Eswatini</t>
  </si>
  <si>
    <t>French Guiana</t>
  </si>
  <si>
    <t>Gibraltar</t>
  </si>
  <si>
    <t>Grenada</t>
  </si>
  <si>
    <t>Iceland</t>
  </si>
  <si>
    <t>Israel</t>
  </si>
  <si>
    <t>Lao People's Democratic Republic</t>
  </si>
  <si>
    <t>Libya</t>
  </si>
  <si>
    <t>Luxembourg</t>
  </si>
  <si>
    <t>Marshall Islands</t>
  </si>
  <si>
    <t>Micronesia</t>
  </si>
  <si>
    <t>Monaco</t>
  </si>
  <si>
    <t>Nauru</t>
  </si>
  <si>
    <t>North Macedonia</t>
  </si>
  <si>
    <t>Palau</t>
  </si>
  <si>
    <t>Puerto Rico</t>
  </si>
  <si>
    <t>Republic of Korea</t>
  </si>
  <si>
    <t>Republic of Moldova</t>
  </si>
  <si>
    <t>Saint Helena</t>
  </si>
  <si>
    <t>Saint Kitts and Nevis</t>
  </si>
  <si>
    <t>Saint Vincent and the Grenadines</t>
  </si>
  <si>
    <t>Türkiye</t>
  </si>
  <si>
    <t>Tuvalu</t>
  </si>
  <si>
    <t>United Republic of Tanzania</t>
  </si>
  <si>
    <t>United States</t>
  </si>
  <si>
    <t>Viet Nam</t>
  </si>
  <si>
    <t>West Bank &amp; the Gaza Strip,The</t>
  </si>
  <si>
    <t>Yemen</t>
  </si>
  <si>
    <t>Month_Number</t>
  </si>
  <si>
    <t>Month_List</t>
  </si>
  <si>
    <t>Jan</t>
  </si>
  <si>
    <t>Feb</t>
  </si>
  <si>
    <t>Mar</t>
  </si>
  <si>
    <t>Apr</t>
  </si>
  <si>
    <t>Jun</t>
  </si>
  <si>
    <t>Jul</t>
  </si>
  <si>
    <t>Aug</t>
  </si>
  <si>
    <t>Sep</t>
  </si>
  <si>
    <t>Oct</t>
  </si>
  <si>
    <t>Nov</t>
  </si>
  <si>
    <t>Dec</t>
  </si>
  <si>
    <t>Housing</t>
  </si>
  <si>
    <t>Clothing garments</t>
  </si>
  <si>
    <t>All Expenditures (USD)</t>
  </si>
  <si>
    <t>Summary_View_List</t>
  </si>
  <si>
    <t>Values displayed are the total of all expenses entered in the Data Table</t>
  </si>
  <si>
    <t>Summary_View_Explainer</t>
  </si>
  <si>
    <t>Estimated Monthly Expenditures (USD)</t>
  </si>
  <si>
    <t>Values displayed are an estimate of monthly expenses based on total of monthly expenses from past 30 days, yearly expensees from past year divided by 12, and infrequent expenses from past 5 years divided by 60.</t>
  </si>
  <si>
    <t>Select Summary View Option from Dropdown</t>
  </si>
  <si>
    <t>Expenditures from Last 30 Days (USD)</t>
  </si>
  <si>
    <t>Values displayed are the total expenses entered in the Data Table from past 30 days</t>
  </si>
  <si>
    <t>Tobacco and Tobacco Products</t>
  </si>
  <si>
    <t>Domestic Service</t>
  </si>
  <si>
    <t>Rent or Rent Equivalent</t>
  </si>
  <si>
    <t>Utilities</t>
  </si>
  <si>
    <t>H.D</t>
  </si>
  <si>
    <t>H.R</t>
  </si>
  <si>
    <t>H.U</t>
  </si>
  <si>
    <t>ITEM DESCRIPTION
(Optional)</t>
  </si>
  <si>
    <t>Utilities and other dwelling costs NOT included in rent</t>
  </si>
  <si>
    <t>Domestic and security services</t>
  </si>
  <si>
    <t>Rent or rent equivalent (if homeowner)</t>
  </si>
  <si>
    <t>Cleaning, repair and tailoring of clothing</t>
  </si>
  <si>
    <t>Non-durable household goods</t>
  </si>
  <si>
    <t>Other monthly expenditures</t>
  </si>
  <si>
    <t>Other yearly expenditures</t>
  </si>
  <si>
    <t>Major electric and other household appliances</t>
  </si>
  <si>
    <t>Other Monthly Expenditures</t>
  </si>
  <si>
    <t>Other Yearly Expenditures</t>
  </si>
  <si>
    <t>Total Expense USD</t>
  </si>
  <si>
    <t>Past Month USD</t>
  </si>
  <si>
    <t>Estimated Monthly USD</t>
  </si>
  <si>
    <t>Total Expense LC</t>
  </si>
  <si>
    <t>Past Month LC</t>
  </si>
  <si>
    <t>Estimated Monthly LC</t>
  </si>
  <si>
    <t>Expenditures from Last 30 Days (Local Currency)</t>
  </si>
  <si>
    <t>All Expenditures (Local Currency)</t>
  </si>
  <si>
    <t>Estimated Monthly Expenditures (Local Currency)</t>
  </si>
  <si>
    <t>Housing Expenditures and Domestic and Security Services</t>
  </si>
  <si>
    <t>Example</t>
  </si>
  <si>
    <r>
      <rPr>
        <b/>
        <sz val="11"/>
        <color theme="1"/>
        <rFont val="Aptos Narrow"/>
        <family val="2"/>
        <scheme val="minor"/>
      </rPr>
      <t>Instructions</t>
    </r>
    <r>
      <rPr>
        <sz val="11"/>
        <color theme="1"/>
        <rFont val="Aptos Narrow"/>
        <family val="2"/>
        <scheme val="minor"/>
      </rPr>
      <t xml:space="preserve">
1. </t>
    </r>
    <r>
      <rPr>
        <sz val="11"/>
        <color rgb="FFC00000"/>
        <rFont val="Aptos Narrow"/>
        <family val="2"/>
        <scheme val="minor"/>
      </rPr>
      <t>Indicate the country of duty station</t>
    </r>
    <r>
      <rPr>
        <sz val="11"/>
        <color theme="1"/>
        <rFont val="Aptos Narrow"/>
        <family val="2"/>
        <scheme val="minor"/>
      </rPr>
      <t>.
2. Record expenses in the yellow fields of the table below. The item category must be specified before selecting the item subcategory.
3. The summary tab displays a summary of expenses with the option of three different views.
4. The "Monthly Expenses", "Yearly and Education Expenses" and "Infrequent Expenses" tabs display expenses formatted in accordance with the cost-of-living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</si>
</sst>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d\-mmm\-yyyy;@"/>
  </numFmts>
  <fonts count="42" x14ac:knownFonts="1">
    <font>
      <sz val="11"/>
      <color theme="1"/>
      <name val="Aptos Narrow"/>
      <family val="2"/>
      <scheme val="minor"/>
    </font>
    <font>
      <b/>
      <sz val="11"/>
      <color theme="1"/>
      <name val="Aptos Narrow"/>
      <family val="2"/>
      <scheme val="minor"/>
    </font>
    <font>
      <sz val="9"/>
      <color theme="1"/>
      <name val="Aptos Narrow"/>
      <family val="2"/>
      <scheme val="minor"/>
    </font>
    <font>
      <b/>
      <sz val="11"/>
      <color theme="1"/>
      <name val="Aptos Display"/>
      <family val="2"/>
      <scheme val="major"/>
    </font>
    <font>
      <b/>
      <sz val="11"/>
      <color theme="0"/>
      <name val="Aptos Display"/>
      <family val="2"/>
      <scheme val="major"/>
    </font>
    <font>
      <b/>
      <sz val="20"/>
      <color theme="0"/>
      <name val="Aptos Display"/>
      <family val="2"/>
      <scheme val="major"/>
    </font>
    <font>
      <b/>
      <sz val="14"/>
      <name val="Aptos Narrow"/>
      <family val="2"/>
      <scheme val="minor"/>
    </font>
    <font>
      <b/>
      <sz val="11"/>
      <name val="Aptos Narrow"/>
      <family val="2"/>
      <scheme val="minor"/>
    </font>
    <font>
      <sz val="11"/>
      <name val="Aptos Narrow"/>
      <family val="2"/>
      <scheme val="minor"/>
    </font>
    <font>
      <b/>
      <sz val="14"/>
      <color theme="0"/>
      <name val="Aptos Display"/>
      <family val="2"/>
      <scheme val="major"/>
    </font>
    <font>
      <sz val="20"/>
      <color theme="0"/>
      <name val="Aptos Display"/>
      <family val="2"/>
      <scheme val="major"/>
    </font>
    <font>
      <sz val="11"/>
      <color theme="0"/>
      <name val="Aptos Display"/>
      <family val="2"/>
      <scheme val="major"/>
    </font>
    <font>
      <b/>
      <sz val="18"/>
      <color theme="0"/>
      <name val="Aptos Display"/>
      <family val="2"/>
      <scheme val="major"/>
    </font>
    <font>
      <b/>
      <sz val="24"/>
      <color theme="0"/>
      <name val="Aptos Display"/>
      <family val="2"/>
      <scheme val="major"/>
    </font>
    <font>
      <b/>
      <sz val="14"/>
      <color theme="3" tint="9.9978637043366805E-2"/>
      <name val="Aptos Display"/>
      <family val="2"/>
      <scheme val="major"/>
    </font>
    <font>
      <sz val="14"/>
      <color theme="1"/>
      <name val="Aptos Narrow"/>
      <family val="2"/>
      <scheme val="minor"/>
    </font>
    <font>
      <sz val="11"/>
      <color theme="0"/>
      <name val="Aptos Narrow"/>
      <family val="2"/>
      <scheme val="minor"/>
    </font>
    <font>
      <b/>
      <sz val="12"/>
      <color theme="1"/>
      <name val="Aptos Display"/>
      <family val="2"/>
      <scheme val="major"/>
    </font>
    <font>
      <b/>
      <sz val="12"/>
      <name val="Aptos Display"/>
      <family val="2"/>
      <scheme val="major"/>
    </font>
    <font>
      <b/>
      <sz val="14"/>
      <color theme="1"/>
      <name val="Aptos Display"/>
      <family val="2"/>
      <scheme val="major"/>
    </font>
    <font>
      <b/>
      <sz val="12"/>
      <color rgb="FFC00000"/>
      <name val="Aptos Display"/>
      <family val="2"/>
      <scheme val="major"/>
    </font>
    <font>
      <b/>
      <sz val="12"/>
      <color theme="6"/>
      <name val="Aptos Display"/>
      <family val="2"/>
      <scheme val="major"/>
    </font>
    <font>
      <b/>
      <sz val="12"/>
      <color rgb="FFFFC000"/>
      <name val="Aptos Display"/>
      <family val="2"/>
      <scheme val="major"/>
    </font>
    <font>
      <b/>
      <sz val="12"/>
      <color theme="5"/>
      <name val="Aptos Display"/>
      <family val="2"/>
      <scheme val="major"/>
    </font>
    <font>
      <b/>
      <sz val="12"/>
      <color theme="7" tint="-0.249977111117893"/>
      <name val="Aptos Display"/>
      <family val="2"/>
      <scheme val="major"/>
    </font>
    <font>
      <b/>
      <sz val="12"/>
      <color theme="8"/>
      <name val="Aptos Display"/>
      <family val="2"/>
      <scheme val="major"/>
    </font>
    <font>
      <b/>
      <sz val="12"/>
      <color theme="9" tint="-0.249977111117893"/>
      <name val="Aptos Display"/>
      <family val="2"/>
      <scheme val="major"/>
    </font>
    <font>
      <b/>
      <sz val="12"/>
      <color rgb="FFFF0000"/>
      <name val="Aptos Display"/>
      <family val="2"/>
      <scheme val="major"/>
    </font>
    <font>
      <b/>
      <sz val="12"/>
      <color theme="1" tint="0.499984740745262"/>
      <name val="Aptos Display"/>
      <family val="2"/>
      <scheme val="major"/>
    </font>
    <font>
      <b/>
      <sz val="12"/>
      <color theme="8" tint="0.39997558519241921"/>
      <name val="Aptos Display"/>
      <family val="2"/>
      <scheme val="major"/>
    </font>
    <font>
      <b/>
      <sz val="12"/>
      <color rgb="FFCC9900"/>
      <name val="Aptos Display"/>
      <family val="2"/>
      <scheme val="major"/>
    </font>
    <font>
      <b/>
      <sz val="12"/>
      <color theme="0"/>
      <name val="Aptos Display"/>
      <family val="2"/>
      <scheme val="major"/>
    </font>
    <font>
      <sz val="48"/>
      <color theme="4"/>
      <name val="Aptos Narrow"/>
      <family val="2"/>
      <scheme val="minor"/>
    </font>
    <font>
      <sz val="12"/>
      <color theme="0"/>
      <name val="Aptos Display"/>
      <family val="2"/>
      <scheme val="major"/>
    </font>
    <font>
      <sz val="12"/>
      <color theme="0"/>
      <name val="Aptos Narrow"/>
      <family val="2"/>
      <scheme val="minor"/>
    </font>
    <font>
      <b/>
      <sz val="14"/>
      <color rgb="FFC00000"/>
      <name val="Aptos Display"/>
      <family val="2"/>
      <scheme val="major"/>
    </font>
    <font>
      <sz val="14"/>
      <color rgb="FFC00000"/>
      <name val="Aptos Display"/>
      <family val="2"/>
      <scheme val="major"/>
    </font>
    <font>
      <b/>
      <sz val="12"/>
      <color theme="9" tint="0.39997558519241921"/>
      <name val="Aptos Display"/>
      <family val="2"/>
      <scheme val="major"/>
    </font>
    <font>
      <sz val="14"/>
      <name val="Aptos Narrow"/>
      <family val="2"/>
      <scheme val="minor"/>
    </font>
    <font>
      <b/>
      <sz val="12"/>
      <color theme="7" tint="0.59999389629810485"/>
      <name val="Aptos Display"/>
      <family val="2"/>
      <scheme val="major"/>
    </font>
    <font>
      <sz val="11"/>
      <color rgb="FFC00000"/>
      <name val="Aptos Narrow"/>
      <family val="2"/>
      <scheme val="minor"/>
    </font>
    <font>
      <b/>
      <sz val="12"/>
      <color rgb="FF9999FF"/>
      <name val="Aptos Display"/>
      <family val="2"/>
      <scheme val="major"/>
    </font>
  </fonts>
  <fills count="17">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4" tint="-0.499984740745262"/>
        <bgColor indexed="64"/>
      </patternFill>
    </fill>
  </fills>
  <borders count="59">
    <border>
      <left/>
      <right/>
      <top/>
      <bottom/>
      <diagonal/>
    </border>
    <border>
      <left/>
      <right style="thin">
        <color auto="1"/>
      </right>
      <top/>
      <bottom/>
      <diagonal/>
    </border>
    <border>
      <left style="thin">
        <color auto="1"/>
      </left>
      <right/>
      <top/>
      <bottom/>
      <diagonal/>
    </border>
    <border>
      <left style="thin">
        <color auto="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double">
        <color auto="1"/>
      </left>
      <right/>
      <top style="double">
        <color auto="1"/>
      </top>
      <bottom/>
      <diagonal/>
    </border>
    <border>
      <left/>
      <right/>
      <top style="double">
        <color auto="1"/>
      </top>
      <bottom/>
      <diagonal/>
    </border>
    <border>
      <left/>
      <right style="medium">
        <color auto="1"/>
      </right>
      <top style="double">
        <color auto="1"/>
      </top>
      <bottom/>
      <diagonal/>
    </border>
    <border>
      <left style="double">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double">
        <color auto="1"/>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thin">
        <color auto="1"/>
      </left>
      <right/>
      <top style="medium">
        <color auto="1"/>
      </top>
      <bottom/>
      <diagonal/>
    </border>
    <border>
      <left/>
      <right style="medium">
        <color auto="1"/>
      </right>
      <top style="medium">
        <color auto="1"/>
      </top>
      <bottom/>
      <diagonal/>
    </border>
    <border>
      <left/>
      <right style="double">
        <color auto="1"/>
      </right>
      <top style="medium">
        <color auto="1"/>
      </top>
      <bottom/>
      <diagonal/>
    </border>
    <border>
      <left style="double">
        <color auto="1"/>
      </left>
      <right style="medium">
        <color auto="1"/>
      </right>
      <top/>
      <bottom/>
      <diagonal/>
    </border>
    <border>
      <left style="medium">
        <color auto="1"/>
      </left>
      <right/>
      <top/>
      <bottom/>
      <diagonal/>
    </border>
    <border>
      <left/>
      <right style="medium">
        <color auto="1"/>
      </right>
      <top/>
      <bottom/>
      <diagonal/>
    </border>
    <border>
      <left/>
      <right style="double">
        <color auto="1"/>
      </right>
      <top/>
      <bottom/>
      <diagonal/>
    </border>
    <border>
      <left style="double">
        <color auto="1"/>
      </left>
      <right style="medium">
        <color auto="1"/>
      </right>
      <top/>
      <bottom style="double">
        <color auto="1"/>
      </bottom>
      <diagonal/>
    </border>
    <border>
      <left/>
      <right/>
      <top/>
      <bottom style="double">
        <color auto="1"/>
      </bottom>
      <diagonal/>
    </border>
    <border>
      <left style="medium">
        <color auto="1"/>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right style="double">
        <color auto="1"/>
      </right>
      <top/>
      <bottom style="double">
        <color auto="1"/>
      </bottom>
      <diagonal/>
    </border>
    <border>
      <left style="double">
        <color auto="1"/>
      </left>
      <right style="medium">
        <color auto="1"/>
      </right>
      <top/>
      <bottom style="medium">
        <color auto="1"/>
      </bottom>
      <diagonal/>
    </border>
    <border>
      <left style="medium">
        <color auto="1"/>
      </left>
      <right/>
      <top/>
      <bottom style="medium">
        <color auto="1"/>
      </bottom>
      <diagonal/>
    </border>
    <border>
      <left style="thin">
        <color auto="1"/>
      </left>
      <right/>
      <top/>
      <bottom style="medium">
        <color auto="1"/>
      </bottom>
      <diagonal/>
    </border>
    <border>
      <left/>
      <right style="double">
        <color auto="1"/>
      </right>
      <top/>
      <bottom style="medium">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double">
        <color auto="1"/>
      </right>
      <top style="double">
        <color auto="1"/>
      </top>
      <bottom style="thin">
        <color auto="1"/>
      </bottom>
      <diagonal/>
    </border>
    <border>
      <left style="medium">
        <color auto="1"/>
      </left>
      <right/>
      <top style="thin">
        <color auto="1"/>
      </top>
      <bottom style="medium">
        <color auto="1"/>
      </bottom>
      <diagonal/>
    </border>
    <border>
      <left/>
      <right style="double">
        <color auto="1"/>
      </right>
      <top style="thin">
        <color auto="1"/>
      </top>
      <bottom style="medium">
        <color auto="1"/>
      </bottom>
      <diagonal/>
    </border>
    <border>
      <left style="thin">
        <color rgb="FFCC9900"/>
      </left>
      <right style="thin">
        <color rgb="FFCC9900"/>
      </right>
      <top style="thin">
        <color rgb="FFCC9900"/>
      </top>
      <bottom style="thin">
        <color rgb="FFCC9900"/>
      </bottom>
      <diagonal/>
    </border>
    <border>
      <left/>
      <right style="thin">
        <color theme="0" tint="-0.24994659260841701"/>
      </right>
      <top/>
      <bottom/>
      <diagonal/>
    </border>
    <border>
      <left style="thin">
        <color theme="0" tint="-0.2499465926084170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double">
        <color auto="1"/>
      </right>
      <top style="double">
        <color auto="1"/>
      </top>
      <bottom/>
      <diagonal/>
    </border>
    <border>
      <left style="double">
        <color auto="1"/>
      </left>
      <right/>
      <top/>
      <bottom/>
      <diagonal/>
    </border>
    <border>
      <left style="double">
        <color auto="1"/>
      </left>
      <right/>
      <top/>
      <bottom style="double">
        <color auto="1"/>
      </bottom>
      <diagonal/>
    </border>
    <border>
      <left style="double">
        <color auto="1"/>
      </left>
      <right/>
      <top style="medium">
        <color auto="1"/>
      </top>
      <bottom/>
      <diagonal/>
    </border>
    <border>
      <left style="thin">
        <color auto="1"/>
      </left>
      <right/>
      <top style="double">
        <color auto="1"/>
      </top>
      <bottom/>
      <diagonal/>
    </border>
    <border>
      <left/>
      <right style="thin">
        <color auto="1"/>
      </right>
      <top style="double">
        <color auto="1"/>
      </top>
      <bottom/>
      <diagonal/>
    </border>
    <border>
      <left/>
      <right style="thin">
        <color auto="1"/>
      </right>
      <top/>
      <bottom style="double">
        <color auto="1"/>
      </bottom>
      <diagonal/>
    </border>
    <border>
      <left/>
      <right style="double">
        <color auto="1"/>
      </right>
      <top style="medium">
        <color auto="1"/>
      </top>
      <bottom style="double">
        <color auto="1"/>
      </bottom>
      <diagonal/>
    </border>
  </borders>
  <cellStyleXfs count="1">
    <xf numFmtId="0" fontId="0" fillId="0" borderId="0"/>
  </cellStyleXfs>
  <cellXfs count="267">
    <xf numFmtId="0" fontId="0" fillId="0" borderId="0" xfId="0"/>
    <xf numFmtId="164" fontId="1" fillId="0" borderId="0" xfId="0" applyNumberFormat="1" applyFont="1"/>
    <xf numFmtId="0" fontId="1" fillId="0" borderId="0" xfId="0" applyFont="1"/>
    <xf numFmtId="0" fontId="0" fillId="2" borderId="0" xfId="0" applyFill="1"/>
    <xf numFmtId="0" fontId="4" fillId="5" borderId="0" xfId="0" applyFont="1" applyFill="1" applyAlignment="1">
      <alignment horizontal="center" vertical="center" wrapText="1"/>
    </xf>
    <xf numFmtId="0" fontId="4" fillId="6" borderId="4" xfId="0" applyFont="1" applyFill="1" applyBorder="1" applyAlignment="1">
      <alignment horizontal="center" vertical="center" wrapText="1"/>
    </xf>
    <xf numFmtId="0" fontId="5" fillId="7" borderId="7" xfId="0" applyFont="1" applyFill="1" applyBorder="1" applyAlignment="1">
      <alignment horizontal="center" vertical="center"/>
    </xf>
    <xf numFmtId="4" fontId="4" fillId="6" borderId="4" xfId="0" applyNumberFormat="1" applyFont="1" applyFill="1" applyBorder="1" applyAlignment="1">
      <alignment horizontal="center" vertical="center" wrapText="1"/>
    </xf>
    <xf numFmtId="0" fontId="8" fillId="5" borderId="0" xfId="0" applyFont="1" applyFill="1" applyAlignment="1">
      <alignment horizontal="right" vertical="center"/>
    </xf>
    <xf numFmtId="43" fontId="8" fillId="5" borderId="23" xfId="0" applyNumberFormat="1" applyFont="1" applyFill="1" applyBorder="1" applyAlignment="1">
      <alignment vertical="center"/>
    </xf>
    <xf numFmtId="43" fontId="8" fillId="5" borderId="2" xfId="0" applyNumberFormat="1" applyFont="1" applyFill="1" applyBorder="1" applyAlignment="1">
      <alignment vertical="center"/>
    </xf>
    <xf numFmtId="0" fontId="8" fillId="5" borderId="24" xfId="0" applyFont="1" applyFill="1" applyBorder="1" applyAlignment="1">
      <alignment vertical="center"/>
    </xf>
    <xf numFmtId="43" fontId="8" fillId="5" borderId="0" xfId="0" applyNumberFormat="1" applyFont="1" applyFill="1" applyAlignment="1">
      <alignment vertical="center"/>
    </xf>
    <xf numFmtId="0" fontId="8" fillId="5" borderId="25" xfId="0" applyFont="1" applyFill="1" applyBorder="1" applyAlignment="1">
      <alignment vertical="center"/>
    </xf>
    <xf numFmtId="0" fontId="7" fillId="5" borderId="17" xfId="0" applyFont="1" applyFill="1" applyBorder="1" applyAlignment="1">
      <alignment vertical="center"/>
    </xf>
    <xf numFmtId="0" fontId="8" fillId="5" borderId="17" xfId="0" applyFont="1" applyFill="1" applyBorder="1" applyAlignment="1">
      <alignment vertical="center"/>
    </xf>
    <xf numFmtId="43" fontId="8" fillId="5" borderId="18" xfId="0" applyNumberFormat="1" applyFont="1" applyFill="1" applyBorder="1" applyAlignment="1">
      <alignment vertical="center"/>
    </xf>
    <xf numFmtId="43" fontId="8" fillId="5" borderId="19" xfId="0" applyNumberFormat="1" applyFont="1" applyFill="1" applyBorder="1" applyAlignment="1">
      <alignment vertical="center"/>
    </xf>
    <xf numFmtId="0" fontId="8" fillId="5" borderId="20" xfId="0" applyFont="1" applyFill="1" applyBorder="1" applyAlignment="1">
      <alignment vertical="center"/>
    </xf>
    <xf numFmtId="43" fontId="8" fillId="5" borderId="17" xfId="0" applyNumberFormat="1" applyFont="1" applyFill="1" applyBorder="1" applyAlignment="1">
      <alignment vertical="center"/>
    </xf>
    <xf numFmtId="0" fontId="8" fillId="5" borderId="21" xfId="0" applyFont="1" applyFill="1" applyBorder="1" applyAlignment="1">
      <alignment vertical="center"/>
    </xf>
    <xf numFmtId="0" fontId="8" fillId="5" borderId="0" xfId="0" applyFont="1" applyFill="1" applyAlignment="1">
      <alignment vertical="center"/>
    </xf>
    <xf numFmtId="0" fontId="7" fillId="5" borderId="0" xfId="0" applyFont="1" applyFill="1" applyAlignment="1">
      <alignment vertical="center"/>
    </xf>
    <xf numFmtId="0" fontId="8" fillId="5" borderId="27" xfId="0" applyFont="1" applyFill="1" applyBorder="1" applyAlignment="1">
      <alignment vertical="center"/>
    </xf>
    <xf numFmtId="0" fontId="8" fillId="5" borderId="30" xfId="0" applyFont="1" applyFill="1" applyBorder="1" applyAlignment="1">
      <alignment vertical="center"/>
    </xf>
    <xf numFmtId="0" fontId="8" fillId="5" borderId="31" xfId="0" applyFont="1" applyFill="1" applyBorder="1" applyAlignment="1">
      <alignment vertical="center"/>
    </xf>
    <xf numFmtId="0" fontId="7" fillId="10" borderId="0" xfId="0" applyFont="1" applyFill="1" applyAlignment="1">
      <alignment vertical="center"/>
    </xf>
    <xf numFmtId="0" fontId="8" fillId="10" borderId="0" xfId="0" applyFont="1" applyFill="1" applyAlignment="1">
      <alignment vertical="center"/>
    </xf>
    <xf numFmtId="43" fontId="8" fillId="10" borderId="23" xfId="0" applyNumberFormat="1" applyFont="1" applyFill="1" applyBorder="1" applyAlignment="1">
      <alignment vertical="center"/>
    </xf>
    <xf numFmtId="43" fontId="8" fillId="10" borderId="2" xfId="0" applyNumberFormat="1" applyFont="1" applyFill="1" applyBorder="1" applyAlignment="1">
      <alignment vertical="center"/>
    </xf>
    <xf numFmtId="0" fontId="8" fillId="10" borderId="24" xfId="0" applyFont="1" applyFill="1" applyBorder="1" applyAlignment="1">
      <alignment vertical="center"/>
    </xf>
    <xf numFmtId="43" fontId="8" fillId="10" borderId="0" xfId="0" applyNumberFormat="1" applyFont="1" applyFill="1" applyAlignment="1">
      <alignment vertical="center"/>
    </xf>
    <xf numFmtId="0" fontId="8" fillId="10" borderId="25" xfId="0" applyFont="1" applyFill="1" applyBorder="1" applyAlignment="1">
      <alignment vertical="center"/>
    </xf>
    <xf numFmtId="0" fontId="7" fillId="8" borderId="0" xfId="0" applyFont="1" applyFill="1" applyAlignment="1">
      <alignment vertical="center"/>
    </xf>
    <xf numFmtId="0" fontId="8" fillId="8" borderId="0" xfId="0" applyFont="1" applyFill="1" applyAlignment="1">
      <alignment vertical="center"/>
    </xf>
    <xf numFmtId="43" fontId="8" fillId="8" borderId="23" xfId="0" applyNumberFormat="1" applyFont="1" applyFill="1" applyBorder="1" applyAlignment="1">
      <alignment vertical="center"/>
    </xf>
    <xf numFmtId="43" fontId="8" fillId="8" borderId="2" xfId="0" applyNumberFormat="1" applyFont="1" applyFill="1" applyBorder="1" applyAlignment="1">
      <alignment vertical="center"/>
    </xf>
    <xf numFmtId="0" fontId="8" fillId="8" borderId="24" xfId="0" applyFont="1" applyFill="1" applyBorder="1" applyAlignment="1">
      <alignment vertical="center"/>
    </xf>
    <xf numFmtId="43" fontId="8" fillId="8" borderId="0" xfId="0" applyNumberFormat="1" applyFont="1" applyFill="1" applyAlignment="1">
      <alignment vertical="center"/>
    </xf>
    <xf numFmtId="0" fontId="8" fillId="8" borderId="25" xfId="0" applyFont="1" applyFill="1" applyBorder="1" applyAlignment="1">
      <alignment vertical="center"/>
    </xf>
    <xf numFmtId="0" fontId="8" fillId="8" borderId="0" xfId="0" applyFont="1" applyFill="1" applyAlignment="1">
      <alignment horizontal="right" vertical="center"/>
    </xf>
    <xf numFmtId="0" fontId="3" fillId="5" borderId="0" xfId="0" applyFont="1" applyFill="1" applyAlignment="1">
      <alignment vertical="center"/>
    </xf>
    <xf numFmtId="0" fontId="0" fillId="5" borderId="2" xfId="0" applyFill="1" applyBorder="1" applyAlignment="1">
      <alignment vertical="center"/>
    </xf>
    <xf numFmtId="0" fontId="0" fillId="5" borderId="0" xfId="0" applyFill="1" applyAlignment="1">
      <alignment vertical="center"/>
    </xf>
    <xf numFmtId="164" fontId="0" fillId="5" borderId="0" xfId="0" applyNumberFormat="1" applyFill="1" applyAlignment="1">
      <alignment vertical="center"/>
    </xf>
    <xf numFmtId="164" fontId="3" fillId="7" borderId="6" xfId="0" applyNumberFormat="1" applyFont="1" applyFill="1" applyBorder="1" applyAlignment="1">
      <alignment vertical="center"/>
    </xf>
    <xf numFmtId="0" fontId="3" fillId="7" borderId="7" xfId="0" applyFont="1" applyFill="1" applyBorder="1" applyAlignment="1">
      <alignment vertical="center"/>
    </xf>
    <xf numFmtId="15" fontId="3" fillId="5" borderId="0" xfId="0" applyNumberFormat="1" applyFont="1" applyFill="1" applyAlignment="1">
      <alignment vertical="center"/>
    </xf>
    <xf numFmtId="164" fontId="0" fillId="3" borderId="3" xfId="0" applyNumberFormat="1" applyFill="1" applyBorder="1" applyAlignment="1">
      <alignment vertical="center"/>
    </xf>
    <xf numFmtId="0" fontId="0" fillId="3" borderId="4" xfId="0" applyFill="1" applyBorder="1" applyAlignment="1">
      <alignment vertical="center"/>
    </xf>
    <xf numFmtId="4" fontId="0" fillId="3" borderId="4" xfId="0" applyNumberFormat="1" applyFill="1" applyBorder="1" applyAlignment="1">
      <alignment vertical="center"/>
    </xf>
    <xf numFmtId="4" fontId="0" fillId="4" borderId="5" xfId="0" applyNumberFormat="1" applyFill="1" applyBorder="1" applyAlignment="1">
      <alignment vertical="center"/>
    </xf>
    <xf numFmtId="0" fontId="8" fillId="5" borderId="27" xfId="0" applyFont="1" applyFill="1" applyBorder="1" applyAlignment="1">
      <alignment horizontal="right" vertical="center"/>
    </xf>
    <xf numFmtId="0" fontId="7" fillId="12" borderId="0" xfId="0" applyFont="1" applyFill="1" applyAlignment="1">
      <alignment vertical="center"/>
    </xf>
    <xf numFmtId="0" fontId="8" fillId="12" borderId="0" xfId="0" applyFont="1" applyFill="1" applyAlignment="1">
      <alignment vertical="center"/>
    </xf>
    <xf numFmtId="43" fontId="8" fillId="12" borderId="23" xfId="0" applyNumberFormat="1" applyFont="1" applyFill="1" applyBorder="1" applyAlignment="1">
      <alignment vertical="center"/>
    </xf>
    <xf numFmtId="43" fontId="8" fillId="12" borderId="2" xfId="0" applyNumberFormat="1" applyFont="1" applyFill="1" applyBorder="1" applyAlignment="1">
      <alignment vertical="center"/>
    </xf>
    <xf numFmtId="0" fontId="8" fillId="12" borderId="24" xfId="0" applyFont="1" applyFill="1" applyBorder="1" applyAlignment="1">
      <alignment vertical="center"/>
    </xf>
    <xf numFmtId="43" fontId="8" fillId="12" borderId="0" xfId="0" applyNumberFormat="1" applyFont="1" applyFill="1" applyAlignment="1">
      <alignment vertical="center"/>
    </xf>
    <xf numFmtId="0" fontId="8" fillId="12" borderId="25" xfId="0" applyFont="1" applyFill="1" applyBorder="1" applyAlignment="1">
      <alignment vertical="center"/>
    </xf>
    <xf numFmtId="0" fontId="8" fillId="12" borderId="13" xfId="0" applyFont="1" applyFill="1" applyBorder="1" applyAlignment="1">
      <alignment vertical="center"/>
    </xf>
    <xf numFmtId="0" fontId="8" fillId="12" borderId="14" xfId="0" applyFont="1" applyFill="1" applyBorder="1" applyAlignment="1">
      <alignment vertical="center"/>
    </xf>
    <xf numFmtId="0" fontId="8" fillId="12" borderId="35" xfId="0" applyFont="1" applyFill="1" applyBorder="1" applyAlignment="1">
      <alignment vertical="center"/>
    </xf>
    <xf numFmtId="0" fontId="8" fillId="12" borderId="0" xfId="0" applyFont="1" applyFill="1" applyAlignment="1">
      <alignment horizontal="right" vertical="center"/>
    </xf>
    <xf numFmtId="0" fontId="8" fillId="8" borderId="27" xfId="0" applyFont="1" applyFill="1" applyBorder="1" applyAlignment="1">
      <alignment horizontal="right" vertical="center"/>
    </xf>
    <xf numFmtId="0" fontId="8" fillId="8" borderId="27" xfId="0" applyFont="1" applyFill="1" applyBorder="1" applyAlignment="1">
      <alignment vertical="center"/>
    </xf>
    <xf numFmtId="0" fontId="8" fillId="8" borderId="30" xfId="0" applyFont="1" applyFill="1" applyBorder="1" applyAlignment="1">
      <alignment vertical="center"/>
    </xf>
    <xf numFmtId="0" fontId="8" fillId="8" borderId="31" xfId="0" applyFont="1" applyFill="1" applyBorder="1" applyAlignment="1">
      <alignment vertical="center"/>
    </xf>
    <xf numFmtId="0" fontId="5"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center" vertical="center"/>
    </xf>
    <xf numFmtId="43" fontId="11" fillId="6" borderId="15" xfId="0" applyNumberFormat="1" applyFont="1" applyFill="1" applyBorder="1" applyAlignment="1">
      <alignment horizontal="center" vertical="center" wrapText="1"/>
    </xf>
    <xf numFmtId="0" fontId="5" fillId="14" borderId="9" xfId="0" applyFont="1" applyFill="1" applyBorder="1" applyAlignment="1">
      <alignment horizontal="center" vertical="center"/>
    </xf>
    <xf numFmtId="0" fontId="10" fillId="14" borderId="10" xfId="0" applyFont="1" applyFill="1" applyBorder="1" applyAlignment="1">
      <alignment horizontal="center" vertical="center"/>
    </xf>
    <xf numFmtId="0" fontId="10" fillId="14" borderId="12" xfId="0" applyFont="1" applyFill="1" applyBorder="1" applyAlignment="1">
      <alignment horizontal="center" vertical="center"/>
    </xf>
    <xf numFmtId="0" fontId="10" fillId="14" borderId="13" xfId="0" applyFont="1" applyFill="1" applyBorder="1" applyAlignment="1">
      <alignment horizontal="center" vertical="center"/>
    </xf>
    <xf numFmtId="43" fontId="11" fillId="14" borderId="15" xfId="0" applyNumberFormat="1" applyFont="1" applyFill="1" applyBorder="1" applyAlignment="1">
      <alignment horizontal="center" vertical="center" wrapText="1"/>
    </xf>
    <xf numFmtId="0" fontId="5" fillId="15" borderId="9" xfId="0" applyFont="1" applyFill="1" applyBorder="1" applyAlignment="1">
      <alignment horizontal="center" vertical="center"/>
    </xf>
    <xf numFmtId="0" fontId="10" fillId="15" borderId="10" xfId="0" applyFont="1" applyFill="1" applyBorder="1" applyAlignment="1">
      <alignment horizontal="center" vertical="center"/>
    </xf>
    <xf numFmtId="0" fontId="10" fillId="15" borderId="12" xfId="0" applyFont="1" applyFill="1" applyBorder="1" applyAlignment="1">
      <alignment horizontal="center" vertical="center"/>
    </xf>
    <xf numFmtId="0" fontId="10" fillId="15" borderId="13" xfId="0" applyFont="1" applyFill="1" applyBorder="1" applyAlignment="1">
      <alignment horizontal="center" vertical="center"/>
    </xf>
    <xf numFmtId="43" fontId="11" fillId="15" borderId="15" xfId="0" applyNumberFormat="1" applyFont="1" applyFill="1" applyBorder="1" applyAlignment="1">
      <alignment horizontal="center" vertical="center" wrapText="1"/>
    </xf>
    <xf numFmtId="0" fontId="0" fillId="5" borderId="0" xfId="0" applyFill="1" applyAlignment="1">
      <alignment horizontal="right" vertical="center"/>
    </xf>
    <xf numFmtId="0" fontId="3" fillId="5" borderId="0" xfId="0" applyFont="1" applyFill="1" applyAlignment="1">
      <alignment horizontal="right" vertical="center"/>
    </xf>
    <xf numFmtId="0" fontId="4" fillId="5" borderId="0" xfId="0" applyFont="1" applyFill="1" applyAlignment="1">
      <alignment horizontal="right" vertical="center" wrapText="1"/>
    </xf>
    <xf numFmtId="164" fontId="4" fillId="6" borderId="45" xfId="0" applyNumberFormat="1" applyFont="1" applyFill="1" applyBorder="1" applyAlignment="1">
      <alignment horizontal="center" vertical="center" wrapText="1"/>
    </xf>
    <xf numFmtId="164" fontId="0" fillId="3" borderId="45" xfId="0" applyNumberFormat="1" applyFill="1" applyBorder="1" applyAlignment="1">
      <alignment vertical="center"/>
    </xf>
    <xf numFmtId="4" fontId="4" fillId="6" borderId="46" xfId="0" applyNumberFormat="1" applyFont="1" applyFill="1" applyBorder="1" applyAlignment="1">
      <alignment horizontal="center" vertical="center" wrapText="1"/>
    </xf>
    <xf numFmtId="4" fontId="0" fillId="4" borderId="46" xfId="0" applyNumberFormat="1" applyFill="1" applyBorder="1" applyAlignment="1">
      <alignment vertical="center"/>
    </xf>
    <xf numFmtId="43" fontId="0" fillId="8" borderId="27" xfId="0" applyNumberFormat="1" applyFill="1" applyBorder="1" applyAlignment="1">
      <alignment vertical="center"/>
    </xf>
    <xf numFmtId="43" fontId="0" fillId="8" borderId="29" xfId="0" applyNumberFormat="1" applyFill="1" applyBorder="1" applyAlignment="1">
      <alignment vertical="center"/>
    </xf>
    <xf numFmtId="43" fontId="0" fillId="8" borderId="28" xfId="0" applyNumberFormat="1" applyFill="1" applyBorder="1" applyAlignment="1">
      <alignment vertical="center"/>
    </xf>
    <xf numFmtId="43" fontId="0" fillId="8" borderId="0" xfId="0" applyNumberFormat="1" applyFill="1" applyAlignment="1">
      <alignment vertical="center"/>
    </xf>
    <xf numFmtId="43" fontId="0" fillId="8" borderId="2" xfId="0" applyNumberFormat="1" applyFill="1" applyBorder="1" applyAlignment="1">
      <alignment vertical="center"/>
    </xf>
    <xf numFmtId="43" fontId="0" fillId="8" borderId="23" xfId="0" applyNumberFormat="1" applyFill="1" applyBorder="1" applyAlignment="1">
      <alignment vertical="center"/>
    </xf>
    <xf numFmtId="43" fontId="0" fillId="5" borderId="0" xfId="0" applyNumberFormat="1" applyFill="1" applyAlignment="1">
      <alignment vertical="center"/>
    </xf>
    <xf numFmtId="43" fontId="0" fillId="5" borderId="2" xfId="0" applyNumberFormat="1" applyFill="1" applyBorder="1" applyAlignment="1">
      <alignment vertical="center"/>
    </xf>
    <xf numFmtId="43" fontId="0" fillId="5" borderId="23" xfId="0" applyNumberFormat="1" applyFill="1" applyBorder="1" applyAlignment="1">
      <alignment vertical="center"/>
    </xf>
    <xf numFmtId="43" fontId="0" fillId="12" borderId="0" xfId="0" applyNumberFormat="1" applyFill="1" applyAlignment="1">
      <alignment vertical="center"/>
    </xf>
    <xf numFmtId="43" fontId="0" fillId="12" borderId="2" xfId="0" applyNumberFormat="1" applyFill="1" applyBorder="1" applyAlignment="1">
      <alignment vertical="center"/>
    </xf>
    <xf numFmtId="43" fontId="0" fillId="12" borderId="23" xfId="0" applyNumberFormat="1" applyFill="1" applyBorder="1" applyAlignment="1">
      <alignment vertical="center"/>
    </xf>
    <xf numFmtId="43" fontId="0" fillId="12" borderId="13" xfId="0" applyNumberFormat="1" applyFill="1" applyBorder="1" applyAlignment="1">
      <alignment vertical="center"/>
    </xf>
    <xf numFmtId="43" fontId="0" fillId="12" borderId="34" xfId="0" applyNumberFormat="1" applyFill="1" applyBorder="1" applyAlignment="1">
      <alignment vertical="center"/>
    </xf>
    <xf numFmtId="43" fontId="0" fillId="12" borderId="33" xfId="0" applyNumberFormat="1" applyFill="1" applyBorder="1" applyAlignment="1">
      <alignment vertical="center"/>
    </xf>
    <xf numFmtId="43" fontId="0" fillId="5" borderId="27" xfId="0" applyNumberFormat="1" applyFill="1" applyBorder="1" applyAlignment="1">
      <alignment vertical="center"/>
    </xf>
    <xf numFmtId="43" fontId="0" fillId="5" borderId="29" xfId="0" applyNumberFormat="1" applyFill="1" applyBorder="1" applyAlignment="1">
      <alignment vertical="center"/>
    </xf>
    <xf numFmtId="43" fontId="0" fillId="5" borderId="28" xfId="0" applyNumberFormat="1" applyFill="1" applyBorder="1" applyAlignment="1">
      <alignment vertical="center"/>
    </xf>
    <xf numFmtId="43" fontId="0" fillId="10" borderId="2" xfId="0" applyNumberFormat="1" applyFill="1" applyBorder="1" applyAlignment="1">
      <alignment vertical="center"/>
    </xf>
    <xf numFmtId="43" fontId="0" fillId="10" borderId="23" xfId="0" applyNumberFormat="1" applyFill="1" applyBorder="1" applyAlignment="1">
      <alignment vertical="center"/>
    </xf>
    <xf numFmtId="43" fontId="0" fillId="10" borderId="0" xfId="0" applyNumberFormat="1" applyFill="1" applyAlignment="1">
      <alignment vertical="center"/>
    </xf>
    <xf numFmtId="0" fontId="0" fillId="4" borderId="4" xfId="0" applyFill="1" applyBorder="1" applyAlignment="1">
      <alignment horizontal="center" vertical="center"/>
    </xf>
    <xf numFmtId="0" fontId="0" fillId="4" borderId="4" xfId="0" applyFill="1" applyBorder="1" applyAlignment="1">
      <alignment vertical="center"/>
    </xf>
    <xf numFmtId="9" fontId="20" fillId="5" borderId="1" xfId="0" applyNumberFormat="1" applyFont="1" applyFill="1" applyBorder="1" applyAlignment="1">
      <alignment vertical="center"/>
    </xf>
    <xf numFmtId="9" fontId="21" fillId="5" borderId="1" xfId="0" applyNumberFormat="1" applyFont="1" applyFill="1" applyBorder="1" applyAlignment="1">
      <alignment vertical="center"/>
    </xf>
    <xf numFmtId="9" fontId="22" fillId="5" borderId="1" xfId="0" applyNumberFormat="1" applyFont="1" applyFill="1" applyBorder="1" applyAlignment="1">
      <alignment vertical="center"/>
    </xf>
    <xf numFmtId="9" fontId="23" fillId="5" borderId="1" xfId="0" applyNumberFormat="1" applyFont="1" applyFill="1" applyBorder="1" applyAlignment="1">
      <alignment vertical="center"/>
    </xf>
    <xf numFmtId="9" fontId="24" fillId="5" borderId="1" xfId="0" applyNumberFormat="1" applyFont="1" applyFill="1" applyBorder="1" applyAlignment="1">
      <alignment vertical="center"/>
    </xf>
    <xf numFmtId="9" fontId="25" fillId="5" borderId="1" xfId="0" applyNumberFormat="1" applyFont="1" applyFill="1" applyBorder="1" applyAlignment="1">
      <alignment vertical="center"/>
    </xf>
    <xf numFmtId="9" fontId="26" fillId="5" borderId="1" xfId="0" applyNumberFormat="1" applyFont="1" applyFill="1" applyBorder="1" applyAlignment="1">
      <alignment vertical="center"/>
    </xf>
    <xf numFmtId="9" fontId="27" fillId="5" borderId="1" xfId="0" applyNumberFormat="1" applyFont="1" applyFill="1" applyBorder="1" applyAlignment="1">
      <alignment vertical="center"/>
    </xf>
    <xf numFmtId="9" fontId="28" fillId="5" borderId="1" xfId="0" applyNumberFormat="1" applyFont="1" applyFill="1" applyBorder="1" applyAlignment="1">
      <alignment vertical="center"/>
    </xf>
    <xf numFmtId="9" fontId="29" fillId="5" borderId="1" xfId="0" applyNumberFormat="1" applyFont="1" applyFill="1" applyBorder="1" applyAlignment="1">
      <alignment vertical="center"/>
    </xf>
    <xf numFmtId="9" fontId="30" fillId="5" borderId="1" xfId="0" applyNumberFormat="1" applyFont="1" applyFill="1" applyBorder="1" applyAlignment="1">
      <alignment vertical="center"/>
    </xf>
    <xf numFmtId="0" fontId="31" fillId="6" borderId="0" xfId="0" applyFont="1" applyFill="1" applyAlignment="1">
      <alignment horizontal="center" vertical="center"/>
    </xf>
    <xf numFmtId="0" fontId="31" fillId="6" borderId="1" xfId="0" applyFont="1" applyFill="1" applyBorder="1" applyAlignment="1">
      <alignment horizontal="center" vertical="center"/>
    </xf>
    <xf numFmtId="0" fontId="17" fillId="10" borderId="48" xfId="0" applyFont="1" applyFill="1" applyBorder="1" applyAlignment="1">
      <alignment vertical="center"/>
    </xf>
    <xf numFmtId="9" fontId="17" fillId="10" borderId="49" xfId="0" applyNumberFormat="1" applyFont="1" applyFill="1" applyBorder="1" applyAlignment="1">
      <alignment vertical="center"/>
    </xf>
    <xf numFmtId="0" fontId="2" fillId="5" borderId="0" xfId="0" applyFont="1" applyFill="1" applyAlignment="1">
      <alignment vertical="center"/>
    </xf>
    <xf numFmtId="0" fontId="2" fillId="5" borderId="1" xfId="0" applyFont="1" applyFill="1" applyBorder="1" applyAlignment="1">
      <alignment vertical="center"/>
    </xf>
    <xf numFmtId="0" fontId="36" fillId="3" borderId="50" xfId="0" applyFont="1" applyFill="1" applyBorder="1" applyAlignment="1">
      <alignment horizontal="left" vertical="center" indent="1"/>
    </xf>
    <xf numFmtId="0" fontId="0" fillId="4" borderId="2" xfId="0" applyFill="1" applyBorder="1" applyAlignment="1">
      <alignment vertical="center"/>
    </xf>
    <xf numFmtId="0" fontId="0" fillId="4" borderId="47" xfId="0" applyFill="1" applyBorder="1" applyAlignment="1">
      <alignment vertical="center"/>
    </xf>
    <xf numFmtId="0" fontId="19" fillId="4" borderId="0" xfId="0" applyFont="1" applyFill="1" applyAlignment="1">
      <alignment horizontal="left"/>
    </xf>
    <xf numFmtId="0" fontId="19" fillId="5" borderId="0" xfId="0" applyFont="1" applyFill="1" applyAlignment="1">
      <alignment horizontal="left"/>
    </xf>
    <xf numFmtId="0" fontId="35" fillId="5" borderId="0" xfId="0" applyFont="1" applyFill="1" applyAlignment="1">
      <alignment horizontal="left" vertical="center" indent="1"/>
    </xf>
    <xf numFmtId="9" fontId="37" fillId="5" borderId="1" xfId="0" applyNumberFormat="1" applyFont="1" applyFill="1" applyBorder="1" applyAlignment="1">
      <alignment vertical="center"/>
    </xf>
    <xf numFmtId="0" fontId="7" fillId="5" borderId="18" xfId="0" applyFont="1" applyFill="1" applyBorder="1" applyAlignment="1">
      <alignment vertical="center"/>
    </xf>
    <xf numFmtId="43" fontId="0" fillId="5" borderId="18" xfId="0" applyNumberFormat="1" applyFill="1" applyBorder="1" applyAlignment="1">
      <alignment vertical="center"/>
    </xf>
    <xf numFmtId="43" fontId="0" fillId="5" borderId="19" xfId="0" applyNumberFormat="1" applyFill="1" applyBorder="1" applyAlignment="1">
      <alignment vertical="center"/>
    </xf>
    <xf numFmtId="43" fontId="0" fillId="5" borderId="17" xfId="0" applyNumberFormat="1" applyFill="1" applyBorder="1" applyAlignment="1">
      <alignment vertical="center"/>
    </xf>
    <xf numFmtId="0" fontId="8" fillId="5" borderId="23" xfId="0" applyFont="1" applyFill="1" applyBorder="1" applyAlignment="1">
      <alignment horizontal="right" vertical="center"/>
    </xf>
    <xf numFmtId="0" fontId="8" fillId="5" borderId="28" xfId="0" applyFont="1" applyFill="1" applyBorder="1" applyAlignment="1">
      <alignment horizontal="right" vertical="center"/>
    </xf>
    <xf numFmtId="0" fontId="0" fillId="16" borderId="2" xfId="0" applyFill="1" applyBorder="1" applyAlignment="1">
      <alignment vertical="center"/>
    </xf>
    <xf numFmtId="164" fontId="0" fillId="5" borderId="0" xfId="0" applyNumberFormat="1" applyFill="1" applyAlignment="1">
      <alignment horizontal="left" vertical="center" indent="2"/>
    </xf>
    <xf numFmtId="0" fontId="0" fillId="5" borderId="0" xfId="0" applyFill="1" applyAlignment="1">
      <alignment horizontal="left" vertical="center" indent="2"/>
    </xf>
    <xf numFmtId="0" fontId="0" fillId="5" borderId="48" xfId="0" applyFill="1" applyBorder="1" applyAlignment="1">
      <alignment horizontal="left" vertical="center" indent="2"/>
    </xf>
    <xf numFmtId="0" fontId="14" fillId="5" borderId="0" xfId="0" applyFont="1" applyFill="1" applyAlignment="1">
      <alignment horizontal="left" vertical="center"/>
    </xf>
    <xf numFmtId="9" fontId="39" fillId="5" borderId="1" xfId="0" applyNumberFormat="1" applyFont="1" applyFill="1" applyBorder="1" applyAlignment="1">
      <alignment vertical="center"/>
    </xf>
    <xf numFmtId="0" fontId="15" fillId="3" borderId="44" xfId="0" applyFont="1" applyFill="1" applyBorder="1" applyAlignment="1">
      <alignment horizontal="left" vertical="center" indent="1"/>
    </xf>
    <xf numFmtId="0" fontId="38" fillId="5" borderId="0" xfId="0" applyFont="1" applyFill="1" applyAlignment="1">
      <alignment horizontal="left" vertical="center" indent="1"/>
    </xf>
    <xf numFmtId="0" fontId="0" fillId="0" borderId="0" xfId="0" applyAlignment="1">
      <alignment vertical="center"/>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0" fillId="0" borderId="0" xfId="0" applyAlignment="1">
      <alignment horizontal="center"/>
    </xf>
    <xf numFmtId="14" fontId="0" fillId="0" borderId="0" xfId="0" applyNumberFormat="1" applyAlignment="1">
      <alignment vertical="center"/>
    </xf>
    <xf numFmtId="0" fontId="0" fillId="5" borderId="0" xfId="0" applyFill="1" applyAlignment="1">
      <alignment horizontal="left" vertical="center"/>
    </xf>
    <xf numFmtId="4" fontId="20" fillId="5" borderId="0" xfId="0" applyNumberFormat="1" applyFont="1" applyFill="1" applyAlignment="1">
      <alignment vertical="center" shrinkToFit="1"/>
    </xf>
    <xf numFmtId="4" fontId="21" fillId="5" borderId="0" xfId="0" applyNumberFormat="1" applyFont="1" applyFill="1" applyAlignment="1">
      <alignment vertical="center" shrinkToFit="1"/>
    </xf>
    <xf numFmtId="4" fontId="22" fillId="5" borderId="0" xfId="0" applyNumberFormat="1" applyFont="1" applyFill="1" applyAlignment="1">
      <alignment vertical="center" shrinkToFit="1"/>
    </xf>
    <xf numFmtId="4" fontId="23" fillId="5" borderId="0" xfId="0" applyNumberFormat="1" applyFont="1" applyFill="1" applyAlignment="1">
      <alignment vertical="center" shrinkToFit="1"/>
    </xf>
    <xf numFmtId="4" fontId="24" fillId="5" borderId="0" xfId="0" applyNumberFormat="1" applyFont="1" applyFill="1" applyAlignment="1">
      <alignment vertical="center" shrinkToFit="1"/>
    </xf>
    <xf numFmtId="4" fontId="25" fillId="5" borderId="0" xfId="0" applyNumberFormat="1" applyFont="1" applyFill="1" applyAlignment="1">
      <alignment vertical="center" shrinkToFit="1"/>
    </xf>
    <xf numFmtId="4" fontId="26" fillId="5" borderId="0" xfId="0" applyNumberFormat="1" applyFont="1" applyFill="1" applyAlignment="1">
      <alignment vertical="center" shrinkToFit="1"/>
    </xf>
    <xf numFmtId="4" fontId="27" fillId="5" borderId="0" xfId="0" applyNumberFormat="1" applyFont="1" applyFill="1" applyAlignment="1">
      <alignment vertical="center" shrinkToFit="1"/>
    </xf>
    <xf numFmtId="4" fontId="37" fillId="5" borderId="0" xfId="0" applyNumberFormat="1" applyFont="1" applyFill="1" applyAlignment="1">
      <alignment vertical="center" shrinkToFit="1"/>
    </xf>
    <xf numFmtId="4" fontId="28" fillId="5" borderId="0" xfId="0" applyNumberFormat="1" applyFont="1" applyFill="1" applyAlignment="1">
      <alignment vertical="center" shrinkToFit="1"/>
    </xf>
    <xf numFmtId="4" fontId="29" fillId="5" borderId="0" xfId="0" applyNumberFormat="1" applyFont="1" applyFill="1" applyAlignment="1">
      <alignment vertical="center" shrinkToFit="1"/>
    </xf>
    <xf numFmtId="4" fontId="39" fillId="5" borderId="0" xfId="0" applyNumberFormat="1" applyFont="1" applyFill="1" applyAlignment="1">
      <alignment vertical="center" shrinkToFit="1"/>
    </xf>
    <xf numFmtId="4" fontId="30" fillId="5" borderId="0" xfId="0" applyNumberFormat="1" applyFont="1" applyFill="1" applyAlignment="1">
      <alignment vertical="center" shrinkToFit="1"/>
    </xf>
    <xf numFmtId="4" fontId="17" fillId="10" borderId="48" xfId="0" applyNumberFormat="1" applyFont="1" applyFill="1" applyBorder="1" applyAlignment="1">
      <alignment vertical="center" shrinkToFit="1"/>
    </xf>
    <xf numFmtId="4" fontId="41" fillId="5" borderId="0" xfId="0" applyNumberFormat="1" applyFont="1" applyFill="1" applyAlignment="1">
      <alignment vertical="center" shrinkToFit="1"/>
    </xf>
    <xf numFmtId="9" fontId="41" fillId="5" borderId="1" xfId="0" applyNumberFormat="1" applyFont="1" applyFill="1" applyBorder="1" applyAlignment="1">
      <alignment vertical="center"/>
    </xf>
    <xf numFmtId="0" fontId="1" fillId="5" borderId="0" xfId="0" applyFont="1" applyFill="1"/>
    <xf numFmtId="1" fontId="0" fillId="5" borderId="0" xfId="0" applyNumberFormat="1" applyFill="1" applyAlignment="1">
      <alignment horizontal="center"/>
    </xf>
    <xf numFmtId="0" fontId="0" fillId="5" borderId="0" xfId="0" applyFill="1"/>
    <xf numFmtId="0" fontId="1" fillId="5" borderId="9" xfId="0" applyFont="1" applyFill="1" applyBorder="1" applyAlignment="1">
      <alignment horizontal="center" wrapText="1"/>
    </xf>
    <xf numFmtId="4" fontId="1" fillId="5" borderId="10" xfId="0" applyNumberFormat="1" applyFont="1" applyFill="1" applyBorder="1" applyAlignment="1">
      <alignment horizontal="center" wrapText="1"/>
    </xf>
    <xf numFmtId="0" fontId="1" fillId="5" borderId="10" xfId="0" applyFont="1" applyFill="1" applyBorder="1" applyAlignment="1">
      <alignment horizontal="center" wrapText="1"/>
    </xf>
    <xf numFmtId="0" fontId="1" fillId="5" borderId="55" xfId="0" applyFont="1" applyFill="1" applyBorder="1" applyAlignment="1">
      <alignment horizontal="center" wrapText="1"/>
    </xf>
    <xf numFmtId="0" fontId="1" fillId="5" borderId="56" xfId="0" applyFont="1" applyFill="1" applyBorder="1" applyAlignment="1">
      <alignment horizontal="center" wrapText="1"/>
    </xf>
    <xf numFmtId="0" fontId="1" fillId="5" borderId="51" xfId="0" applyFont="1" applyFill="1" applyBorder="1" applyAlignment="1">
      <alignment horizontal="center" wrapText="1"/>
    </xf>
    <xf numFmtId="0" fontId="0" fillId="5" borderId="0" xfId="0" applyFill="1" applyAlignment="1">
      <alignment horizontal="center" wrapText="1"/>
    </xf>
    <xf numFmtId="0" fontId="1" fillId="5" borderId="54" xfId="0" applyFont="1" applyFill="1" applyBorder="1"/>
    <xf numFmtId="4" fontId="0" fillId="5" borderId="17" xfId="0" applyNumberFormat="1" applyFill="1" applyBorder="1"/>
    <xf numFmtId="4" fontId="0" fillId="5" borderId="19" xfId="0" applyNumberFormat="1" applyFill="1" applyBorder="1"/>
    <xf numFmtId="4" fontId="0" fillId="5" borderId="21" xfId="0" applyNumberFormat="1" applyFill="1" applyBorder="1"/>
    <xf numFmtId="0" fontId="1" fillId="5" borderId="52" xfId="0" applyFont="1" applyFill="1" applyBorder="1"/>
    <xf numFmtId="4" fontId="0" fillId="5" borderId="0" xfId="0" applyNumberFormat="1" applyFill="1"/>
    <xf numFmtId="4" fontId="0" fillId="5" borderId="2" xfId="0" applyNumberFormat="1" applyFill="1" applyBorder="1"/>
    <xf numFmtId="4" fontId="0" fillId="5" borderId="25" xfId="0" applyNumberFormat="1" applyFill="1" applyBorder="1"/>
    <xf numFmtId="0" fontId="1" fillId="5" borderId="12" xfId="0" applyFont="1" applyFill="1" applyBorder="1"/>
    <xf numFmtId="4" fontId="0" fillId="5" borderId="13" xfId="0" applyNumberFormat="1" applyFill="1" applyBorder="1"/>
    <xf numFmtId="4" fontId="0" fillId="5" borderId="34" xfId="0" applyNumberFormat="1" applyFill="1" applyBorder="1"/>
    <xf numFmtId="4" fontId="0" fillId="5" borderId="35" xfId="0" applyNumberFormat="1" applyFill="1" applyBorder="1"/>
    <xf numFmtId="0" fontId="1" fillId="5" borderId="53" xfId="0" applyFont="1" applyFill="1" applyBorder="1"/>
    <xf numFmtId="4" fontId="0" fillId="5" borderId="29" xfId="0" applyNumberFormat="1" applyFill="1" applyBorder="1"/>
    <xf numFmtId="4" fontId="0" fillId="5" borderId="57" xfId="0" applyNumberFormat="1" applyFill="1" applyBorder="1"/>
    <xf numFmtId="4" fontId="0" fillId="5" borderId="58" xfId="0" applyNumberFormat="1" applyFill="1" applyBorder="1"/>
    <xf numFmtId="4" fontId="4" fillId="7" borderId="7" xfId="0" applyNumberFormat="1"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164" fontId="0" fillId="5" borderId="0" xfId="0" applyNumberFormat="1" applyFill="1" applyAlignment="1">
      <alignment vertical="center" wrapText="1"/>
    </xf>
    <xf numFmtId="164" fontId="0" fillId="5" borderId="0" xfId="0" applyNumberFormat="1" applyFill="1" applyAlignment="1">
      <alignment horizontal="left" vertical="center" wrapText="1" indent="2"/>
    </xf>
    <xf numFmtId="0" fontId="0" fillId="0" borderId="0" xfId="0" applyAlignment="1">
      <alignment horizontal="left" vertical="center" wrapText="1" indent="2"/>
    </xf>
    <xf numFmtId="0" fontId="0" fillId="0" borderId="48" xfId="0" applyBorder="1" applyAlignment="1">
      <alignment horizontal="left" vertical="center" wrapText="1" indent="2"/>
    </xf>
    <xf numFmtId="4" fontId="32" fillId="4" borderId="0" xfId="0" applyNumberFormat="1" applyFont="1" applyFill="1" applyAlignment="1">
      <alignment horizontal="right" vertical="top" indent="1" shrinkToFit="1"/>
    </xf>
    <xf numFmtId="0" fontId="0" fillId="4" borderId="0" xfId="0" applyFill="1" applyAlignment="1">
      <alignment horizontal="right" indent="1" shrinkToFit="1"/>
    </xf>
    <xf numFmtId="0" fontId="0" fillId="4" borderId="48" xfId="0" applyFill="1" applyBorder="1" applyAlignment="1">
      <alignment horizontal="right" indent="1" shrinkToFit="1"/>
    </xf>
    <xf numFmtId="0" fontId="12" fillId="7" borderId="7" xfId="0" applyFont="1" applyFill="1" applyBorder="1" applyAlignment="1">
      <alignment horizontal="center" vertical="center"/>
    </xf>
    <xf numFmtId="0" fontId="12" fillId="7" borderId="8" xfId="0" applyFont="1" applyFill="1" applyBorder="1" applyAlignment="1">
      <alignment horizontal="center" vertical="center"/>
    </xf>
    <xf numFmtId="0" fontId="18" fillId="5" borderId="0" xfId="0" applyFont="1" applyFill="1" applyAlignment="1">
      <alignment vertical="center"/>
    </xf>
    <xf numFmtId="0" fontId="0" fillId="0" borderId="0" xfId="0" applyAlignment="1">
      <alignment vertical="center"/>
    </xf>
    <xf numFmtId="4" fontId="32" fillId="5" borderId="0" xfId="0" applyNumberFormat="1" applyFont="1" applyFill="1" applyAlignment="1">
      <alignment horizontal="right" vertical="top" indent="1" shrinkToFit="1"/>
    </xf>
    <xf numFmtId="0" fontId="0" fillId="0" borderId="0" xfId="0" applyAlignment="1">
      <alignment horizontal="right" indent="1" shrinkToFit="1"/>
    </xf>
    <xf numFmtId="4" fontId="0" fillId="4" borderId="0" xfId="0" applyNumberFormat="1" applyFill="1" applyAlignment="1">
      <alignment horizontal="right" indent="1" shrinkToFit="1"/>
    </xf>
    <xf numFmtId="0" fontId="33" fillId="16" borderId="0" xfId="0" applyFont="1" applyFill="1" applyAlignment="1">
      <alignment horizontal="left" vertical="center" wrapText="1"/>
    </xf>
    <xf numFmtId="0" fontId="34" fillId="16" borderId="0" xfId="0" applyFont="1" applyFill="1" applyAlignment="1">
      <alignment horizontal="left" vertical="center" wrapText="1"/>
    </xf>
    <xf numFmtId="0" fontId="40" fillId="5" borderId="0" xfId="0" applyFont="1" applyFill="1" applyAlignment="1">
      <alignment horizontal="left" vertical="center" wrapText="1" indent="2"/>
    </xf>
    <xf numFmtId="0" fontId="40" fillId="0" borderId="0" xfId="0" applyFont="1" applyAlignment="1">
      <alignment horizontal="left" vertical="center" wrapText="1" indent="2"/>
    </xf>
    <xf numFmtId="0" fontId="40" fillId="0" borderId="1" xfId="0" applyFont="1" applyBorder="1" applyAlignment="1">
      <alignment horizontal="left" vertical="center" wrapText="1" indent="2"/>
    </xf>
    <xf numFmtId="0" fontId="13" fillId="7"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6" borderId="11" xfId="0" applyFont="1" applyFill="1" applyBorder="1" applyAlignment="1">
      <alignment horizontal="center" vertical="center" wrapText="1"/>
    </xf>
    <xf numFmtId="0" fontId="3" fillId="6" borderId="14" xfId="0" applyFont="1" applyFill="1" applyBorder="1" applyAlignment="1">
      <alignment horizontal="center" vertical="center"/>
    </xf>
    <xf numFmtId="0" fontId="6" fillId="9" borderId="16" xfId="0" applyFont="1" applyFill="1" applyBorder="1" applyAlignment="1">
      <alignment vertical="center" textRotation="90"/>
    </xf>
    <xf numFmtId="0" fontId="1" fillId="9" borderId="22" xfId="0" applyFont="1" applyFill="1" applyBorder="1" applyAlignment="1">
      <alignment vertical="center" textRotation="90"/>
    </xf>
    <xf numFmtId="0" fontId="1" fillId="9" borderId="26" xfId="0" applyFont="1" applyFill="1" applyBorder="1" applyAlignment="1">
      <alignment vertical="center" textRotation="90"/>
    </xf>
    <xf numFmtId="43" fontId="9" fillId="6" borderId="36" xfId="0" applyNumberFormat="1" applyFont="1" applyFill="1" applyBorder="1" applyAlignment="1">
      <alignment horizontal="center" vertical="center" wrapText="1"/>
    </xf>
    <xf numFmtId="43" fontId="9" fillId="6" borderId="37" xfId="0" applyNumberFormat="1" applyFont="1" applyFill="1" applyBorder="1" applyAlignment="1">
      <alignment horizontal="center" vertical="center" wrapText="1"/>
    </xf>
    <xf numFmtId="43" fontId="9" fillId="6" borderId="38" xfId="0" applyNumberFormat="1" applyFont="1" applyFill="1" applyBorder="1" applyAlignment="1">
      <alignment horizontal="center" vertical="center" wrapText="1"/>
    </xf>
    <xf numFmtId="43" fontId="11" fillId="6" borderId="39" xfId="0" applyNumberFormat="1" applyFont="1" applyFill="1" applyBorder="1" applyAlignment="1">
      <alignment horizontal="center" vertical="center" wrapText="1"/>
    </xf>
    <xf numFmtId="43" fontId="11" fillId="6" borderId="40" xfId="0" applyNumberFormat="1" applyFont="1" applyFill="1" applyBorder="1" applyAlignment="1">
      <alignment horizontal="center" vertical="center" wrapText="1"/>
    </xf>
    <xf numFmtId="43" fontId="9" fillId="6" borderId="41" xfId="0" applyNumberFormat="1" applyFont="1" applyFill="1" applyBorder="1" applyAlignment="1">
      <alignment horizontal="center" vertical="center" wrapText="1"/>
    </xf>
    <xf numFmtId="43" fontId="11" fillId="6" borderId="42" xfId="0" applyNumberFormat="1" applyFont="1" applyFill="1" applyBorder="1" applyAlignment="1">
      <alignment horizontal="center" vertical="center" wrapText="1"/>
    </xf>
    <xf numFmtId="43" fontId="11" fillId="6" borderId="43" xfId="0" applyNumberFormat="1" applyFont="1" applyFill="1" applyBorder="1" applyAlignment="1">
      <alignment horizontal="center" vertical="center" wrapText="1"/>
    </xf>
    <xf numFmtId="0" fontId="8" fillId="11" borderId="16"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26" xfId="0" applyFont="1" applyFill="1" applyBorder="1" applyAlignment="1">
      <alignment horizontal="center" vertical="center"/>
    </xf>
    <xf numFmtId="0" fontId="5" fillId="14" borderId="11" xfId="0" applyFont="1" applyFill="1" applyBorder="1" applyAlignment="1">
      <alignment horizontal="center" vertical="center" wrapText="1"/>
    </xf>
    <xf numFmtId="0" fontId="3" fillId="14" borderId="14" xfId="0" applyFont="1" applyFill="1" applyBorder="1" applyAlignment="1">
      <alignment horizontal="center" vertical="center"/>
    </xf>
    <xf numFmtId="0" fontId="6" fillId="11" borderId="16" xfId="0" applyFont="1" applyFill="1" applyBorder="1" applyAlignment="1">
      <alignment vertical="center" textRotation="90"/>
    </xf>
    <xf numFmtId="0" fontId="6" fillId="11" borderId="22" xfId="0" applyFont="1" applyFill="1" applyBorder="1" applyAlignment="1">
      <alignment vertical="center" textRotation="90"/>
    </xf>
    <xf numFmtId="0" fontId="6" fillId="11" borderId="32" xfId="0" applyFont="1" applyFill="1" applyBorder="1" applyAlignment="1">
      <alignment vertical="center" textRotation="90"/>
    </xf>
    <xf numFmtId="43" fontId="9" fillId="14" borderId="36" xfId="0" applyNumberFormat="1" applyFont="1" applyFill="1" applyBorder="1" applyAlignment="1">
      <alignment horizontal="center" vertical="center" wrapText="1"/>
    </xf>
    <xf numFmtId="43" fontId="9" fillId="14" borderId="37" xfId="0" applyNumberFormat="1" applyFont="1" applyFill="1" applyBorder="1" applyAlignment="1">
      <alignment horizontal="center" vertical="center" wrapText="1"/>
    </xf>
    <xf numFmtId="43" fontId="9" fillId="14" borderId="38" xfId="0" applyNumberFormat="1" applyFont="1" applyFill="1" applyBorder="1" applyAlignment="1">
      <alignment horizontal="center" vertical="center" wrapText="1"/>
    </xf>
    <xf numFmtId="43" fontId="9" fillId="14" borderId="41" xfId="0" applyNumberFormat="1" applyFont="1" applyFill="1" applyBorder="1" applyAlignment="1">
      <alignment horizontal="center" vertical="center" wrapText="1"/>
    </xf>
    <xf numFmtId="43" fontId="11" fillId="14" borderId="39" xfId="0" applyNumberFormat="1" applyFont="1" applyFill="1" applyBorder="1" applyAlignment="1">
      <alignment horizontal="center" vertical="center" wrapText="1"/>
    </xf>
    <xf numFmtId="43" fontId="11" fillId="14" borderId="40" xfId="0" applyNumberFormat="1" applyFont="1" applyFill="1" applyBorder="1" applyAlignment="1">
      <alignment horizontal="center" vertical="center" wrapText="1"/>
    </xf>
    <xf numFmtId="43" fontId="11" fillId="14" borderId="42" xfId="0" applyNumberFormat="1" applyFont="1" applyFill="1" applyBorder="1" applyAlignment="1">
      <alignment horizontal="center" vertical="center" wrapText="1"/>
    </xf>
    <xf numFmtId="43" fontId="11" fillId="14" borderId="43" xfId="0" applyNumberFormat="1" applyFont="1" applyFill="1" applyBorder="1" applyAlignment="1">
      <alignment horizontal="center" vertical="center" wrapText="1"/>
    </xf>
    <xf numFmtId="0" fontId="6" fillId="13" borderId="16" xfId="0" applyFont="1" applyFill="1" applyBorder="1" applyAlignment="1">
      <alignment vertical="center" textRotation="90"/>
    </xf>
    <xf numFmtId="0" fontId="1" fillId="13" borderId="22" xfId="0" applyFont="1" applyFill="1" applyBorder="1" applyAlignment="1">
      <alignment vertical="center" textRotation="90"/>
    </xf>
    <xf numFmtId="0" fontId="1" fillId="13" borderId="26" xfId="0" applyFont="1" applyFill="1" applyBorder="1" applyAlignment="1">
      <alignment vertical="center" textRotation="90"/>
    </xf>
    <xf numFmtId="0" fontId="5" fillId="15" borderId="11" xfId="0" applyFont="1" applyFill="1" applyBorder="1" applyAlignment="1">
      <alignment horizontal="center" vertical="center" wrapText="1"/>
    </xf>
    <xf numFmtId="0" fontId="3" fillId="15" borderId="14" xfId="0" applyFont="1" applyFill="1" applyBorder="1" applyAlignment="1">
      <alignment horizontal="center" vertical="center"/>
    </xf>
    <xf numFmtId="43" fontId="9" fillId="15" borderId="36" xfId="0" applyNumberFormat="1" applyFont="1" applyFill="1" applyBorder="1" applyAlignment="1">
      <alignment horizontal="center" vertical="center" wrapText="1"/>
    </xf>
    <xf numFmtId="43" fontId="9" fillId="15" borderId="37" xfId="0" applyNumberFormat="1" applyFont="1" applyFill="1" applyBorder="1" applyAlignment="1">
      <alignment horizontal="center" vertical="center" wrapText="1"/>
    </xf>
    <xf numFmtId="43" fontId="9" fillId="15" borderId="38" xfId="0" applyNumberFormat="1" applyFont="1" applyFill="1" applyBorder="1" applyAlignment="1">
      <alignment horizontal="center" vertical="center" wrapText="1"/>
    </xf>
    <xf numFmtId="43" fontId="9" fillId="15" borderId="41" xfId="0" applyNumberFormat="1" applyFont="1" applyFill="1" applyBorder="1" applyAlignment="1">
      <alignment horizontal="center" vertical="center" wrapText="1"/>
    </xf>
    <xf numFmtId="43" fontId="11" fillId="15" borderId="39" xfId="0" applyNumberFormat="1" applyFont="1" applyFill="1" applyBorder="1" applyAlignment="1">
      <alignment horizontal="center" vertical="center" wrapText="1"/>
    </xf>
    <xf numFmtId="43" fontId="11" fillId="15" borderId="40" xfId="0" applyNumberFormat="1" applyFont="1" applyFill="1" applyBorder="1" applyAlignment="1">
      <alignment horizontal="center" vertical="center" wrapText="1"/>
    </xf>
    <xf numFmtId="43" fontId="11" fillId="15" borderId="42" xfId="0" applyNumberFormat="1" applyFont="1" applyFill="1" applyBorder="1" applyAlignment="1">
      <alignment horizontal="center" vertical="center" wrapText="1"/>
    </xf>
    <xf numFmtId="43" fontId="11" fillId="15" borderId="43" xfId="0" applyNumberFormat="1" applyFont="1" applyFill="1" applyBorder="1" applyAlignment="1">
      <alignment horizontal="center" vertical="center" wrapText="1"/>
    </xf>
  </cellXfs>
  <cellStyles count="1">
    <cellStyle name="Normal" xfId="0" builtinId="0"/>
  </cellStyles>
  <dxfs count="15">
    <dxf>
      <font>
        <color rgb="FFFF0000"/>
      </font>
    </dxf>
    <dxf>
      <font>
        <color theme="4" tint="0.39994506668294322"/>
      </font>
    </dxf>
    <dxf>
      <font>
        <color rgb="FFFF0000"/>
      </font>
    </dxf>
    <dxf>
      <font>
        <color rgb="FFFF0000"/>
      </font>
    </dxf>
    <dxf>
      <numFmt numFmtId="4" formatCode="#,##0.00"/>
      <fill>
        <patternFill patternType="solid">
          <fgColor indexed="64"/>
          <bgColor theme="0" tint="-4.9989318521683403E-2"/>
        </patternFill>
      </fill>
      <alignment horizontal="general" vertical="center" textRotation="0" wrapText="0" indent="0" justifyLastLine="0" shrinkToFit="0" readingOrder="0"/>
      <border diagonalUp="0" diagonalDown="0">
        <left style="thin">
          <color theme="0" tint="-0.24994659260841701"/>
        </left>
        <right/>
        <top/>
        <bottom/>
        <vertical/>
        <horizontal/>
      </border>
    </dxf>
    <dxf>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tint="-0.24994659260841701"/>
        </left>
        <right style="thin">
          <color theme="0" tint="-0.24994659260841701"/>
        </right>
        <top/>
        <bottom/>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numFmt numFmtId="164" formatCode="[$-409]d\-mmm\-yyyy;@"/>
      <fill>
        <patternFill patternType="solid">
          <fgColor indexed="64"/>
          <bgColor rgb="FFFFFFCC"/>
        </patternFill>
      </fill>
      <alignment horizontal="general" vertical="center" textRotation="0" wrapText="0" indent="0" justifyLastLine="0" shrinkToFit="0" readingOrder="0"/>
      <border diagonalUp="0" diagonalDown="0">
        <left/>
        <right style="thin">
          <color theme="0" tint="-0.24994659260841701"/>
        </right>
        <top/>
        <bottom/>
        <vertical/>
        <horizontal/>
      </border>
    </dxf>
    <dxf>
      <border outline="0">
        <left style="thin">
          <color auto="1"/>
        </left>
        <right style="thin">
          <color auto="1"/>
        </right>
      </border>
    </dxf>
    <dxf>
      <font>
        <b/>
        <i val="0"/>
        <strike val="0"/>
        <condense val="0"/>
        <extend val="0"/>
        <outline val="0"/>
        <shadow val="0"/>
        <u val="none"/>
        <vertAlign val="baseline"/>
        <sz val="11"/>
        <color theme="0"/>
        <name val="Aptos Display"/>
        <family val="2"/>
        <scheme val="maj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bottom/>
      </border>
    </dxf>
  </dxfs>
  <tableStyles count="0" defaultTableStyle="TableStyleMedium2" defaultPivotStyle="PivotStyleLight16"/>
  <colors>
    <mruColors>
      <color rgb="FF9999FF"/>
      <color rgb="FFFFFFCC"/>
      <color rgb="FFCC9900"/>
      <color rgb="FFDF17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5729567708034E-2"/>
          <c:y val="5.4633044287185619E-3"/>
          <c:w val="0.39729731936661306"/>
          <c:h val="0.99453669557128144"/>
        </c:manualLayout>
      </c:layout>
      <c:doughnutChart>
        <c:varyColors val="1"/>
        <c:ser>
          <c:idx val="0"/>
          <c:order val="0"/>
          <c:spPr>
            <a:ln>
              <a:noFill/>
            </a:ln>
          </c:spPr>
          <c:dPt>
            <c:idx val="0"/>
            <c:bubble3D val="0"/>
            <c:spPr>
              <a:solidFill>
                <a:srgbClr val="C00000"/>
              </a:solidFill>
              <a:ln w="19050">
                <a:noFill/>
              </a:ln>
              <a:effectLst/>
            </c:spPr>
            <c:extLst>
              <c:ext xmlns:c16="http://schemas.microsoft.com/office/drawing/2014/chart" uri="{C3380CC4-5D6E-409C-BE32-E72D297353CC}">
                <c16:uniqueId val="{00000003-20A7-4C4D-BC0C-70A1A8C71D6C}"/>
              </c:ext>
            </c:extLst>
          </c:dPt>
          <c:dPt>
            <c:idx val="1"/>
            <c:bubble3D val="0"/>
            <c:spPr>
              <a:solidFill>
                <a:schemeClr val="accent3"/>
              </a:solidFill>
              <a:ln w="19050">
                <a:noFill/>
              </a:ln>
              <a:effectLst/>
            </c:spPr>
            <c:extLst>
              <c:ext xmlns:c16="http://schemas.microsoft.com/office/drawing/2014/chart" uri="{C3380CC4-5D6E-409C-BE32-E72D297353CC}">
                <c16:uniqueId val="{00000004-20A7-4C4D-BC0C-70A1A8C71D6C}"/>
              </c:ext>
            </c:extLst>
          </c:dPt>
          <c:dPt>
            <c:idx val="2"/>
            <c:bubble3D val="0"/>
            <c:spPr>
              <a:solidFill>
                <a:srgbClr val="FFC000"/>
              </a:solidFill>
              <a:ln w="19050">
                <a:noFill/>
              </a:ln>
              <a:effectLst/>
            </c:spPr>
            <c:extLst>
              <c:ext xmlns:c16="http://schemas.microsoft.com/office/drawing/2014/chart" uri="{C3380CC4-5D6E-409C-BE32-E72D297353CC}">
                <c16:uniqueId val="{00000005-20A7-4C4D-BC0C-70A1A8C71D6C}"/>
              </c:ext>
            </c:extLst>
          </c:dPt>
          <c:dPt>
            <c:idx val="3"/>
            <c:bubble3D val="0"/>
            <c:spPr>
              <a:solidFill>
                <a:schemeClr val="accent2"/>
              </a:solidFill>
              <a:ln w="19050">
                <a:noFill/>
              </a:ln>
              <a:effectLst/>
            </c:spPr>
            <c:extLst>
              <c:ext xmlns:c16="http://schemas.microsoft.com/office/drawing/2014/chart" uri="{C3380CC4-5D6E-409C-BE32-E72D297353CC}">
                <c16:uniqueId val="{00000006-20A7-4C4D-BC0C-70A1A8C71D6C}"/>
              </c:ext>
            </c:extLst>
          </c:dPt>
          <c:dPt>
            <c:idx val="4"/>
            <c:bubble3D val="0"/>
            <c:spPr>
              <a:solidFill>
                <a:schemeClr val="accent4">
                  <a:lumMod val="75000"/>
                </a:schemeClr>
              </a:solidFill>
              <a:ln w="19050">
                <a:noFill/>
              </a:ln>
              <a:effectLst/>
            </c:spPr>
            <c:extLst>
              <c:ext xmlns:c16="http://schemas.microsoft.com/office/drawing/2014/chart" uri="{C3380CC4-5D6E-409C-BE32-E72D297353CC}">
                <c16:uniqueId val="{00000007-20A7-4C4D-BC0C-70A1A8C71D6C}"/>
              </c:ext>
            </c:extLst>
          </c:dPt>
          <c:dPt>
            <c:idx val="5"/>
            <c:bubble3D val="0"/>
            <c:spPr>
              <a:solidFill>
                <a:schemeClr val="accent5"/>
              </a:solidFill>
              <a:ln w="19050">
                <a:noFill/>
              </a:ln>
              <a:effectLst/>
            </c:spPr>
            <c:extLst>
              <c:ext xmlns:c16="http://schemas.microsoft.com/office/drawing/2014/chart" uri="{C3380CC4-5D6E-409C-BE32-E72D297353CC}">
                <c16:uniqueId val="{00000008-20A7-4C4D-BC0C-70A1A8C71D6C}"/>
              </c:ext>
            </c:extLst>
          </c:dPt>
          <c:dPt>
            <c:idx val="6"/>
            <c:bubble3D val="0"/>
            <c:spPr>
              <a:solidFill>
                <a:schemeClr val="accent6"/>
              </a:solidFill>
              <a:ln w="19050">
                <a:noFill/>
              </a:ln>
              <a:effectLst/>
            </c:spPr>
            <c:extLst>
              <c:ext xmlns:c16="http://schemas.microsoft.com/office/drawing/2014/chart" uri="{C3380CC4-5D6E-409C-BE32-E72D297353CC}">
                <c16:uniqueId val="{00000009-20A7-4C4D-BC0C-70A1A8C71D6C}"/>
              </c:ext>
            </c:extLst>
          </c:dPt>
          <c:dPt>
            <c:idx val="7"/>
            <c:bubble3D val="0"/>
            <c:spPr>
              <a:solidFill>
                <a:srgbClr val="DF177B"/>
              </a:solidFill>
              <a:ln w="19050">
                <a:noFill/>
              </a:ln>
              <a:effectLst/>
            </c:spPr>
            <c:extLst>
              <c:ext xmlns:c16="http://schemas.microsoft.com/office/drawing/2014/chart" uri="{C3380CC4-5D6E-409C-BE32-E72D297353CC}">
                <c16:uniqueId val="{0000000A-20A7-4C4D-BC0C-70A1A8C71D6C}"/>
              </c:ext>
            </c:extLst>
          </c:dPt>
          <c:dPt>
            <c:idx val="8"/>
            <c:bubble3D val="0"/>
            <c:spPr>
              <a:solidFill>
                <a:schemeClr val="accent6">
                  <a:lumMod val="60000"/>
                  <a:lumOff val="40000"/>
                </a:schemeClr>
              </a:solidFill>
              <a:ln w="19050">
                <a:noFill/>
              </a:ln>
              <a:effectLst/>
            </c:spPr>
            <c:extLst>
              <c:ext xmlns:c16="http://schemas.microsoft.com/office/drawing/2014/chart" uri="{C3380CC4-5D6E-409C-BE32-E72D297353CC}">
                <c16:uniqueId val="{0000000C-20A7-4C4D-BC0C-70A1A8C71D6C}"/>
              </c:ext>
            </c:extLst>
          </c:dPt>
          <c:dPt>
            <c:idx val="9"/>
            <c:bubble3D val="0"/>
            <c:spPr>
              <a:solidFill>
                <a:srgbClr val="9999FF"/>
              </a:solidFill>
              <a:ln w="19050">
                <a:noFill/>
              </a:ln>
              <a:effectLst/>
            </c:spPr>
            <c:extLst>
              <c:ext xmlns:c16="http://schemas.microsoft.com/office/drawing/2014/chart" uri="{C3380CC4-5D6E-409C-BE32-E72D297353CC}">
                <c16:uniqueId val="{0000000B-20A7-4C4D-BC0C-70A1A8C71D6C}"/>
              </c:ext>
            </c:extLst>
          </c:dPt>
          <c:dPt>
            <c:idx val="10"/>
            <c:bubble3D val="0"/>
            <c:spPr>
              <a:solidFill>
                <a:schemeClr val="accent5">
                  <a:lumMod val="60000"/>
                  <a:lumOff val="40000"/>
                </a:schemeClr>
              </a:solidFill>
              <a:ln w="19050">
                <a:noFill/>
              </a:ln>
              <a:effectLst/>
            </c:spPr>
            <c:extLst>
              <c:ext xmlns:c16="http://schemas.microsoft.com/office/drawing/2014/chart" uri="{C3380CC4-5D6E-409C-BE32-E72D297353CC}">
                <c16:uniqueId val="{0000000E-20A7-4C4D-BC0C-70A1A8C71D6C}"/>
              </c:ext>
            </c:extLst>
          </c:dPt>
          <c:dPt>
            <c:idx val="11"/>
            <c:bubble3D val="0"/>
            <c:spPr>
              <a:solidFill>
                <a:schemeClr val="accent4">
                  <a:lumMod val="40000"/>
                  <a:lumOff val="60000"/>
                </a:schemeClr>
              </a:solidFill>
              <a:ln w="19050">
                <a:noFill/>
              </a:ln>
              <a:effectLst/>
            </c:spPr>
            <c:extLst>
              <c:ext xmlns:c16="http://schemas.microsoft.com/office/drawing/2014/chart" uri="{C3380CC4-5D6E-409C-BE32-E72D297353CC}">
                <c16:uniqueId val="{00000017-6F53-45D8-987F-B2084E963DC6}"/>
              </c:ext>
            </c:extLst>
          </c:dPt>
          <c:dPt>
            <c:idx val="12"/>
            <c:bubble3D val="0"/>
            <c:spPr>
              <a:solidFill>
                <a:srgbClr val="CC9900"/>
              </a:solidFill>
              <a:ln w="19050">
                <a:noFill/>
              </a:ln>
              <a:effectLst/>
            </c:spPr>
            <c:extLst>
              <c:ext xmlns:c16="http://schemas.microsoft.com/office/drawing/2014/chart" uri="{C3380CC4-5D6E-409C-BE32-E72D297353CC}">
                <c16:uniqueId val="{0000000D-20A7-4C4D-BC0C-70A1A8C71D6C}"/>
              </c:ext>
            </c:extLst>
          </c:dPt>
          <c:dPt>
            <c:idx val="13"/>
            <c:bubble3D val="0"/>
            <c:spPr>
              <a:solidFill>
                <a:schemeClr val="tx1">
                  <a:lumMod val="50000"/>
                  <a:lumOff val="50000"/>
                </a:schemeClr>
              </a:solidFill>
              <a:ln w="19050">
                <a:noFill/>
              </a:ln>
              <a:effectLst/>
            </c:spPr>
            <c:extLst>
              <c:ext xmlns:c16="http://schemas.microsoft.com/office/drawing/2014/chart" uri="{C3380CC4-5D6E-409C-BE32-E72D297353CC}">
                <c16:uniqueId val="{0000000F-20A7-4C4D-BC0C-70A1A8C71D6C}"/>
              </c:ext>
            </c:extLst>
          </c:dPt>
          <c:cat>
            <c:strRef>
              <c:f>Summary!$D$8:$D$21</c:f>
              <c:strCache>
                <c:ptCount val="14"/>
                <c:pt idx="0">
                  <c:v>Food and Non Alcoholic Beverages</c:v>
                </c:pt>
                <c:pt idx="1">
                  <c:v>Alcohol and Tobacco</c:v>
                </c:pt>
                <c:pt idx="2">
                  <c:v>Clothing and Footwear</c:v>
                </c:pt>
                <c:pt idx="3">
                  <c:v>Housing</c:v>
                </c:pt>
                <c:pt idx="4">
                  <c:v>Furniture Household and Routine Home Maintenance</c:v>
                </c:pt>
                <c:pt idx="5">
                  <c:v>Health Out of Pocket</c:v>
                </c:pt>
                <c:pt idx="6">
                  <c:v>Transport</c:v>
                </c:pt>
                <c:pt idx="7">
                  <c:v>Information and Communication</c:v>
                </c:pt>
                <c:pt idx="8">
                  <c:v>Recreation and Culture</c:v>
                </c:pt>
                <c:pt idx="9">
                  <c:v>Education</c:v>
                </c:pt>
                <c:pt idx="10">
                  <c:v>Restaurants and Accommodation Services</c:v>
                </c:pt>
                <c:pt idx="11">
                  <c:v>Insurance and Financial Services</c:v>
                </c:pt>
                <c:pt idx="12">
                  <c:v>Personal and Miscellaneous Goods and Services</c:v>
                </c:pt>
                <c:pt idx="13">
                  <c:v>Other</c:v>
                </c:pt>
              </c:strCache>
            </c:strRef>
          </c:cat>
          <c:val>
            <c:numRef>
              <c:f>Summary!$F$8:$F$21</c:f>
              <c:numCache>
                <c:formatCode>#,##0.00</c:formatCode>
                <c:ptCount val="14"/>
                <c:pt idx="0">
                  <c:v>141.14326040931545</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20A7-4C4D-BC0C-70A1A8C71D6C}"/>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b"/>
      <c:legendEntry>
        <c:idx val="0"/>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3"/>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4"/>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5"/>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6"/>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7"/>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8"/>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9"/>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0"/>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1"/>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2"/>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3"/>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ayout>
        <c:manualLayout>
          <c:xMode val="edge"/>
          <c:yMode val="edge"/>
          <c:x val="0.4788257324192543"/>
          <c:y val="1.7519784710455497E-2"/>
          <c:w val="0.51086711589446165"/>
          <c:h val="0.97074773248280677"/>
        </c:manualLayout>
      </c:layout>
      <c:overlay val="0"/>
      <c:spPr>
        <a:noFill/>
        <a:ln>
          <a:noFill/>
        </a:ln>
        <a:effectLst/>
      </c:spPr>
      <c:txPr>
        <a:bodyPr rot="0" spcFirstLastPara="1" vertOverflow="ellipsis" vert="horz" wrap="square" anchor="ctr" anchorCtr="0"/>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266702</xdr:colOff>
      <xdr:row>4</xdr:row>
      <xdr:rowOff>19050</xdr:rowOff>
    </xdr:from>
    <xdr:to>
      <xdr:col>6</xdr:col>
      <xdr:colOff>781051</xdr:colOff>
      <xdr:row>4</xdr:row>
      <xdr:rowOff>4410075</xdr:rowOff>
    </xdr:to>
    <xdr:graphicFrame macro="">
      <xdr:nvGraphicFramePr>
        <xdr:cNvPr id="2" name="Chart 1">
          <a:extLst>
            <a:ext uri="{FF2B5EF4-FFF2-40B4-BE49-F238E27FC236}">
              <a16:creationId xmlns:a16="http://schemas.microsoft.com/office/drawing/2014/main" id="{1209301B-267A-7564-0F9E-1BF5F1D75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meechai_un_org/Documents/ICSC/2026%20Round/01%20Electronic%20Diary%20(English)%20G-II.xlsm" TargetMode="External"/><Relationship Id="rId2" Type="http://schemas.openxmlformats.org/officeDocument/2006/relationships/externalLinkPath" Target="https://unitednations-my.sharepoint.com/personal/meechai_un_org/Documents/ICSC/2026%20Round/01%20Electronic%20Diary%20(English)%20G-II.xlsm" TargetMode="External"/><Relationship Id="rId1" Type="http://schemas.openxmlformats.org/officeDocument/2006/relationships/externalLinkPath" Target="/personal/meechai_un_org/Documents/ICSC/2026%20Round/01%20Electronic%20Diary%20(English)%20G-I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Data Entry"/>
      <sheetName val="Summary"/>
      <sheetName val="Data Table"/>
      <sheetName val="Monthly Expenses"/>
      <sheetName val="Yearly and Infrequent Expenses"/>
      <sheetName val="FX Rates"/>
      <sheetName val="Reference"/>
      <sheetName val="Temp"/>
    </sheetNames>
    <sheetDataSet>
      <sheetData sheetId="0"/>
      <sheetData sheetId="1"/>
      <sheetData sheetId="2"/>
      <sheetData sheetId="3"/>
      <sheetData sheetId="4"/>
      <sheetData sheetId="5"/>
      <sheetData sheetId="6"/>
      <sheetData sheetId="7">
        <row r="1">
          <cell r="K1" t="str">
            <v>Inside</v>
          </cell>
          <cell r="N1" t="str">
            <v>Alcoholic Beverages and Tobacco</v>
          </cell>
          <cell r="AH1" t="str">
            <v>AFN</v>
          </cell>
        </row>
        <row r="2">
          <cell r="K2" t="str">
            <v>Outside</v>
          </cell>
          <cell r="N2" t="str">
            <v>Clothing and Footwear</v>
          </cell>
          <cell r="AH2" t="str">
            <v>AED</v>
          </cell>
        </row>
        <row r="3">
          <cell r="N3" t="str">
            <v>Communication</v>
          </cell>
          <cell r="AH3" t="str">
            <v>ALL</v>
          </cell>
        </row>
        <row r="4">
          <cell r="N4" t="str">
            <v>Education</v>
          </cell>
          <cell r="AH4" t="str">
            <v>AMD</v>
          </cell>
        </row>
        <row r="5">
          <cell r="N5" t="str">
            <v>Food and Non-Alcoholic Beverages</v>
          </cell>
          <cell r="AH5" t="str">
            <v>ANG</v>
          </cell>
        </row>
        <row r="6">
          <cell r="N6" t="str">
            <v>Furniture, Household Equipment and Home Maintenance</v>
          </cell>
          <cell r="AH6" t="str">
            <v>AOA</v>
          </cell>
        </row>
        <row r="7">
          <cell r="N7" t="str">
            <v>Health</v>
          </cell>
          <cell r="AH7" t="str">
            <v>ARS</v>
          </cell>
        </row>
        <row r="8">
          <cell r="N8" t="str">
            <v>Housing Expenditures</v>
          </cell>
          <cell r="AH8" t="str">
            <v>AUD</v>
          </cell>
        </row>
        <row r="9">
          <cell r="N9" t="str">
            <v>Miscellaneous Goods and Services</v>
          </cell>
          <cell r="AH9" t="str">
            <v>AWG</v>
          </cell>
        </row>
        <row r="10">
          <cell r="N10" t="str">
            <v>Other</v>
          </cell>
          <cell r="AH10" t="str">
            <v>AZN</v>
          </cell>
        </row>
        <row r="11">
          <cell r="N11" t="str">
            <v>Recreation and Culture</v>
          </cell>
          <cell r="AH11" t="str">
            <v>BAM</v>
          </cell>
        </row>
        <row r="12">
          <cell r="N12" t="str">
            <v>Restaurants and Hotels</v>
          </cell>
          <cell r="AH12" t="str">
            <v>BBD</v>
          </cell>
        </row>
        <row r="13">
          <cell r="N13" t="str">
            <v>Transport Purchases</v>
          </cell>
          <cell r="AH13" t="str">
            <v>BDT</v>
          </cell>
        </row>
        <row r="14">
          <cell r="N14" t="str">
            <v>Vehicles</v>
          </cell>
          <cell r="AH14" t="str">
            <v>BGN</v>
          </cell>
        </row>
        <row r="15">
          <cell r="AH15" t="str">
            <v>BHD</v>
          </cell>
        </row>
        <row r="16">
          <cell r="AH16" t="str">
            <v>BIF</v>
          </cell>
        </row>
        <row r="17">
          <cell r="AH17" t="str">
            <v>BMD</v>
          </cell>
        </row>
        <row r="18">
          <cell r="AH18" t="str">
            <v>BND</v>
          </cell>
        </row>
        <row r="19">
          <cell r="AH19" t="str">
            <v>BOB</v>
          </cell>
        </row>
        <row r="20">
          <cell r="AH20" t="str">
            <v>BRL</v>
          </cell>
        </row>
        <row r="21">
          <cell r="AH21" t="str">
            <v>BSD</v>
          </cell>
        </row>
        <row r="22">
          <cell r="AH22" t="str">
            <v>BTN</v>
          </cell>
        </row>
        <row r="23">
          <cell r="AH23" t="str">
            <v>BWP</v>
          </cell>
        </row>
        <row r="24">
          <cell r="AH24" t="str">
            <v>BYN</v>
          </cell>
        </row>
        <row r="25">
          <cell r="AH25" t="str">
            <v>BZD</v>
          </cell>
        </row>
        <row r="26">
          <cell r="AH26" t="str">
            <v>CAD</v>
          </cell>
        </row>
        <row r="27">
          <cell r="AH27" t="str">
            <v>CDF</v>
          </cell>
        </row>
        <row r="28">
          <cell r="AH28" t="str">
            <v>CHF</v>
          </cell>
        </row>
        <row r="29">
          <cell r="AH29" t="str">
            <v>CLP</v>
          </cell>
        </row>
        <row r="30">
          <cell r="AH30" t="str">
            <v>CNY</v>
          </cell>
        </row>
        <row r="31">
          <cell r="AH31" t="str">
            <v>COP</v>
          </cell>
        </row>
        <row r="32">
          <cell r="AH32" t="str">
            <v>CRC</v>
          </cell>
        </row>
        <row r="33">
          <cell r="AH33" t="str">
            <v>CUP</v>
          </cell>
        </row>
        <row r="34">
          <cell r="AH34" t="str">
            <v>CVE</v>
          </cell>
        </row>
        <row r="35">
          <cell r="AH35" t="str">
            <v>CZK</v>
          </cell>
        </row>
        <row r="36">
          <cell r="AH36" t="str">
            <v>DJF</v>
          </cell>
        </row>
        <row r="37">
          <cell r="AH37" t="str">
            <v>DKK</v>
          </cell>
        </row>
        <row r="38">
          <cell r="AH38" t="str">
            <v>DOP</v>
          </cell>
        </row>
        <row r="39">
          <cell r="AH39" t="str">
            <v>DZD</v>
          </cell>
        </row>
        <row r="40">
          <cell r="AH40" t="str">
            <v>EGP</v>
          </cell>
        </row>
        <row r="41">
          <cell r="AH41" t="str">
            <v>ERN</v>
          </cell>
        </row>
        <row r="42">
          <cell r="AH42" t="str">
            <v>ETB</v>
          </cell>
        </row>
        <row r="43">
          <cell r="AH43" t="str">
            <v>EUR</v>
          </cell>
        </row>
        <row r="44">
          <cell r="AH44" t="str">
            <v>FJD</v>
          </cell>
        </row>
        <row r="45">
          <cell r="AH45" t="str">
            <v>GBP</v>
          </cell>
        </row>
        <row r="46">
          <cell r="AH46" t="str">
            <v>GEL</v>
          </cell>
        </row>
        <row r="47">
          <cell r="AH47" t="str">
            <v>GHS</v>
          </cell>
        </row>
        <row r="48">
          <cell r="AH48" t="str">
            <v>GMD</v>
          </cell>
        </row>
        <row r="49">
          <cell r="AH49" t="str">
            <v>GNF</v>
          </cell>
        </row>
        <row r="50">
          <cell r="AH50" t="str">
            <v>GTQ</v>
          </cell>
        </row>
        <row r="51">
          <cell r="AH51" t="str">
            <v>GYD</v>
          </cell>
        </row>
        <row r="52">
          <cell r="AH52" t="str">
            <v>HKD</v>
          </cell>
        </row>
        <row r="53">
          <cell r="AH53" t="str">
            <v>HNL</v>
          </cell>
        </row>
        <row r="54">
          <cell r="AH54" t="str">
            <v>HRK</v>
          </cell>
        </row>
        <row r="55">
          <cell r="AH55" t="str">
            <v>HTG</v>
          </cell>
        </row>
        <row r="56">
          <cell r="AH56" t="str">
            <v>HUF</v>
          </cell>
        </row>
        <row r="57">
          <cell r="AH57" t="str">
            <v>IDR</v>
          </cell>
        </row>
        <row r="58">
          <cell r="AH58" t="str">
            <v>ILS</v>
          </cell>
        </row>
        <row r="59">
          <cell r="AH59" t="str">
            <v>INR</v>
          </cell>
        </row>
        <row r="60">
          <cell r="AH60" t="str">
            <v>IQD</v>
          </cell>
        </row>
        <row r="61">
          <cell r="AH61" t="str">
            <v>IRR</v>
          </cell>
        </row>
        <row r="62">
          <cell r="AH62" t="str">
            <v>ISK</v>
          </cell>
        </row>
        <row r="63">
          <cell r="AH63" t="str">
            <v>JMD</v>
          </cell>
        </row>
        <row r="64">
          <cell r="AH64" t="str">
            <v>JOD</v>
          </cell>
        </row>
        <row r="65">
          <cell r="AH65" t="str">
            <v>JPY</v>
          </cell>
        </row>
        <row r="66">
          <cell r="AH66" t="str">
            <v>KES</v>
          </cell>
        </row>
        <row r="67">
          <cell r="AH67" t="str">
            <v>KGS</v>
          </cell>
        </row>
        <row r="68">
          <cell r="AH68" t="str">
            <v>KHR</v>
          </cell>
        </row>
        <row r="69">
          <cell r="AH69" t="str">
            <v>KMF</v>
          </cell>
        </row>
        <row r="70">
          <cell r="AH70" t="str">
            <v>KPW</v>
          </cell>
        </row>
        <row r="71">
          <cell r="AH71" t="str">
            <v>KRW</v>
          </cell>
        </row>
        <row r="72">
          <cell r="AH72" t="str">
            <v>KWD</v>
          </cell>
        </row>
        <row r="73">
          <cell r="AH73" t="str">
            <v>KYD</v>
          </cell>
        </row>
        <row r="74">
          <cell r="AH74" t="str">
            <v>KZT</v>
          </cell>
        </row>
        <row r="75">
          <cell r="AH75" t="str">
            <v>LAK</v>
          </cell>
        </row>
        <row r="76">
          <cell r="AH76" t="str">
            <v>LBP</v>
          </cell>
        </row>
        <row r="77">
          <cell r="AH77" t="str">
            <v>LKR</v>
          </cell>
        </row>
        <row r="78">
          <cell r="AH78" t="str">
            <v>LRD</v>
          </cell>
        </row>
        <row r="79">
          <cell r="AH79" t="str">
            <v>LSL</v>
          </cell>
        </row>
        <row r="80">
          <cell r="AH80" t="str">
            <v>LYD</v>
          </cell>
        </row>
        <row r="81">
          <cell r="AH81" t="str">
            <v>MAD</v>
          </cell>
        </row>
        <row r="82">
          <cell r="AH82" t="str">
            <v>MDL</v>
          </cell>
        </row>
        <row r="83">
          <cell r="AH83" t="str">
            <v>MGA</v>
          </cell>
        </row>
        <row r="84">
          <cell r="AH84" t="str">
            <v>MKD</v>
          </cell>
        </row>
        <row r="85">
          <cell r="AH85" t="str">
            <v>MMK</v>
          </cell>
        </row>
        <row r="86">
          <cell r="AH86" t="str">
            <v>MNT</v>
          </cell>
        </row>
        <row r="87">
          <cell r="AH87" t="str">
            <v>MOP</v>
          </cell>
        </row>
        <row r="88">
          <cell r="AH88" t="str">
            <v>MRU</v>
          </cell>
        </row>
        <row r="89">
          <cell r="AH89" t="str">
            <v>MUR</v>
          </cell>
        </row>
        <row r="90">
          <cell r="AH90" t="str">
            <v>MVR</v>
          </cell>
        </row>
        <row r="91">
          <cell r="AH91" t="str">
            <v>MWK</v>
          </cell>
        </row>
        <row r="92">
          <cell r="AH92" t="str">
            <v>MXN</v>
          </cell>
        </row>
        <row r="93">
          <cell r="AH93" t="str">
            <v>MYR</v>
          </cell>
        </row>
        <row r="94">
          <cell r="AH94" t="str">
            <v>MZN</v>
          </cell>
        </row>
        <row r="95">
          <cell r="AH95" t="str">
            <v>NAD</v>
          </cell>
        </row>
        <row r="96">
          <cell r="AH96" t="str">
            <v>NGN</v>
          </cell>
        </row>
        <row r="97">
          <cell r="AH97" t="str">
            <v>NIO</v>
          </cell>
        </row>
        <row r="98">
          <cell r="AH98" t="str">
            <v>NOK</v>
          </cell>
        </row>
        <row r="99">
          <cell r="AH99" t="str">
            <v>NPR</v>
          </cell>
        </row>
        <row r="100">
          <cell r="AH100" t="str">
            <v>NZD</v>
          </cell>
        </row>
        <row r="101">
          <cell r="AH101" t="str">
            <v>OMR</v>
          </cell>
        </row>
        <row r="102">
          <cell r="AH102" t="str">
            <v>PAB</v>
          </cell>
        </row>
        <row r="103">
          <cell r="AH103" t="str">
            <v>PEN</v>
          </cell>
        </row>
        <row r="104">
          <cell r="AH104" t="str">
            <v>PGK</v>
          </cell>
        </row>
        <row r="105">
          <cell r="AH105" t="str">
            <v>PHP</v>
          </cell>
        </row>
        <row r="106">
          <cell r="AH106" t="str">
            <v>PKR</v>
          </cell>
        </row>
        <row r="107">
          <cell r="AH107" t="str">
            <v>PLN</v>
          </cell>
        </row>
        <row r="108">
          <cell r="AH108" t="str">
            <v>PYG</v>
          </cell>
        </row>
        <row r="109">
          <cell r="AH109" t="str">
            <v>QAR</v>
          </cell>
        </row>
        <row r="110">
          <cell r="AH110" t="str">
            <v>RON</v>
          </cell>
        </row>
        <row r="111">
          <cell r="AH111" t="str">
            <v>RSD</v>
          </cell>
        </row>
        <row r="112">
          <cell r="AH112" t="str">
            <v>RUB</v>
          </cell>
        </row>
        <row r="113">
          <cell r="AH113" t="str">
            <v>RWF</v>
          </cell>
        </row>
        <row r="114">
          <cell r="AH114" t="str">
            <v>SAR</v>
          </cell>
        </row>
        <row r="115">
          <cell r="AH115" t="str">
            <v>SBD</v>
          </cell>
        </row>
        <row r="116">
          <cell r="AH116" t="str">
            <v>SCR</v>
          </cell>
        </row>
        <row r="117">
          <cell r="AH117" t="str">
            <v>SDG</v>
          </cell>
        </row>
        <row r="118">
          <cell r="AH118" t="str">
            <v>SEK</v>
          </cell>
        </row>
        <row r="119">
          <cell r="AH119" t="str">
            <v>SGD</v>
          </cell>
        </row>
        <row r="120">
          <cell r="AH120" t="str">
            <v>SHP</v>
          </cell>
        </row>
        <row r="121">
          <cell r="AH121" t="str">
            <v>SLL</v>
          </cell>
        </row>
        <row r="122">
          <cell r="AH122" t="str">
            <v>SOS</v>
          </cell>
        </row>
        <row r="123">
          <cell r="AH123" t="str">
            <v>SRD</v>
          </cell>
        </row>
        <row r="124">
          <cell r="AH124" t="str">
            <v>SSP</v>
          </cell>
        </row>
        <row r="125">
          <cell r="AH125" t="str">
            <v>STN</v>
          </cell>
        </row>
        <row r="126">
          <cell r="AH126" t="str">
            <v>SYP</v>
          </cell>
        </row>
        <row r="127">
          <cell r="AH127" t="str">
            <v>SZL</v>
          </cell>
        </row>
        <row r="128">
          <cell r="AH128" t="str">
            <v>THB</v>
          </cell>
        </row>
        <row r="129">
          <cell r="AH129" t="str">
            <v>TJS</v>
          </cell>
        </row>
        <row r="130">
          <cell r="AH130" t="str">
            <v>TMT</v>
          </cell>
        </row>
        <row r="131">
          <cell r="AH131" t="str">
            <v>TND</v>
          </cell>
        </row>
        <row r="132">
          <cell r="AH132" t="str">
            <v>TOP</v>
          </cell>
        </row>
        <row r="133">
          <cell r="AH133" t="str">
            <v>TRY</v>
          </cell>
        </row>
        <row r="134">
          <cell r="AH134" t="str">
            <v>TTD</v>
          </cell>
        </row>
        <row r="135">
          <cell r="AH135" t="str">
            <v>TZS</v>
          </cell>
        </row>
        <row r="136">
          <cell r="AH136" t="str">
            <v>UAH</v>
          </cell>
        </row>
        <row r="137">
          <cell r="AH137" t="str">
            <v>UGX</v>
          </cell>
        </row>
        <row r="138">
          <cell r="AH138" t="str">
            <v>USD</v>
          </cell>
        </row>
        <row r="139">
          <cell r="AH139" t="str">
            <v>UYU</v>
          </cell>
        </row>
        <row r="140">
          <cell r="AH140" t="str">
            <v>UZS</v>
          </cell>
        </row>
        <row r="141">
          <cell r="AH141" t="str">
            <v>VES</v>
          </cell>
        </row>
        <row r="142">
          <cell r="AH142" t="str">
            <v>VND</v>
          </cell>
        </row>
        <row r="143">
          <cell r="AH143" t="str">
            <v>VUV</v>
          </cell>
        </row>
        <row r="144">
          <cell r="AH144" t="str">
            <v>WST</v>
          </cell>
        </row>
        <row r="145">
          <cell r="AH145" t="str">
            <v>XAF</v>
          </cell>
        </row>
        <row r="146">
          <cell r="AH146" t="str">
            <v>XCD</v>
          </cell>
        </row>
        <row r="147">
          <cell r="AH147" t="str">
            <v>XOF</v>
          </cell>
        </row>
        <row r="148">
          <cell r="AH148" t="str">
            <v>XPF</v>
          </cell>
        </row>
        <row r="149">
          <cell r="AH149" t="str">
            <v>YER</v>
          </cell>
        </row>
        <row r="150">
          <cell r="AH150" t="str">
            <v>ZAR</v>
          </cell>
        </row>
        <row r="151">
          <cell r="AH151" t="str">
            <v>ZMW</v>
          </cell>
        </row>
        <row r="152">
          <cell r="AH152" t="str">
            <v>ZWR</v>
          </cell>
        </row>
      </sheetData>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BC983F-2C35-444A-9E6F-7907375C1C5D}" name="DataEntryTable" displayName="DataEntryTable" ref="B7:J1000" totalsRowShown="0" headerRowDxfId="14" tableBorderDxfId="13">
  <tableColumns count="9">
    <tableColumn id="1" xr3:uid="{D3B811FE-ECA0-47E8-BCF2-37111F1BF904}" name="DATE" dataDxfId="12"/>
    <tableColumn id="2" xr3:uid="{F725183F-FCB3-459A-953E-5F90FE6D34D2}" name="ITEM CATEGORY" dataDxfId="11"/>
    <tableColumn id="3" xr3:uid="{1FD60F91-5B09-4280-B7BE-FC0B0ABB58A9}" name="ITEM SUBCATEGORY" dataDxfId="10"/>
    <tableColumn id="4" xr3:uid="{172C7B85-97EF-43DB-A2BA-682E132785B2}" name="ITEM DESCRIPTION_x000a_(Optional)" dataDxfId="9"/>
    <tableColumn id="5" xr3:uid="{5031E1C9-1666-42E8-B5E7-D13E2ECF6DE4}" name="Inside/Outside_x000a_Duty Station" dataDxfId="8"/>
    <tableColumn id="6" xr3:uid="{399DA27B-4D5F-4EEB-8D32-A9AB9B615145}" name="AMOUNT" dataDxfId="7"/>
    <tableColumn id="7" xr3:uid="{15900454-4C1A-4E3F-8232-3C3C2ED6F586}" name="CURRENCY" dataDxfId="6"/>
    <tableColumn id="8" xr3:uid="{BBA45C76-F1A1-4677-89F1-40434656765C}" name="TIME_x000a_SPAN" dataDxfId="5">
      <calculatedColumnFormula>IF(ISBLANK($D8),"",_xlfn.XLOOKUP($D8,Item_List,Time_Span,"",0))</calculatedColumnFormula>
    </tableColumn>
    <tableColumn id="9" xr3:uid="{595E8B48-61E2-40BF-AE07-39AE74EC12CE}" name="AMOUNT_x000a_in USD" dataDxfId="4">
      <calculatedColumnFormula>IF(ISBLANK($H8),"",IF(VLOOKUP($H8,'FX Rates'!$A$1:$BQ$152,_xlfn.XMATCH($B8,'FX Rates'!$A$1:$BQ$1,-1,1),0)=0,"No Exch Rate Data",IF($G8=0,"",$G8/VLOOKUP($H8,'FX Rates'!$A$1:$BQ$152,_xlfn.XMATCH($B8,'FX Rates'!$A$1:$BQ$1,-1,1),0))))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6FE7-4EB7-4DA1-965E-7E64D2B49FFE}">
  <sheetPr codeName="Sheet1"/>
  <dimension ref="B1:P1000"/>
  <sheetViews>
    <sheetView tabSelected="1" zoomScaleNormal="100" workbookViewId="0">
      <pane ySplit="7" topLeftCell="A8" activePane="bottomLeft" state="frozen"/>
      <selection pane="bottomLeft" activeCell="B8" sqref="B8"/>
    </sheetView>
  </sheetViews>
  <sheetFormatPr defaultRowHeight="15" x14ac:dyDescent="0.25"/>
  <cols>
    <col min="1" max="1" width="2.7109375" style="43" customWidth="1"/>
    <col min="2" max="2" width="14.7109375" style="48" customWidth="1"/>
    <col min="3" max="4" width="44.7109375" style="49" customWidth="1"/>
    <col min="5" max="5" width="30.7109375" style="49" customWidth="1"/>
    <col min="6" max="6" width="15.7109375" style="49" customWidth="1"/>
    <col min="7" max="7" width="15.7109375" style="50" customWidth="1"/>
    <col min="8" max="8" width="13.85546875" style="49" customWidth="1"/>
    <col min="9" max="9" width="7.7109375" style="112" customWidth="1"/>
    <col min="10" max="10" width="16.7109375" style="51" bestFit="1" customWidth="1"/>
    <col min="11" max="11" width="9.140625" style="83"/>
    <col min="12" max="12" width="9.140625" style="43"/>
    <col min="13" max="13" width="10" style="43" bestFit="1" customWidth="1"/>
    <col min="14" max="16384" width="9.140625" style="43"/>
  </cols>
  <sheetData>
    <row r="1" spans="2:16" x14ac:dyDescent="0.25">
      <c r="B1" s="44"/>
      <c r="C1" s="43"/>
      <c r="D1" s="204" t="s">
        <v>637</v>
      </c>
      <c r="E1" s="205"/>
      <c r="F1" s="205"/>
      <c r="G1" s="205"/>
      <c r="H1" s="144"/>
      <c r="I1" s="144"/>
      <c r="J1" s="145"/>
    </row>
    <row r="2" spans="2:16" ht="24.95" customHeight="1" x14ac:dyDescent="0.25">
      <c r="B2" s="44"/>
      <c r="C2" s="147" t="s">
        <v>352</v>
      </c>
      <c r="D2" s="205"/>
      <c r="E2" s="205"/>
      <c r="F2" s="205"/>
      <c r="G2" s="205"/>
      <c r="H2" s="145"/>
      <c r="I2" s="145"/>
      <c r="J2" s="145"/>
    </row>
    <row r="3" spans="2:16" ht="24.95" customHeight="1" x14ac:dyDescent="0.25">
      <c r="B3" s="44"/>
      <c r="C3" s="149" t="s">
        <v>41</v>
      </c>
      <c r="D3" s="205"/>
      <c r="E3" s="205"/>
      <c r="F3" s="205"/>
      <c r="G3" s="205"/>
      <c r="H3" s="145"/>
      <c r="I3" s="145"/>
      <c r="J3" s="145"/>
    </row>
    <row r="4" spans="2:16" ht="24.95" customHeight="1" x14ac:dyDescent="0.25">
      <c r="B4" s="44"/>
      <c r="C4" s="150" t="str">
        <f>IF(ISBLANK(DSCountry),"Select duty station above","Local Currency: "&amp;(_xlfn.XLOOKUP(DSCountry,DS_Country_List,DS_Currency_List)))</f>
        <v>Local Currency: AUD</v>
      </c>
      <c r="D4" s="205"/>
      <c r="E4" s="205"/>
      <c r="F4" s="205"/>
      <c r="G4" s="205"/>
      <c r="H4" s="145"/>
      <c r="I4" s="145"/>
      <c r="J4" s="145"/>
    </row>
    <row r="5" spans="2:16" ht="24.95" customHeight="1" x14ac:dyDescent="0.25">
      <c r="B5" s="44"/>
      <c r="C5" s="43"/>
      <c r="D5" s="206"/>
      <c r="E5" s="206"/>
      <c r="F5" s="206"/>
      <c r="G5" s="206"/>
      <c r="H5" s="146"/>
      <c r="I5" s="146"/>
      <c r="J5" s="146"/>
    </row>
    <row r="6" spans="2:16" s="41" customFormat="1" ht="37.5" customHeight="1" x14ac:dyDescent="0.25">
      <c r="B6" s="45"/>
      <c r="C6" s="46"/>
      <c r="D6" s="6" t="s">
        <v>341</v>
      </c>
      <c r="E6" s="6"/>
      <c r="F6" s="6"/>
      <c r="G6" s="200" t="str">
        <f>"Exchange rate conversions are based on history of UN Treasury rates from Jan 2021 through "&amp;_xlfn.XLOOKUP(MONTH(MAX('FX Rates'!1:1)),Month_Number,Month_List)&amp; " "&amp;YEAR(MAX('FX Rates'!1:1))</f>
        <v>Exchange rate conversions are based on history of UN Treasury rates from Jan 2021 through Aug 2026</v>
      </c>
      <c r="H6" s="201"/>
      <c r="I6" s="201"/>
      <c r="J6" s="202"/>
      <c r="K6" s="84"/>
      <c r="M6" s="47"/>
    </row>
    <row r="7" spans="2:16" s="4" customFormat="1" ht="31.5" customHeight="1" x14ac:dyDescent="0.25">
      <c r="B7" s="86" t="s">
        <v>12</v>
      </c>
      <c r="C7" s="5" t="s">
        <v>13</v>
      </c>
      <c r="D7" s="5" t="s">
        <v>14</v>
      </c>
      <c r="E7" s="5" t="s">
        <v>615</v>
      </c>
      <c r="F7" s="5" t="s">
        <v>15</v>
      </c>
      <c r="G7" s="7" t="s">
        <v>16</v>
      </c>
      <c r="H7" s="5" t="s">
        <v>17</v>
      </c>
      <c r="I7" s="5" t="s">
        <v>342</v>
      </c>
      <c r="J7" s="88" t="s">
        <v>343</v>
      </c>
      <c r="K7" s="85"/>
    </row>
    <row r="8" spans="2:16" x14ac:dyDescent="0.25">
      <c r="B8" s="87">
        <v>46249</v>
      </c>
      <c r="C8" s="49" t="s">
        <v>455</v>
      </c>
      <c r="D8" s="49" t="s">
        <v>475</v>
      </c>
      <c r="E8" s="49" t="s">
        <v>636</v>
      </c>
      <c r="F8" s="49" t="s">
        <v>2</v>
      </c>
      <c r="G8" s="50">
        <v>200</v>
      </c>
      <c r="H8" s="49" t="s">
        <v>42</v>
      </c>
      <c r="I8" s="111" t="str">
        <f t="shared" ref="I8:I21" si="0">IF(ISBLANK($D8),"",_xlfn.XLOOKUP($D8,Item_List,Time_Span,"",0))</f>
        <v>M</v>
      </c>
      <c r="J8" s="89">
        <f>IF(ISBLANK($H8),"",IF(VLOOKUP($H8,'FX Rates'!$A$1:$BQ$152,_xlfn.XMATCH($B8,'FX Rates'!$A$1:$BQ$1,-1,1),0)=0,"No Exch Rate Data",IF($G8=0,"",$G8/VLOOKUP($H8,'FX Rates'!$A$1:$BQ$152,_xlfn.XMATCH($B8,'FX Rates'!$A$1:$BQ$1,-1,1),0))))</f>
        <v>141.14326040931545</v>
      </c>
    </row>
    <row r="9" spans="2:16" x14ac:dyDescent="0.25">
      <c r="B9" s="87"/>
      <c r="I9" s="111" t="str">
        <f t="shared" si="0"/>
        <v/>
      </c>
      <c r="J9" s="89" t="str">
        <f>IF(ISBLANK($H9),"",IF(VLOOKUP($H9,'FX Rates'!$A$1:$BQ$152,_xlfn.XMATCH($B9,'FX Rates'!$A$1:$BQ$1,-1,1),0)=0,"No Exch Rate Data",IF($G9=0,"",$G9/VLOOKUP($H9,'FX Rates'!$A$1:$BQ$152,_xlfn.XMATCH($B9,'FX Rates'!$A$1:$BQ$1,-1,1),0))))</f>
        <v/>
      </c>
    </row>
    <row r="10" spans="2:16" x14ac:dyDescent="0.25">
      <c r="B10" s="87"/>
      <c r="I10" s="111" t="str">
        <f t="shared" si="0"/>
        <v/>
      </c>
      <c r="J10" s="89" t="str">
        <f>IF(ISBLANK($H10),"",IF(VLOOKUP($H10,'FX Rates'!$A$1:$BQ$152,_xlfn.XMATCH($B10,'FX Rates'!$A$1:$BQ$1,-1,1),0)=0,"No Exch Rate Data",IF($G10=0,"",$G10/VLOOKUP($H10,'FX Rates'!$A$1:$BQ$152,_xlfn.XMATCH($B10,'FX Rates'!$A$1:$BQ$1,-1,1),0))))</f>
        <v/>
      </c>
    </row>
    <row r="11" spans="2:16" x14ac:dyDescent="0.25">
      <c r="B11" s="87"/>
      <c r="I11" s="111" t="str">
        <f t="shared" si="0"/>
        <v/>
      </c>
      <c r="J11" s="89" t="str">
        <f>IF(ISBLANK($H11),"",IF(VLOOKUP($H11,'FX Rates'!$A$1:$BQ$152,_xlfn.XMATCH($B11,'FX Rates'!$A$1:$BQ$1,-1,1),0)=0,"No Exch Rate Data",IF($G11=0,"",$G11/VLOOKUP($H11,'FX Rates'!$A$1:$BQ$152,_xlfn.XMATCH($B11,'FX Rates'!$A$1:$BQ$1,-1,1),0))))</f>
        <v/>
      </c>
    </row>
    <row r="12" spans="2:16" x14ac:dyDescent="0.25">
      <c r="B12" s="87"/>
      <c r="I12" s="111" t="str">
        <f t="shared" si="0"/>
        <v/>
      </c>
      <c r="J12" s="89" t="str">
        <f>IF(ISBLANK($H12),"",IF(VLOOKUP($H12,'FX Rates'!$A$1:$BQ$152,_xlfn.XMATCH($B12,'FX Rates'!$A$1:$BQ$1,-1,1),0)=0,"No Exch Rate Data",IF($G12=0,"",$G12/VLOOKUP($H12,'FX Rates'!$A$1:$BQ$152,_xlfn.XMATCH($B12,'FX Rates'!$A$1:$BQ$1,-1,1),0))))</f>
        <v/>
      </c>
    </row>
    <row r="13" spans="2:16" x14ac:dyDescent="0.25">
      <c r="B13" s="87"/>
      <c r="I13" s="111" t="str">
        <f t="shared" si="0"/>
        <v/>
      </c>
      <c r="J13" s="89" t="str">
        <f>IF(ISBLANK($H13),"",IF(VLOOKUP($H13,'FX Rates'!$A$1:$BQ$152,_xlfn.XMATCH($B13,'FX Rates'!$A$1:$BQ$1,-1,1),0)=0,"No Exch Rate Data",IF($G13=0,"",$G13/VLOOKUP($H13,'FX Rates'!$A$1:$BQ$152,_xlfn.XMATCH($B13,'FX Rates'!$A$1:$BQ$1,-1,1),0))))</f>
        <v/>
      </c>
      <c r="L13" s="203"/>
      <c r="M13" s="203"/>
      <c r="N13" s="203"/>
      <c r="O13" s="203"/>
      <c r="P13" s="203"/>
    </row>
    <row r="14" spans="2:16" x14ac:dyDescent="0.25">
      <c r="B14" s="87"/>
      <c r="I14" s="111" t="str">
        <f t="shared" si="0"/>
        <v/>
      </c>
      <c r="J14" s="89" t="str">
        <f>IF(ISBLANK($H14),"",IF(VLOOKUP($H14,'FX Rates'!$A$1:$BQ$152,_xlfn.XMATCH($B14,'FX Rates'!$A$1:$BQ$1,-1,1),0)=0,"No Exch Rate Data",IF($G14=0,"",$G14/VLOOKUP($H14,'FX Rates'!$A$1:$BQ$152,_xlfn.XMATCH($B14,'FX Rates'!$A$1:$BQ$1,-1,1),0))))</f>
        <v/>
      </c>
    </row>
    <row r="15" spans="2:16" x14ac:dyDescent="0.25">
      <c r="B15" s="87"/>
      <c r="I15" s="111" t="str">
        <f t="shared" si="0"/>
        <v/>
      </c>
      <c r="J15" s="89" t="str">
        <f>IF(ISBLANK($H15),"",IF(VLOOKUP($H15,'FX Rates'!$A$1:$BQ$152,_xlfn.XMATCH($B15,'FX Rates'!$A$1:$BQ$1,-1,1),0)=0,"No Exch Rate Data",IF($G15=0,"",$G15/VLOOKUP($H15,'FX Rates'!$A$1:$BQ$152,_xlfn.XMATCH($B15,'FX Rates'!$A$1:$BQ$1,-1,1),0))))</f>
        <v/>
      </c>
    </row>
    <row r="16" spans="2:16" x14ac:dyDescent="0.25">
      <c r="B16" s="87"/>
      <c r="I16" s="111" t="str">
        <f t="shared" si="0"/>
        <v/>
      </c>
      <c r="J16" s="89" t="str">
        <f>IF(ISBLANK($H16),"",IF(VLOOKUP($H16,'FX Rates'!$A$1:$BQ$152,_xlfn.XMATCH($B16,'FX Rates'!$A$1:$BQ$1,-1,1),0)=0,"No Exch Rate Data",IF($G16=0,"",$G16/VLOOKUP($H16,'FX Rates'!$A$1:$BQ$152,_xlfn.XMATCH($B16,'FX Rates'!$A$1:$BQ$1,-1,1),0))))</f>
        <v/>
      </c>
    </row>
    <row r="17" spans="2:10" x14ac:dyDescent="0.25">
      <c r="B17" s="87"/>
      <c r="I17" s="111" t="str">
        <f t="shared" si="0"/>
        <v/>
      </c>
      <c r="J17" s="89" t="str">
        <f>IF(ISBLANK($H17),"",IF(VLOOKUP($H17,'FX Rates'!$A$1:$BQ$152,_xlfn.XMATCH($B17,'FX Rates'!$A$1:$BQ$1,-1,1),0)=0,"No Exch Rate Data",IF($G17=0,"",$G17/VLOOKUP($H17,'FX Rates'!$A$1:$BQ$152,_xlfn.XMATCH($B17,'FX Rates'!$A$1:$BQ$1,-1,1),0))))</f>
        <v/>
      </c>
    </row>
    <row r="18" spans="2:10" x14ac:dyDescent="0.25">
      <c r="B18" s="87"/>
      <c r="I18" s="111" t="str">
        <f t="shared" si="0"/>
        <v/>
      </c>
      <c r="J18" s="89" t="str">
        <f>IF(ISBLANK($H18),"",IF(VLOOKUP($H18,'FX Rates'!$A$1:$BQ$152,_xlfn.XMATCH($B18,'FX Rates'!$A$1:$BQ$1,-1,1),0)=0,"No Exch Rate Data",IF($G18=0,"",$G18/VLOOKUP($H18,'FX Rates'!$A$1:$BQ$152,_xlfn.XMATCH($B18,'FX Rates'!$A$1:$BQ$1,-1,1),0))))</f>
        <v/>
      </c>
    </row>
    <row r="19" spans="2:10" x14ac:dyDescent="0.25">
      <c r="B19" s="87"/>
      <c r="I19" s="111" t="str">
        <f t="shared" si="0"/>
        <v/>
      </c>
      <c r="J19" s="89" t="str">
        <f>IF(ISBLANK($H19),"",IF(VLOOKUP($H19,'FX Rates'!$A$1:$BQ$152,_xlfn.XMATCH($B19,'FX Rates'!$A$1:$BQ$1,-1,1),0)=0,"No Exch Rate Data",IF($G19=0,"",$G19/VLOOKUP($H19,'FX Rates'!$A$1:$BQ$152,_xlfn.XMATCH($B19,'FX Rates'!$A$1:$BQ$1,-1,1),0))))</f>
        <v/>
      </c>
    </row>
    <row r="20" spans="2:10" x14ac:dyDescent="0.25">
      <c r="B20" s="87"/>
      <c r="I20" s="111" t="str">
        <f t="shared" si="0"/>
        <v/>
      </c>
      <c r="J20" s="89" t="str">
        <f>IF(ISBLANK($H20),"",IF(VLOOKUP($H20,'FX Rates'!$A$1:$BQ$152,_xlfn.XMATCH($B20,'FX Rates'!$A$1:$BQ$1,-1,1),0)=0,"No Exch Rate Data",IF($G20=0,"",$G20/VLOOKUP($H20,'FX Rates'!$A$1:$BQ$152,_xlfn.XMATCH($B20,'FX Rates'!$A$1:$BQ$1,-1,1),0))))</f>
        <v/>
      </c>
    </row>
    <row r="21" spans="2:10" x14ac:dyDescent="0.25">
      <c r="B21" s="87"/>
      <c r="I21" s="111" t="str">
        <f t="shared" si="0"/>
        <v/>
      </c>
      <c r="J21" s="89" t="str">
        <f>IF(ISBLANK($H21),"",IF(VLOOKUP($H21,'FX Rates'!$A$1:$BQ$152,_xlfn.XMATCH($B21,'FX Rates'!$A$1:$BQ$1,-1,1),0)=0,"No Exch Rate Data",IF($G21=0,"",$G21/VLOOKUP($H21,'FX Rates'!$A$1:$BQ$152,_xlfn.XMATCH($B21,'FX Rates'!$A$1:$BQ$1,-1,1),0))))</f>
        <v/>
      </c>
    </row>
    <row r="22" spans="2:10" x14ac:dyDescent="0.25">
      <c r="B22" s="87"/>
      <c r="I22" s="111" t="str">
        <f t="shared" ref="I22:I35" si="1">IF(ISBLANK($D22),"",_xlfn.XLOOKUP($D22,Item_List,Time_Span,"",0))</f>
        <v/>
      </c>
      <c r="J22" s="89" t="str">
        <f>IF(ISBLANK($H22),"",IF(VLOOKUP($H22,'FX Rates'!$A$1:$BQ$152,_xlfn.XMATCH($B22,'FX Rates'!$A$1:$BQ$1,-1,1),0)=0,"No Exch Rate Data",IF($G22=0,"",$G22/VLOOKUP($H22,'FX Rates'!$A$1:$BQ$152,_xlfn.XMATCH($B22,'FX Rates'!$A$1:$BQ$1,-1,1),0))))</f>
        <v/>
      </c>
    </row>
    <row r="23" spans="2:10" x14ac:dyDescent="0.25">
      <c r="B23" s="87"/>
      <c r="I23" s="111" t="str">
        <f t="shared" si="1"/>
        <v/>
      </c>
      <c r="J23" s="89" t="str">
        <f>IF(ISBLANK($H23),"",IF(VLOOKUP($H23,'FX Rates'!$A$1:$BQ$152,_xlfn.XMATCH($B23,'FX Rates'!$A$1:$BQ$1,-1,1),0)=0,"No Exch Rate Data",IF($G23=0,"",$G23/VLOOKUP($H23,'FX Rates'!$A$1:$BQ$152,_xlfn.XMATCH($B23,'FX Rates'!$A$1:$BQ$1,-1,1),0))))</f>
        <v/>
      </c>
    </row>
    <row r="24" spans="2:10" x14ac:dyDescent="0.25">
      <c r="B24" s="87"/>
      <c r="I24" s="111" t="str">
        <f t="shared" si="1"/>
        <v/>
      </c>
      <c r="J24" s="89" t="str">
        <f>IF(ISBLANK($H24),"",IF(VLOOKUP($H24,'FX Rates'!$A$1:$BQ$152,_xlfn.XMATCH($B24,'FX Rates'!$A$1:$BQ$1,-1,1),0)=0,"No Exch Rate Data",IF($G24=0,"",$G24/VLOOKUP($H24,'FX Rates'!$A$1:$BQ$152,_xlfn.XMATCH($B24,'FX Rates'!$A$1:$BQ$1,-1,1),0))))</f>
        <v/>
      </c>
    </row>
    <row r="25" spans="2:10" x14ac:dyDescent="0.25">
      <c r="B25" s="87"/>
      <c r="I25" s="111" t="str">
        <f t="shared" si="1"/>
        <v/>
      </c>
      <c r="J25" s="89" t="str">
        <f>IF(ISBLANK($H25),"",IF(VLOOKUP($H25,'FX Rates'!$A$1:$BQ$152,_xlfn.XMATCH($B25,'FX Rates'!$A$1:$BQ$1,-1,1),0)=0,"No Exch Rate Data",IF($G25=0,"",$G25/VLOOKUP($H25,'FX Rates'!$A$1:$BQ$152,_xlfn.XMATCH($B25,'FX Rates'!$A$1:$BQ$1,-1,1),0))))</f>
        <v/>
      </c>
    </row>
    <row r="26" spans="2:10" x14ac:dyDescent="0.25">
      <c r="B26" s="87"/>
      <c r="I26" s="111" t="str">
        <f t="shared" si="1"/>
        <v/>
      </c>
      <c r="J26" s="89" t="str">
        <f>IF(ISBLANK($H26),"",IF(VLOOKUP($H26,'FX Rates'!$A$1:$BQ$152,_xlfn.XMATCH($B26,'FX Rates'!$A$1:$BQ$1,-1,1),0)=0,"No Exch Rate Data",IF($G26=0,"",$G26/VLOOKUP($H26,'FX Rates'!$A$1:$BQ$152,_xlfn.XMATCH($B26,'FX Rates'!$A$1:$BQ$1,-1,1),0))))</f>
        <v/>
      </c>
    </row>
    <row r="27" spans="2:10" x14ac:dyDescent="0.25">
      <c r="B27" s="87"/>
      <c r="I27" s="111" t="str">
        <f t="shared" si="1"/>
        <v/>
      </c>
      <c r="J27" s="89" t="str">
        <f>IF(ISBLANK($H27),"",IF(VLOOKUP($H27,'FX Rates'!$A$1:$BQ$152,_xlfn.XMATCH($B27,'FX Rates'!$A$1:$BQ$1,-1,1),0)=0,"No Exch Rate Data",IF($G27=0,"",$G27/VLOOKUP($H27,'FX Rates'!$A$1:$BQ$152,_xlfn.XMATCH($B27,'FX Rates'!$A$1:$BQ$1,-1,1),0))))</f>
        <v/>
      </c>
    </row>
    <row r="28" spans="2:10" x14ac:dyDescent="0.25">
      <c r="B28" s="87"/>
      <c r="I28" s="111" t="str">
        <f t="shared" si="1"/>
        <v/>
      </c>
      <c r="J28" s="89" t="str">
        <f>IF(ISBLANK($H28),"",IF(VLOOKUP($H28,'FX Rates'!$A$1:$BQ$152,_xlfn.XMATCH($B28,'FX Rates'!$A$1:$BQ$1,-1,1),0)=0,"No Exch Rate Data",IF($G28=0,"",$G28/VLOOKUP($H28,'FX Rates'!$A$1:$BQ$152,_xlfn.XMATCH($B28,'FX Rates'!$A$1:$BQ$1,-1,1),0))))</f>
        <v/>
      </c>
    </row>
    <row r="29" spans="2:10" x14ac:dyDescent="0.25">
      <c r="B29" s="87"/>
      <c r="I29" s="111" t="str">
        <f t="shared" si="1"/>
        <v/>
      </c>
      <c r="J29" s="89" t="str">
        <f>IF(ISBLANK($H29),"",IF(VLOOKUP($H29,'FX Rates'!$A$1:$BQ$152,_xlfn.XMATCH($B29,'FX Rates'!$A$1:$BQ$1,-1,1),0)=0,"No Exch Rate Data",IF($G29=0,"",$G29/VLOOKUP($H29,'FX Rates'!$A$1:$BQ$152,_xlfn.XMATCH($B29,'FX Rates'!$A$1:$BQ$1,-1,1),0))))</f>
        <v/>
      </c>
    </row>
    <row r="30" spans="2:10" x14ac:dyDescent="0.25">
      <c r="B30" s="87"/>
      <c r="I30" s="111" t="str">
        <f t="shared" si="1"/>
        <v/>
      </c>
      <c r="J30" s="89" t="str">
        <f>IF(ISBLANK($H30),"",IF(VLOOKUP($H30,'FX Rates'!$A$1:$BQ$152,_xlfn.XMATCH($B30,'FX Rates'!$A$1:$BQ$1,-1,1),0)=0,"No Exch Rate Data",IF($G30=0,"",$G30/VLOOKUP($H30,'FX Rates'!$A$1:$BQ$152,_xlfn.XMATCH($B30,'FX Rates'!$A$1:$BQ$1,-1,1),0))))</f>
        <v/>
      </c>
    </row>
    <row r="31" spans="2:10" x14ac:dyDescent="0.25">
      <c r="B31" s="87"/>
      <c r="I31" s="111" t="str">
        <f t="shared" si="1"/>
        <v/>
      </c>
      <c r="J31" s="89" t="str">
        <f>IF(ISBLANK($H31),"",IF(VLOOKUP($H31,'FX Rates'!$A$1:$BQ$152,_xlfn.XMATCH($B31,'FX Rates'!$A$1:$BQ$1,-1,1),0)=0,"No Exch Rate Data",IF($G31=0,"",$G31/VLOOKUP($H31,'FX Rates'!$A$1:$BQ$152,_xlfn.XMATCH($B31,'FX Rates'!$A$1:$BQ$1,-1,1),0))))</f>
        <v/>
      </c>
    </row>
    <row r="32" spans="2:10" x14ac:dyDescent="0.25">
      <c r="B32" s="87"/>
      <c r="I32" s="111" t="str">
        <f t="shared" si="1"/>
        <v/>
      </c>
      <c r="J32" s="89" t="str">
        <f>IF(ISBLANK($H32),"",IF(VLOOKUP($H32,'FX Rates'!$A$1:$BQ$152,_xlfn.XMATCH($B32,'FX Rates'!$A$1:$BQ$1,-1,1),0)=0,"No Exch Rate Data",IF($G32=0,"",$G32/VLOOKUP($H32,'FX Rates'!$A$1:$BQ$152,_xlfn.XMATCH($B32,'FX Rates'!$A$1:$BQ$1,-1,1),0))))</f>
        <v/>
      </c>
    </row>
    <row r="33" spans="2:10" x14ac:dyDescent="0.25">
      <c r="B33" s="87"/>
      <c r="I33" s="111" t="str">
        <f t="shared" si="1"/>
        <v/>
      </c>
      <c r="J33" s="89" t="str">
        <f>IF(ISBLANK($H33),"",IF(VLOOKUP($H33,'FX Rates'!$A$1:$BQ$152,_xlfn.XMATCH($B33,'FX Rates'!$A$1:$BQ$1,-1,1),0)=0,"No Exch Rate Data",IF($G33=0,"",$G33/VLOOKUP($H33,'FX Rates'!$A$1:$BQ$152,_xlfn.XMATCH($B33,'FX Rates'!$A$1:$BQ$1,-1,1),0))))</f>
        <v/>
      </c>
    </row>
    <row r="34" spans="2:10" x14ac:dyDescent="0.25">
      <c r="B34" s="87"/>
      <c r="I34" s="111" t="str">
        <f t="shared" si="1"/>
        <v/>
      </c>
      <c r="J34" s="89" t="str">
        <f>IF(ISBLANK($H34),"",IF(VLOOKUP($H34,'FX Rates'!$A$1:$BQ$152,_xlfn.XMATCH($B34,'FX Rates'!$A$1:$BQ$1,-1,1),0)=0,"No Exch Rate Data",IF($G34=0,"",$G34/VLOOKUP($H34,'FX Rates'!$A$1:$BQ$152,_xlfn.XMATCH($B34,'FX Rates'!$A$1:$BQ$1,-1,1),0))))</f>
        <v/>
      </c>
    </row>
    <row r="35" spans="2:10" x14ac:dyDescent="0.25">
      <c r="B35" s="87"/>
      <c r="I35" s="111" t="str">
        <f t="shared" si="1"/>
        <v/>
      </c>
      <c r="J35" s="89" t="str">
        <f>IF(ISBLANK($H35),"",IF(VLOOKUP($H35,'FX Rates'!$A$1:$BQ$152,_xlfn.XMATCH($B35,'FX Rates'!$A$1:$BQ$1,-1,1),0)=0,"No Exch Rate Data",IF($G35=0,"",$G35/VLOOKUP($H35,'FX Rates'!$A$1:$BQ$152,_xlfn.XMATCH($B35,'FX Rates'!$A$1:$BQ$1,-1,1),0))))</f>
        <v/>
      </c>
    </row>
    <row r="36" spans="2:10" x14ac:dyDescent="0.25">
      <c r="B36" s="87"/>
      <c r="I36" s="111" t="str">
        <f t="shared" ref="I36:I41" si="2">IF(ISBLANK($D36),"",_xlfn.XLOOKUP($D36,Item_List,Time_Span,"",0))</f>
        <v/>
      </c>
      <c r="J36" s="89" t="str">
        <f>IF(ISBLANK($H36),"",IF(VLOOKUP($H36,'FX Rates'!$A$1:$BQ$152,_xlfn.XMATCH($B36,'FX Rates'!$A$1:$BQ$1,-1,1),0)=0,"No Exch Rate Data",IF($G36=0,"",$G36/VLOOKUP($H36,'FX Rates'!$A$1:$BQ$152,_xlfn.XMATCH($B36,'FX Rates'!$A$1:$BQ$1,-1,1),0))))</f>
        <v/>
      </c>
    </row>
    <row r="37" spans="2:10" x14ac:dyDescent="0.25">
      <c r="B37" s="87"/>
      <c r="I37" s="111" t="str">
        <f t="shared" si="2"/>
        <v/>
      </c>
      <c r="J37" s="89" t="str">
        <f>IF(ISBLANK($H37),"",IF(VLOOKUP($H37,'FX Rates'!$A$1:$BQ$152,_xlfn.XMATCH($B37,'FX Rates'!$A$1:$BQ$1,-1,1),0)=0,"No Exch Rate Data",IF($G37=0,"",$G37/VLOOKUP($H37,'FX Rates'!$A$1:$BQ$152,_xlfn.XMATCH($B37,'FX Rates'!$A$1:$BQ$1,-1,1),0))))</f>
        <v/>
      </c>
    </row>
    <row r="38" spans="2:10" x14ac:dyDescent="0.25">
      <c r="B38" s="87"/>
      <c r="I38" s="111" t="str">
        <f t="shared" si="2"/>
        <v/>
      </c>
      <c r="J38" s="89" t="str">
        <f>IF(ISBLANK($H38),"",IF(VLOOKUP($H38,'FX Rates'!$A$1:$BQ$152,_xlfn.XMATCH($B38,'FX Rates'!$A$1:$BQ$1,-1,1),0)=0,"No Exch Rate Data",IF($G38=0,"",$G38/VLOOKUP($H38,'FX Rates'!$A$1:$BQ$152,_xlfn.XMATCH($B38,'FX Rates'!$A$1:$BQ$1,-1,1),0))))</f>
        <v/>
      </c>
    </row>
    <row r="39" spans="2:10" x14ac:dyDescent="0.25">
      <c r="B39" s="87"/>
      <c r="I39" s="111" t="str">
        <f t="shared" si="2"/>
        <v/>
      </c>
      <c r="J39" s="89" t="str">
        <f>IF(ISBLANK($H39),"",IF(VLOOKUP($H39,'FX Rates'!$A$1:$BQ$152,_xlfn.XMATCH($B39,'FX Rates'!$A$1:$BQ$1,-1,1),0)=0,"No Exch Rate Data",IF($G39=0,"",$G39/VLOOKUP($H39,'FX Rates'!$A$1:$BQ$152,_xlfn.XMATCH($B39,'FX Rates'!$A$1:$BQ$1,-1,1),0))))</f>
        <v/>
      </c>
    </row>
    <row r="40" spans="2:10" x14ac:dyDescent="0.25">
      <c r="B40" s="87"/>
      <c r="I40" s="111" t="str">
        <f t="shared" si="2"/>
        <v/>
      </c>
      <c r="J40" s="89" t="str">
        <f>IF(ISBLANK($H40),"",IF(VLOOKUP($H40,'FX Rates'!$A$1:$BQ$152,_xlfn.XMATCH($B40,'FX Rates'!$A$1:$BQ$1,-1,1),0)=0,"No Exch Rate Data",IF($G40=0,"",$G40/VLOOKUP($H40,'FX Rates'!$A$1:$BQ$152,_xlfn.XMATCH($B40,'FX Rates'!$A$1:$BQ$1,-1,1),0))))</f>
        <v/>
      </c>
    </row>
    <row r="41" spans="2:10" x14ac:dyDescent="0.25">
      <c r="B41" s="87"/>
      <c r="I41" s="111" t="str">
        <f t="shared" si="2"/>
        <v/>
      </c>
      <c r="J41" s="89" t="str">
        <f>IF(ISBLANK($H41),"",IF(VLOOKUP($H41,'FX Rates'!$A$1:$BQ$152,_xlfn.XMATCH($B41,'FX Rates'!$A$1:$BQ$1,-1,1),0)=0,"No Exch Rate Data",IF($G41=0,"",$G41/VLOOKUP($H41,'FX Rates'!$A$1:$BQ$152,_xlfn.XMATCH($B41,'FX Rates'!$A$1:$BQ$1,-1,1),0))))</f>
        <v/>
      </c>
    </row>
    <row r="42" spans="2:10" x14ac:dyDescent="0.25">
      <c r="B42" s="87"/>
      <c r="I42" s="111" t="str">
        <f t="shared" ref="I42:I105" si="3">IF(ISBLANK($D42),"",_xlfn.XLOOKUP($D42,Item_List,Time_Span,"",0))</f>
        <v/>
      </c>
      <c r="J42" s="89" t="str">
        <f>IF(ISBLANK($H42),"",IF(VLOOKUP($H42,'FX Rates'!$A$1:$BQ$152,_xlfn.XMATCH($B42,'FX Rates'!$A$1:$BQ$1,-1,1),0)=0,"No Exch Rate Data",IF($G42=0,"",$G42/VLOOKUP($H42,'FX Rates'!$A$1:$BQ$152,_xlfn.XMATCH($B42,'FX Rates'!$A$1:$BQ$1,-1,1),0))))</f>
        <v/>
      </c>
    </row>
    <row r="43" spans="2:10" x14ac:dyDescent="0.25">
      <c r="B43" s="87"/>
      <c r="I43" s="111" t="str">
        <f t="shared" si="3"/>
        <v/>
      </c>
      <c r="J43" s="89" t="str">
        <f>IF(ISBLANK($H43),"",IF(VLOOKUP($H43,'FX Rates'!$A$1:$BQ$152,_xlfn.XMATCH($B43,'FX Rates'!$A$1:$BQ$1,-1,1),0)=0,"No Exch Rate Data",IF($G43=0,"",$G43/VLOOKUP($H43,'FX Rates'!$A$1:$BQ$152,_xlfn.XMATCH($B43,'FX Rates'!$A$1:$BQ$1,-1,1),0))))</f>
        <v/>
      </c>
    </row>
    <row r="44" spans="2:10" x14ac:dyDescent="0.25">
      <c r="B44" s="87"/>
      <c r="I44" s="111" t="str">
        <f t="shared" si="3"/>
        <v/>
      </c>
      <c r="J44" s="89" t="str">
        <f>IF(ISBLANK($H44),"",IF(VLOOKUP($H44,'FX Rates'!$A$1:$BQ$152,_xlfn.XMATCH($B44,'FX Rates'!$A$1:$BQ$1,-1,1),0)=0,"No Exch Rate Data",IF($G44=0,"",$G44/VLOOKUP($H44,'FX Rates'!$A$1:$BQ$152,_xlfn.XMATCH($B44,'FX Rates'!$A$1:$BQ$1,-1,1),0))))</f>
        <v/>
      </c>
    </row>
    <row r="45" spans="2:10" x14ac:dyDescent="0.25">
      <c r="B45" s="87"/>
      <c r="I45" s="111" t="str">
        <f t="shared" si="3"/>
        <v/>
      </c>
      <c r="J45" s="89" t="str">
        <f>IF(ISBLANK($H45),"",IF(VLOOKUP($H45,'FX Rates'!$A$1:$BQ$152,_xlfn.XMATCH($B45,'FX Rates'!$A$1:$BQ$1,-1,1),0)=0,"No Exch Rate Data",IF($G45=0,"",$G45/VLOOKUP($H45,'FX Rates'!$A$1:$BQ$152,_xlfn.XMATCH($B45,'FX Rates'!$A$1:$BQ$1,-1,1),0))))</f>
        <v/>
      </c>
    </row>
    <row r="46" spans="2:10" x14ac:dyDescent="0.25">
      <c r="B46" s="87"/>
      <c r="I46" s="111" t="str">
        <f t="shared" si="3"/>
        <v/>
      </c>
      <c r="J46" s="89" t="str">
        <f>IF(ISBLANK($H46),"",IF(VLOOKUP($H46,'FX Rates'!$A$1:$BQ$152,_xlfn.XMATCH($B46,'FX Rates'!$A$1:$BQ$1,-1,1),0)=0,"No Exch Rate Data",IF($G46=0,"",$G46/VLOOKUP($H46,'FX Rates'!$A$1:$BQ$152,_xlfn.XMATCH($B46,'FX Rates'!$A$1:$BQ$1,-1,1),0))))</f>
        <v/>
      </c>
    </row>
    <row r="47" spans="2:10" x14ac:dyDescent="0.25">
      <c r="B47" s="87"/>
      <c r="I47" s="111" t="str">
        <f t="shared" si="3"/>
        <v/>
      </c>
      <c r="J47" s="89" t="str">
        <f>IF(ISBLANK($H47),"",IF(VLOOKUP($H47,'FX Rates'!$A$1:$BQ$152,_xlfn.XMATCH($B47,'FX Rates'!$A$1:$BQ$1,-1,1),0)=0,"No Exch Rate Data",IF($G47=0,"",$G47/VLOOKUP($H47,'FX Rates'!$A$1:$BQ$152,_xlfn.XMATCH($B47,'FX Rates'!$A$1:$BQ$1,-1,1),0))))</f>
        <v/>
      </c>
    </row>
    <row r="48" spans="2:10" x14ac:dyDescent="0.25">
      <c r="B48" s="87"/>
      <c r="I48" s="111" t="str">
        <f t="shared" si="3"/>
        <v/>
      </c>
      <c r="J48" s="89" t="str">
        <f>IF(ISBLANK($H48),"",IF(VLOOKUP($H48,'FX Rates'!$A$1:$BQ$152,_xlfn.XMATCH($B48,'FX Rates'!$A$1:$BQ$1,-1,1),0)=0,"No Exch Rate Data",IF($G48=0,"",$G48/VLOOKUP($H48,'FX Rates'!$A$1:$BQ$152,_xlfn.XMATCH($B48,'FX Rates'!$A$1:$BQ$1,-1,1),0))))</f>
        <v/>
      </c>
    </row>
    <row r="49" spans="2:10" x14ac:dyDescent="0.25">
      <c r="B49" s="87"/>
      <c r="I49" s="111" t="str">
        <f t="shared" si="3"/>
        <v/>
      </c>
      <c r="J49" s="89" t="str">
        <f>IF(ISBLANK($H49),"",IF(VLOOKUP($H49,'FX Rates'!$A$1:$BQ$152,_xlfn.XMATCH($B49,'FX Rates'!$A$1:$BQ$1,-1,1),0)=0,"No Exch Rate Data",IF($G49=0,"",$G49/VLOOKUP($H49,'FX Rates'!$A$1:$BQ$152,_xlfn.XMATCH($B49,'FX Rates'!$A$1:$BQ$1,-1,1),0))))</f>
        <v/>
      </c>
    </row>
    <row r="50" spans="2:10" x14ac:dyDescent="0.25">
      <c r="B50" s="87"/>
      <c r="I50" s="111" t="str">
        <f t="shared" si="3"/>
        <v/>
      </c>
      <c r="J50" s="89" t="str">
        <f>IF(ISBLANK($H50),"",IF(VLOOKUP($H50,'FX Rates'!$A$1:$BQ$152,_xlfn.XMATCH($B50,'FX Rates'!$A$1:$BQ$1,-1,1),0)=0,"No Exch Rate Data",IF($G50=0,"",$G50/VLOOKUP($H50,'FX Rates'!$A$1:$BQ$152,_xlfn.XMATCH($B50,'FX Rates'!$A$1:$BQ$1,-1,1),0))))</f>
        <v/>
      </c>
    </row>
    <row r="51" spans="2:10" x14ac:dyDescent="0.25">
      <c r="B51" s="87"/>
      <c r="I51" s="111" t="str">
        <f t="shared" si="3"/>
        <v/>
      </c>
      <c r="J51" s="89" t="str">
        <f>IF(ISBLANK($H51),"",IF(VLOOKUP($H51,'FX Rates'!$A$1:$BQ$152,_xlfn.XMATCH($B51,'FX Rates'!$A$1:$BQ$1,-1,1),0)=0,"No Exch Rate Data",IF($G51=0,"",$G51/VLOOKUP($H51,'FX Rates'!$A$1:$BQ$152,_xlfn.XMATCH($B51,'FX Rates'!$A$1:$BQ$1,-1,1),0))))</f>
        <v/>
      </c>
    </row>
    <row r="52" spans="2:10" x14ac:dyDescent="0.25">
      <c r="B52" s="87"/>
      <c r="I52" s="111" t="str">
        <f t="shared" si="3"/>
        <v/>
      </c>
      <c r="J52" s="89" t="str">
        <f>IF(ISBLANK($H52),"",IF(VLOOKUP($H52,'FX Rates'!$A$1:$BQ$152,_xlfn.XMATCH($B52,'FX Rates'!$A$1:$BQ$1,-1,1),0)=0,"No Exch Rate Data",IF($G52=0,"",$G52/VLOOKUP($H52,'FX Rates'!$A$1:$BQ$152,_xlfn.XMATCH($B52,'FX Rates'!$A$1:$BQ$1,-1,1),0))))</f>
        <v/>
      </c>
    </row>
    <row r="53" spans="2:10" x14ac:dyDescent="0.25">
      <c r="B53" s="87"/>
      <c r="I53" s="111" t="str">
        <f t="shared" si="3"/>
        <v/>
      </c>
      <c r="J53" s="89" t="str">
        <f>IF(ISBLANK($H53),"",IF(VLOOKUP($H53,'FX Rates'!$A$1:$BQ$152,_xlfn.XMATCH($B53,'FX Rates'!$A$1:$BQ$1,-1,1),0)=0,"No Exch Rate Data",IF($G53=0,"",$G53/VLOOKUP($H53,'FX Rates'!$A$1:$BQ$152,_xlfn.XMATCH($B53,'FX Rates'!$A$1:$BQ$1,-1,1),0))))</f>
        <v/>
      </c>
    </row>
    <row r="54" spans="2:10" x14ac:dyDescent="0.25">
      <c r="B54" s="87"/>
      <c r="I54" s="111" t="str">
        <f t="shared" si="3"/>
        <v/>
      </c>
      <c r="J54" s="89" t="str">
        <f>IF(ISBLANK($H54),"",IF(VLOOKUP($H54,'FX Rates'!$A$1:$BQ$152,_xlfn.XMATCH($B54,'FX Rates'!$A$1:$BQ$1,-1,1),0)=0,"No Exch Rate Data",IF($G54=0,"",$G54/VLOOKUP($H54,'FX Rates'!$A$1:$BQ$152,_xlfn.XMATCH($B54,'FX Rates'!$A$1:$BQ$1,-1,1),0))))</f>
        <v/>
      </c>
    </row>
    <row r="55" spans="2:10" x14ac:dyDescent="0.25">
      <c r="B55" s="87"/>
      <c r="I55" s="111" t="str">
        <f t="shared" si="3"/>
        <v/>
      </c>
      <c r="J55" s="89" t="str">
        <f>IF(ISBLANK($H55),"",IF(VLOOKUP($H55,'FX Rates'!$A$1:$BQ$152,_xlfn.XMATCH($B55,'FX Rates'!$A$1:$BQ$1,-1,1),0)=0,"No Exch Rate Data",IF($G55=0,"",$G55/VLOOKUP($H55,'FX Rates'!$A$1:$BQ$152,_xlfn.XMATCH($B55,'FX Rates'!$A$1:$BQ$1,-1,1),0))))</f>
        <v/>
      </c>
    </row>
    <row r="56" spans="2:10" x14ac:dyDescent="0.25">
      <c r="B56" s="87"/>
      <c r="I56" s="111" t="str">
        <f t="shared" si="3"/>
        <v/>
      </c>
      <c r="J56" s="89" t="str">
        <f>IF(ISBLANK($H56),"",IF(VLOOKUP($H56,'FX Rates'!$A$1:$BQ$152,_xlfn.XMATCH($B56,'FX Rates'!$A$1:$BQ$1,-1,1),0)=0,"No Exch Rate Data",IF($G56=0,"",$G56/VLOOKUP($H56,'FX Rates'!$A$1:$BQ$152,_xlfn.XMATCH($B56,'FX Rates'!$A$1:$BQ$1,-1,1),0))))</f>
        <v/>
      </c>
    </row>
    <row r="57" spans="2:10" x14ac:dyDescent="0.25">
      <c r="B57" s="87"/>
      <c r="I57" s="111" t="str">
        <f t="shared" si="3"/>
        <v/>
      </c>
      <c r="J57" s="89" t="str">
        <f>IF(ISBLANK($H57),"",IF(VLOOKUP($H57,'FX Rates'!$A$1:$BQ$152,_xlfn.XMATCH($B57,'FX Rates'!$A$1:$BQ$1,-1,1),0)=0,"No Exch Rate Data",IF($G57=0,"",$G57/VLOOKUP($H57,'FX Rates'!$A$1:$BQ$152,_xlfn.XMATCH($B57,'FX Rates'!$A$1:$BQ$1,-1,1),0))))</f>
        <v/>
      </c>
    </row>
    <row r="58" spans="2:10" x14ac:dyDescent="0.25">
      <c r="B58" s="87"/>
      <c r="I58" s="111" t="str">
        <f t="shared" si="3"/>
        <v/>
      </c>
      <c r="J58" s="89" t="str">
        <f>IF(ISBLANK($H58),"",IF(VLOOKUP($H58,'FX Rates'!$A$1:$BQ$152,_xlfn.XMATCH($B58,'FX Rates'!$A$1:$BQ$1,-1,1),0)=0,"No Exch Rate Data",IF($G58=0,"",$G58/VLOOKUP($H58,'FX Rates'!$A$1:$BQ$152,_xlfn.XMATCH($B58,'FX Rates'!$A$1:$BQ$1,-1,1),0))))</f>
        <v/>
      </c>
    </row>
    <row r="59" spans="2:10" x14ac:dyDescent="0.25">
      <c r="B59" s="87"/>
      <c r="I59" s="111" t="str">
        <f t="shared" si="3"/>
        <v/>
      </c>
      <c r="J59" s="89" t="str">
        <f>IF(ISBLANK($H59),"",IF(VLOOKUP($H59,'FX Rates'!$A$1:$BQ$152,_xlfn.XMATCH($B59,'FX Rates'!$A$1:$BQ$1,-1,1),0)=0,"No Exch Rate Data",IF($G59=0,"",$G59/VLOOKUP($H59,'FX Rates'!$A$1:$BQ$152,_xlfn.XMATCH($B59,'FX Rates'!$A$1:$BQ$1,-1,1),0))))</f>
        <v/>
      </c>
    </row>
    <row r="60" spans="2:10" x14ac:dyDescent="0.25">
      <c r="B60" s="87"/>
      <c r="I60" s="111" t="str">
        <f t="shared" si="3"/>
        <v/>
      </c>
      <c r="J60" s="89" t="str">
        <f>IF(ISBLANK($H60),"",IF(VLOOKUP($H60,'FX Rates'!$A$1:$BQ$152,_xlfn.XMATCH($B60,'FX Rates'!$A$1:$BQ$1,-1,1),0)=0,"No Exch Rate Data",IF($G60=0,"",$G60/VLOOKUP($H60,'FX Rates'!$A$1:$BQ$152,_xlfn.XMATCH($B60,'FX Rates'!$A$1:$BQ$1,-1,1),0))))</f>
        <v/>
      </c>
    </row>
    <row r="61" spans="2:10" x14ac:dyDescent="0.25">
      <c r="B61" s="87"/>
      <c r="I61" s="111" t="str">
        <f t="shared" si="3"/>
        <v/>
      </c>
      <c r="J61" s="89" t="str">
        <f>IF(ISBLANK($H61),"",IF(VLOOKUP($H61,'FX Rates'!$A$1:$BQ$152,_xlfn.XMATCH($B61,'FX Rates'!$A$1:$BQ$1,-1,1),0)=0,"No Exch Rate Data",IF($G61=0,"",$G61/VLOOKUP($H61,'FX Rates'!$A$1:$BQ$152,_xlfn.XMATCH($B61,'FX Rates'!$A$1:$BQ$1,-1,1),0))))</f>
        <v/>
      </c>
    </row>
    <row r="62" spans="2:10" x14ac:dyDescent="0.25">
      <c r="B62" s="87"/>
      <c r="I62" s="111" t="str">
        <f t="shared" si="3"/>
        <v/>
      </c>
      <c r="J62" s="89" t="str">
        <f>IF(ISBLANK($H62),"",IF(VLOOKUP($H62,'FX Rates'!$A$1:$BQ$152,_xlfn.XMATCH($B62,'FX Rates'!$A$1:$BQ$1,-1,1),0)=0,"No Exch Rate Data",IF($G62=0,"",$G62/VLOOKUP($H62,'FX Rates'!$A$1:$BQ$152,_xlfn.XMATCH($B62,'FX Rates'!$A$1:$BQ$1,-1,1),0))))</f>
        <v/>
      </c>
    </row>
    <row r="63" spans="2:10" x14ac:dyDescent="0.25">
      <c r="B63" s="87"/>
      <c r="I63" s="111" t="str">
        <f t="shared" si="3"/>
        <v/>
      </c>
      <c r="J63" s="89" t="str">
        <f>IF(ISBLANK($H63),"",IF(VLOOKUP($H63,'FX Rates'!$A$1:$BQ$152,_xlfn.XMATCH($B63,'FX Rates'!$A$1:$BQ$1,-1,1),0)=0,"No Exch Rate Data",IF($G63=0,"",$G63/VLOOKUP($H63,'FX Rates'!$A$1:$BQ$152,_xlfn.XMATCH($B63,'FX Rates'!$A$1:$BQ$1,-1,1),0))))</f>
        <v/>
      </c>
    </row>
    <row r="64" spans="2:10" x14ac:dyDescent="0.25">
      <c r="B64" s="87"/>
      <c r="I64" s="111" t="str">
        <f t="shared" si="3"/>
        <v/>
      </c>
      <c r="J64" s="89" t="str">
        <f>IF(ISBLANK($H64),"",IF(VLOOKUP($H64,'FX Rates'!$A$1:$BQ$152,_xlfn.XMATCH($B64,'FX Rates'!$A$1:$BQ$1,-1,1),0)=0,"No Exch Rate Data",IF($G64=0,"",$G64/VLOOKUP($H64,'FX Rates'!$A$1:$BQ$152,_xlfn.XMATCH($B64,'FX Rates'!$A$1:$BQ$1,-1,1),0))))</f>
        <v/>
      </c>
    </row>
    <row r="65" spans="2:10" x14ac:dyDescent="0.25">
      <c r="B65" s="87"/>
      <c r="I65" s="111" t="str">
        <f t="shared" si="3"/>
        <v/>
      </c>
      <c r="J65" s="89" t="str">
        <f>IF(ISBLANK($H65),"",IF(VLOOKUP($H65,'FX Rates'!$A$1:$BQ$152,_xlfn.XMATCH($B65,'FX Rates'!$A$1:$BQ$1,-1,1),0)=0,"No Exch Rate Data",IF($G65=0,"",$G65/VLOOKUP($H65,'FX Rates'!$A$1:$BQ$152,_xlfn.XMATCH($B65,'FX Rates'!$A$1:$BQ$1,-1,1),0))))</f>
        <v/>
      </c>
    </row>
    <row r="66" spans="2:10" x14ac:dyDescent="0.25">
      <c r="B66" s="87"/>
      <c r="I66" s="111" t="str">
        <f t="shared" si="3"/>
        <v/>
      </c>
      <c r="J66" s="89" t="str">
        <f>IF(ISBLANK($H66),"",IF(VLOOKUP($H66,'FX Rates'!$A$1:$BQ$152,_xlfn.XMATCH($B66,'FX Rates'!$A$1:$BQ$1,-1,1),0)=0,"No Exch Rate Data",IF($G66=0,"",$G66/VLOOKUP($H66,'FX Rates'!$A$1:$BQ$152,_xlfn.XMATCH($B66,'FX Rates'!$A$1:$BQ$1,-1,1),0))))</f>
        <v/>
      </c>
    </row>
    <row r="67" spans="2:10" x14ac:dyDescent="0.25">
      <c r="B67" s="87"/>
      <c r="I67" s="111" t="str">
        <f t="shared" si="3"/>
        <v/>
      </c>
      <c r="J67" s="89" t="str">
        <f>IF(ISBLANK($H67),"",IF(VLOOKUP($H67,'FX Rates'!$A$1:$BQ$152,_xlfn.XMATCH($B67,'FX Rates'!$A$1:$BQ$1,-1,1),0)=0,"No Exch Rate Data",IF($G67=0,"",$G67/VLOOKUP($H67,'FX Rates'!$A$1:$BQ$152,_xlfn.XMATCH($B67,'FX Rates'!$A$1:$BQ$1,-1,1),0))))</f>
        <v/>
      </c>
    </row>
    <row r="68" spans="2:10" x14ac:dyDescent="0.25">
      <c r="B68" s="87"/>
      <c r="I68" s="111" t="str">
        <f t="shared" si="3"/>
        <v/>
      </c>
      <c r="J68" s="89" t="str">
        <f>IF(ISBLANK($H68),"",IF(VLOOKUP($H68,'FX Rates'!$A$1:$BQ$152,_xlfn.XMATCH($B68,'FX Rates'!$A$1:$BQ$1,-1,1),0)=0,"No Exch Rate Data",IF($G68=0,"",$G68/VLOOKUP($H68,'FX Rates'!$A$1:$BQ$152,_xlfn.XMATCH($B68,'FX Rates'!$A$1:$BQ$1,-1,1),0))))</f>
        <v/>
      </c>
    </row>
    <row r="69" spans="2:10" x14ac:dyDescent="0.25">
      <c r="B69" s="87"/>
      <c r="I69" s="111" t="str">
        <f t="shared" si="3"/>
        <v/>
      </c>
      <c r="J69" s="89" t="str">
        <f>IF(ISBLANK($H69),"",IF(VLOOKUP($H69,'FX Rates'!$A$1:$BQ$152,_xlfn.XMATCH($B69,'FX Rates'!$A$1:$BQ$1,-1,1),0)=0,"No Exch Rate Data",IF($G69=0,"",$G69/VLOOKUP($H69,'FX Rates'!$A$1:$BQ$152,_xlfn.XMATCH($B69,'FX Rates'!$A$1:$BQ$1,-1,1),0))))</f>
        <v/>
      </c>
    </row>
    <row r="70" spans="2:10" x14ac:dyDescent="0.25">
      <c r="B70" s="87"/>
      <c r="I70" s="111" t="str">
        <f t="shared" si="3"/>
        <v/>
      </c>
      <c r="J70" s="89" t="str">
        <f>IF(ISBLANK($H70),"",IF(VLOOKUP($H70,'FX Rates'!$A$1:$BQ$152,_xlfn.XMATCH($B70,'FX Rates'!$A$1:$BQ$1,-1,1),0)=0,"No Exch Rate Data",IF($G70=0,"",$G70/VLOOKUP($H70,'FX Rates'!$A$1:$BQ$152,_xlfn.XMATCH($B70,'FX Rates'!$A$1:$BQ$1,-1,1),0))))</f>
        <v/>
      </c>
    </row>
    <row r="71" spans="2:10" x14ac:dyDescent="0.25">
      <c r="B71" s="87"/>
      <c r="I71" s="111" t="str">
        <f t="shared" si="3"/>
        <v/>
      </c>
      <c r="J71" s="89" t="str">
        <f>IF(ISBLANK($H71),"",IF(VLOOKUP($H71,'FX Rates'!$A$1:$BQ$152,_xlfn.XMATCH($B71,'FX Rates'!$A$1:$BQ$1,-1,1),0)=0,"No Exch Rate Data",IF($G71=0,"",$G71/VLOOKUP($H71,'FX Rates'!$A$1:$BQ$152,_xlfn.XMATCH($B71,'FX Rates'!$A$1:$BQ$1,-1,1),0))))</f>
        <v/>
      </c>
    </row>
    <row r="72" spans="2:10" x14ac:dyDescent="0.25">
      <c r="B72" s="87"/>
      <c r="I72" s="111" t="str">
        <f t="shared" si="3"/>
        <v/>
      </c>
      <c r="J72" s="89" t="str">
        <f>IF(ISBLANK($H72),"",IF(VLOOKUP($H72,'FX Rates'!$A$1:$BQ$152,_xlfn.XMATCH($B72,'FX Rates'!$A$1:$BQ$1,-1,1),0)=0,"No Exch Rate Data",IF($G72=0,"",$G72/VLOOKUP($H72,'FX Rates'!$A$1:$BQ$152,_xlfn.XMATCH($B72,'FX Rates'!$A$1:$BQ$1,-1,1),0))))</f>
        <v/>
      </c>
    </row>
    <row r="73" spans="2:10" x14ac:dyDescent="0.25">
      <c r="B73" s="87"/>
      <c r="I73" s="111" t="str">
        <f t="shared" si="3"/>
        <v/>
      </c>
      <c r="J73" s="89" t="str">
        <f>IF(ISBLANK($H73),"",IF(VLOOKUP($H73,'FX Rates'!$A$1:$BQ$152,_xlfn.XMATCH($B73,'FX Rates'!$A$1:$BQ$1,-1,1),0)=0,"No Exch Rate Data",IF($G73=0,"",$G73/VLOOKUP($H73,'FX Rates'!$A$1:$BQ$152,_xlfn.XMATCH($B73,'FX Rates'!$A$1:$BQ$1,-1,1),0))))</f>
        <v/>
      </c>
    </row>
    <row r="74" spans="2:10" x14ac:dyDescent="0.25">
      <c r="B74" s="87"/>
      <c r="I74" s="111" t="str">
        <f t="shared" si="3"/>
        <v/>
      </c>
      <c r="J74" s="89" t="str">
        <f>IF(ISBLANK($H74),"",IF(VLOOKUP($H74,'FX Rates'!$A$1:$BQ$152,_xlfn.XMATCH($B74,'FX Rates'!$A$1:$BQ$1,-1,1),0)=0,"No Exch Rate Data",IF($G74=0,"",$G74/VLOOKUP($H74,'FX Rates'!$A$1:$BQ$152,_xlfn.XMATCH($B74,'FX Rates'!$A$1:$BQ$1,-1,1),0))))</f>
        <v/>
      </c>
    </row>
    <row r="75" spans="2:10" x14ac:dyDescent="0.25">
      <c r="B75" s="87"/>
      <c r="I75" s="111" t="str">
        <f t="shared" si="3"/>
        <v/>
      </c>
      <c r="J75" s="89" t="str">
        <f>IF(ISBLANK($H75),"",IF(VLOOKUP($H75,'FX Rates'!$A$1:$BQ$152,_xlfn.XMATCH($B75,'FX Rates'!$A$1:$BQ$1,-1,1),0)=0,"No Exch Rate Data",IF($G75=0,"",$G75/VLOOKUP($H75,'FX Rates'!$A$1:$BQ$152,_xlfn.XMATCH($B75,'FX Rates'!$A$1:$BQ$1,-1,1),0))))</f>
        <v/>
      </c>
    </row>
    <row r="76" spans="2:10" x14ac:dyDescent="0.25">
      <c r="B76" s="87"/>
      <c r="I76" s="111" t="str">
        <f t="shared" si="3"/>
        <v/>
      </c>
      <c r="J76" s="89" t="str">
        <f>IF(ISBLANK($H76),"",IF(VLOOKUP($H76,'FX Rates'!$A$1:$BQ$152,_xlfn.XMATCH($B76,'FX Rates'!$A$1:$BQ$1,-1,1),0)=0,"No Exch Rate Data",IF($G76=0,"",$G76/VLOOKUP($H76,'FX Rates'!$A$1:$BQ$152,_xlfn.XMATCH($B76,'FX Rates'!$A$1:$BQ$1,-1,1),0))))</f>
        <v/>
      </c>
    </row>
    <row r="77" spans="2:10" x14ac:dyDescent="0.25">
      <c r="B77" s="87"/>
      <c r="I77" s="111" t="str">
        <f t="shared" si="3"/>
        <v/>
      </c>
      <c r="J77" s="89" t="str">
        <f>IF(ISBLANK($H77),"",IF(VLOOKUP($H77,'FX Rates'!$A$1:$BQ$152,_xlfn.XMATCH($B77,'FX Rates'!$A$1:$BQ$1,-1,1),0)=0,"No Exch Rate Data",IF($G77=0,"",$G77/VLOOKUP($H77,'FX Rates'!$A$1:$BQ$152,_xlfn.XMATCH($B77,'FX Rates'!$A$1:$BQ$1,-1,1),0))))</f>
        <v/>
      </c>
    </row>
    <row r="78" spans="2:10" x14ac:dyDescent="0.25">
      <c r="B78" s="87"/>
      <c r="I78" s="111" t="str">
        <f t="shared" si="3"/>
        <v/>
      </c>
      <c r="J78" s="89" t="str">
        <f>IF(ISBLANK($H78),"",IF(VLOOKUP($H78,'FX Rates'!$A$1:$BQ$152,_xlfn.XMATCH($B78,'FX Rates'!$A$1:$BQ$1,-1,1),0)=0,"No Exch Rate Data",IF($G78=0,"",$G78/VLOOKUP($H78,'FX Rates'!$A$1:$BQ$152,_xlfn.XMATCH($B78,'FX Rates'!$A$1:$BQ$1,-1,1),0))))</f>
        <v/>
      </c>
    </row>
    <row r="79" spans="2:10" x14ac:dyDescent="0.25">
      <c r="B79" s="87"/>
      <c r="I79" s="111" t="str">
        <f t="shared" si="3"/>
        <v/>
      </c>
      <c r="J79" s="89" t="str">
        <f>IF(ISBLANK($H79),"",IF(VLOOKUP($H79,'FX Rates'!$A$1:$BQ$152,_xlfn.XMATCH($B79,'FX Rates'!$A$1:$BQ$1,-1,1),0)=0,"No Exch Rate Data",IF($G79=0,"",$G79/VLOOKUP($H79,'FX Rates'!$A$1:$BQ$152,_xlfn.XMATCH($B79,'FX Rates'!$A$1:$BQ$1,-1,1),0))))</f>
        <v/>
      </c>
    </row>
    <row r="80" spans="2:10" x14ac:dyDescent="0.25">
      <c r="B80" s="87"/>
      <c r="I80" s="111" t="str">
        <f t="shared" si="3"/>
        <v/>
      </c>
      <c r="J80" s="89" t="str">
        <f>IF(ISBLANK($H80),"",IF(VLOOKUP($H80,'FX Rates'!$A$1:$BQ$152,_xlfn.XMATCH($B80,'FX Rates'!$A$1:$BQ$1,-1,1),0)=0,"No Exch Rate Data",IF($G80=0,"",$G80/VLOOKUP($H80,'FX Rates'!$A$1:$BQ$152,_xlfn.XMATCH($B80,'FX Rates'!$A$1:$BQ$1,-1,1),0))))</f>
        <v/>
      </c>
    </row>
    <row r="81" spans="2:10" x14ac:dyDescent="0.25">
      <c r="B81" s="87"/>
      <c r="I81" s="111" t="str">
        <f t="shared" si="3"/>
        <v/>
      </c>
      <c r="J81" s="89" t="str">
        <f>IF(ISBLANK($H81),"",IF(VLOOKUP($H81,'FX Rates'!$A$1:$BQ$152,_xlfn.XMATCH($B81,'FX Rates'!$A$1:$BQ$1,-1,1),0)=0,"No Exch Rate Data",IF($G81=0,"",$G81/VLOOKUP($H81,'FX Rates'!$A$1:$BQ$152,_xlfn.XMATCH($B81,'FX Rates'!$A$1:$BQ$1,-1,1),0))))</f>
        <v/>
      </c>
    </row>
    <row r="82" spans="2:10" x14ac:dyDescent="0.25">
      <c r="B82" s="87"/>
      <c r="I82" s="111" t="str">
        <f t="shared" si="3"/>
        <v/>
      </c>
      <c r="J82" s="89" t="str">
        <f>IF(ISBLANK($H82),"",IF(VLOOKUP($H82,'FX Rates'!$A$1:$BQ$152,_xlfn.XMATCH($B82,'FX Rates'!$A$1:$BQ$1,-1,1),0)=0,"No Exch Rate Data",IF($G82=0,"",$G82/VLOOKUP($H82,'FX Rates'!$A$1:$BQ$152,_xlfn.XMATCH($B82,'FX Rates'!$A$1:$BQ$1,-1,1),0))))</f>
        <v/>
      </c>
    </row>
    <row r="83" spans="2:10" x14ac:dyDescent="0.25">
      <c r="B83" s="87"/>
      <c r="I83" s="111" t="str">
        <f t="shared" si="3"/>
        <v/>
      </c>
      <c r="J83" s="89" t="str">
        <f>IF(ISBLANK($H83),"",IF(VLOOKUP($H83,'FX Rates'!$A$1:$BQ$152,_xlfn.XMATCH($B83,'FX Rates'!$A$1:$BQ$1,-1,1),0)=0,"No Exch Rate Data",IF($G83=0,"",$G83/VLOOKUP($H83,'FX Rates'!$A$1:$BQ$152,_xlfn.XMATCH($B83,'FX Rates'!$A$1:$BQ$1,-1,1),0))))</f>
        <v/>
      </c>
    </row>
    <row r="84" spans="2:10" x14ac:dyDescent="0.25">
      <c r="B84" s="87"/>
      <c r="I84" s="111" t="str">
        <f t="shared" si="3"/>
        <v/>
      </c>
      <c r="J84" s="89" t="str">
        <f>IF(ISBLANK($H84),"",IF(VLOOKUP($H84,'FX Rates'!$A$1:$BQ$152,_xlfn.XMATCH($B84,'FX Rates'!$A$1:$BQ$1,-1,1),0)=0,"No Exch Rate Data",IF($G84=0,"",$G84/VLOOKUP($H84,'FX Rates'!$A$1:$BQ$152,_xlfn.XMATCH($B84,'FX Rates'!$A$1:$BQ$1,-1,1),0))))</f>
        <v/>
      </c>
    </row>
    <row r="85" spans="2:10" x14ac:dyDescent="0.25">
      <c r="B85" s="87"/>
      <c r="I85" s="111" t="str">
        <f t="shared" si="3"/>
        <v/>
      </c>
      <c r="J85" s="89" t="str">
        <f>IF(ISBLANK($H85),"",IF(VLOOKUP($H85,'FX Rates'!$A$1:$BQ$152,_xlfn.XMATCH($B85,'FX Rates'!$A$1:$BQ$1,-1,1),0)=0,"No Exch Rate Data",IF($G85=0,"",$G85/VLOOKUP($H85,'FX Rates'!$A$1:$BQ$152,_xlfn.XMATCH($B85,'FX Rates'!$A$1:$BQ$1,-1,1),0))))</f>
        <v/>
      </c>
    </row>
    <row r="86" spans="2:10" x14ac:dyDescent="0.25">
      <c r="B86" s="87"/>
      <c r="I86" s="111" t="str">
        <f t="shared" si="3"/>
        <v/>
      </c>
      <c r="J86" s="89" t="str">
        <f>IF(ISBLANK($H86),"",IF(VLOOKUP($H86,'FX Rates'!$A$1:$BQ$152,_xlfn.XMATCH($B86,'FX Rates'!$A$1:$BQ$1,-1,1),0)=0,"No Exch Rate Data",IF($G86=0,"",$G86/VLOOKUP($H86,'FX Rates'!$A$1:$BQ$152,_xlfn.XMATCH($B86,'FX Rates'!$A$1:$BQ$1,-1,1),0))))</f>
        <v/>
      </c>
    </row>
    <row r="87" spans="2:10" x14ac:dyDescent="0.25">
      <c r="B87" s="87"/>
      <c r="I87" s="111" t="str">
        <f t="shared" si="3"/>
        <v/>
      </c>
      <c r="J87" s="89" t="str">
        <f>IF(ISBLANK($H87),"",IF(VLOOKUP($H87,'FX Rates'!$A$1:$BQ$152,_xlfn.XMATCH($B87,'FX Rates'!$A$1:$BQ$1,-1,1),0)=0,"No Exch Rate Data",IF($G87=0,"",$G87/VLOOKUP($H87,'FX Rates'!$A$1:$BQ$152,_xlfn.XMATCH($B87,'FX Rates'!$A$1:$BQ$1,-1,1),0))))</f>
        <v/>
      </c>
    </row>
    <row r="88" spans="2:10" x14ac:dyDescent="0.25">
      <c r="B88" s="87"/>
      <c r="I88" s="111" t="str">
        <f t="shared" si="3"/>
        <v/>
      </c>
      <c r="J88" s="89" t="str">
        <f>IF(ISBLANK($H88),"",IF(VLOOKUP($H88,'FX Rates'!$A$1:$BQ$152,_xlfn.XMATCH($B88,'FX Rates'!$A$1:$BQ$1,-1,1),0)=0,"No Exch Rate Data",IF($G88=0,"",$G88/VLOOKUP($H88,'FX Rates'!$A$1:$BQ$152,_xlfn.XMATCH($B88,'FX Rates'!$A$1:$BQ$1,-1,1),0))))</f>
        <v/>
      </c>
    </row>
    <row r="89" spans="2:10" x14ac:dyDescent="0.25">
      <c r="B89" s="87"/>
      <c r="I89" s="111" t="str">
        <f t="shared" si="3"/>
        <v/>
      </c>
      <c r="J89" s="89" t="str">
        <f>IF(ISBLANK($H89),"",IF(VLOOKUP($H89,'FX Rates'!$A$1:$BQ$152,_xlfn.XMATCH($B89,'FX Rates'!$A$1:$BQ$1,-1,1),0)=0,"No Exch Rate Data",IF($G89=0,"",$G89/VLOOKUP($H89,'FX Rates'!$A$1:$BQ$152,_xlfn.XMATCH($B89,'FX Rates'!$A$1:$BQ$1,-1,1),0))))</f>
        <v/>
      </c>
    </row>
    <row r="90" spans="2:10" x14ac:dyDescent="0.25">
      <c r="B90" s="87"/>
      <c r="I90" s="111" t="str">
        <f t="shared" si="3"/>
        <v/>
      </c>
      <c r="J90" s="89" t="str">
        <f>IF(ISBLANK($H90),"",IF(VLOOKUP($H90,'FX Rates'!$A$1:$BQ$152,_xlfn.XMATCH($B90,'FX Rates'!$A$1:$BQ$1,-1,1),0)=0,"No Exch Rate Data",IF($G90=0,"",$G90/VLOOKUP($H90,'FX Rates'!$A$1:$BQ$152,_xlfn.XMATCH($B90,'FX Rates'!$A$1:$BQ$1,-1,1),0))))</f>
        <v/>
      </c>
    </row>
    <row r="91" spans="2:10" x14ac:dyDescent="0.25">
      <c r="B91" s="87"/>
      <c r="I91" s="111" t="str">
        <f t="shared" si="3"/>
        <v/>
      </c>
      <c r="J91" s="89" t="str">
        <f>IF(ISBLANK($H91),"",IF(VLOOKUP($H91,'FX Rates'!$A$1:$BQ$152,_xlfn.XMATCH($B91,'FX Rates'!$A$1:$BQ$1,-1,1),0)=0,"No Exch Rate Data",IF($G91=0,"",$G91/VLOOKUP($H91,'FX Rates'!$A$1:$BQ$152,_xlfn.XMATCH($B91,'FX Rates'!$A$1:$BQ$1,-1,1),0))))</f>
        <v/>
      </c>
    </row>
    <row r="92" spans="2:10" x14ac:dyDescent="0.25">
      <c r="B92" s="87"/>
      <c r="I92" s="111" t="str">
        <f t="shared" si="3"/>
        <v/>
      </c>
      <c r="J92" s="89" t="str">
        <f>IF(ISBLANK($H92),"",IF(VLOOKUP($H92,'FX Rates'!$A$1:$BQ$152,_xlfn.XMATCH($B92,'FX Rates'!$A$1:$BQ$1,-1,1),0)=0,"No Exch Rate Data",IF($G92=0,"",$G92/VLOOKUP($H92,'FX Rates'!$A$1:$BQ$152,_xlfn.XMATCH($B92,'FX Rates'!$A$1:$BQ$1,-1,1),0))))</f>
        <v/>
      </c>
    </row>
    <row r="93" spans="2:10" x14ac:dyDescent="0.25">
      <c r="B93" s="87"/>
      <c r="I93" s="111" t="str">
        <f t="shared" si="3"/>
        <v/>
      </c>
      <c r="J93" s="89" t="str">
        <f>IF(ISBLANK($H93),"",IF(VLOOKUP($H93,'FX Rates'!$A$1:$BQ$152,_xlfn.XMATCH($B93,'FX Rates'!$A$1:$BQ$1,-1,1),0)=0,"No Exch Rate Data",IF($G93=0,"",$G93/VLOOKUP($H93,'FX Rates'!$A$1:$BQ$152,_xlfn.XMATCH($B93,'FX Rates'!$A$1:$BQ$1,-1,1),0))))</f>
        <v/>
      </c>
    </row>
    <row r="94" spans="2:10" x14ac:dyDescent="0.25">
      <c r="B94" s="87"/>
      <c r="I94" s="111" t="str">
        <f t="shared" si="3"/>
        <v/>
      </c>
      <c r="J94" s="89" t="str">
        <f>IF(ISBLANK($H94),"",IF(VLOOKUP($H94,'FX Rates'!$A$1:$BQ$152,_xlfn.XMATCH($B94,'FX Rates'!$A$1:$BQ$1,-1,1),0)=0,"No Exch Rate Data",IF($G94=0,"",$G94/VLOOKUP($H94,'FX Rates'!$A$1:$BQ$152,_xlfn.XMATCH($B94,'FX Rates'!$A$1:$BQ$1,-1,1),0))))</f>
        <v/>
      </c>
    </row>
    <row r="95" spans="2:10" x14ac:dyDescent="0.25">
      <c r="B95" s="87"/>
      <c r="I95" s="111" t="str">
        <f t="shared" si="3"/>
        <v/>
      </c>
      <c r="J95" s="89" t="str">
        <f>IF(ISBLANK($H95),"",IF(VLOOKUP($H95,'FX Rates'!$A$1:$BQ$152,_xlfn.XMATCH($B95,'FX Rates'!$A$1:$BQ$1,-1,1),0)=0,"No Exch Rate Data",IF($G95=0,"",$G95/VLOOKUP($H95,'FX Rates'!$A$1:$BQ$152,_xlfn.XMATCH($B95,'FX Rates'!$A$1:$BQ$1,-1,1),0))))</f>
        <v/>
      </c>
    </row>
    <row r="96" spans="2:10" x14ac:dyDescent="0.25">
      <c r="B96" s="87"/>
      <c r="I96" s="111" t="str">
        <f t="shared" si="3"/>
        <v/>
      </c>
      <c r="J96" s="89" t="str">
        <f>IF(ISBLANK($H96),"",IF(VLOOKUP($H96,'FX Rates'!$A$1:$BQ$152,_xlfn.XMATCH($B96,'FX Rates'!$A$1:$BQ$1,-1,1),0)=0,"No Exch Rate Data",IF($G96=0,"",$G96/VLOOKUP($H96,'FX Rates'!$A$1:$BQ$152,_xlfn.XMATCH($B96,'FX Rates'!$A$1:$BQ$1,-1,1),0))))</f>
        <v/>
      </c>
    </row>
    <row r="97" spans="2:10" x14ac:dyDescent="0.25">
      <c r="B97" s="87"/>
      <c r="I97" s="111" t="str">
        <f t="shared" si="3"/>
        <v/>
      </c>
      <c r="J97" s="89" t="str">
        <f>IF(ISBLANK($H97),"",IF(VLOOKUP($H97,'FX Rates'!$A$1:$BQ$152,_xlfn.XMATCH($B97,'FX Rates'!$A$1:$BQ$1,-1,1),0)=0,"No Exch Rate Data",IF($G97=0,"",$G97/VLOOKUP($H97,'FX Rates'!$A$1:$BQ$152,_xlfn.XMATCH($B97,'FX Rates'!$A$1:$BQ$1,-1,1),0))))</f>
        <v/>
      </c>
    </row>
    <row r="98" spans="2:10" x14ac:dyDescent="0.25">
      <c r="B98" s="87"/>
      <c r="I98" s="111" t="str">
        <f t="shared" si="3"/>
        <v/>
      </c>
      <c r="J98" s="89" t="str">
        <f>IF(ISBLANK($H98),"",IF(VLOOKUP($H98,'FX Rates'!$A$1:$BQ$152,_xlfn.XMATCH($B98,'FX Rates'!$A$1:$BQ$1,-1,1),0)=0,"No Exch Rate Data",IF($G98=0,"",$G98/VLOOKUP($H98,'FX Rates'!$A$1:$BQ$152,_xlfn.XMATCH($B98,'FX Rates'!$A$1:$BQ$1,-1,1),0))))</f>
        <v/>
      </c>
    </row>
    <row r="99" spans="2:10" x14ac:dyDescent="0.25">
      <c r="B99" s="87"/>
      <c r="I99" s="111" t="str">
        <f t="shared" si="3"/>
        <v/>
      </c>
      <c r="J99" s="89" t="str">
        <f>IF(ISBLANK($H99),"",IF(VLOOKUP($H99,'FX Rates'!$A$1:$BQ$152,_xlfn.XMATCH($B99,'FX Rates'!$A$1:$BQ$1,-1,1),0)=0,"No Exch Rate Data",IF($G99=0,"",$G99/VLOOKUP($H99,'FX Rates'!$A$1:$BQ$152,_xlfn.XMATCH($B99,'FX Rates'!$A$1:$BQ$1,-1,1),0))))</f>
        <v/>
      </c>
    </row>
    <row r="100" spans="2:10" x14ac:dyDescent="0.25">
      <c r="B100" s="87"/>
      <c r="I100" s="111" t="str">
        <f t="shared" si="3"/>
        <v/>
      </c>
      <c r="J100" s="89" t="str">
        <f>IF(ISBLANK($H100),"",IF(VLOOKUP($H100,'FX Rates'!$A$1:$BQ$152,_xlfn.XMATCH($B100,'FX Rates'!$A$1:$BQ$1,-1,1),0)=0,"No Exch Rate Data",IF($G100=0,"",$G100/VLOOKUP($H100,'FX Rates'!$A$1:$BQ$152,_xlfn.XMATCH($B100,'FX Rates'!$A$1:$BQ$1,-1,1),0))))</f>
        <v/>
      </c>
    </row>
    <row r="101" spans="2:10" x14ac:dyDescent="0.25">
      <c r="B101" s="87"/>
      <c r="I101" s="111" t="str">
        <f t="shared" si="3"/>
        <v/>
      </c>
      <c r="J101" s="89" t="str">
        <f>IF(ISBLANK($H101),"",IF(VLOOKUP($H101,'FX Rates'!$A$1:$BQ$152,_xlfn.XMATCH($B101,'FX Rates'!$A$1:$BQ$1,-1,1),0)=0,"No Exch Rate Data",IF($G101=0,"",$G101/VLOOKUP($H101,'FX Rates'!$A$1:$BQ$152,_xlfn.XMATCH($B101,'FX Rates'!$A$1:$BQ$1,-1,1),0))))</f>
        <v/>
      </c>
    </row>
    <row r="102" spans="2:10" x14ac:dyDescent="0.25">
      <c r="B102" s="87"/>
      <c r="I102" s="111" t="str">
        <f t="shared" si="3"/>
        <v/>
      </c>
      <c r="J102" s="89" t="str">
        <f>IF(ISBLANK($H102),"",IF(VLOOKUP($H102,'FX Rates'!$A$1:$BQ$152,_xlfn.XMATCH($B102,'FX Rates'!$A$1:$BQ$1,-1,1),0)=0,"No Exch Rate Data",IF($G102=0,"",$G102/VLOOKUP($H102,'FX Rates'!$A$1:$BQ$152,_xlfn.XMATCH($B102,'FX Rates'!$A$1:$BQ$1,-1,1),0))))</f>
        <v/>
      </c>
    </row>
    <row r="103" spans="2:10" x14ac:dyDescent="0.25">
      <c r="B103" s="87"/>
      <c r="I103" s="111" t="str">
        <f t="shared" si="3"/>
        <v/>
      </c>
      <c r="J103" s="89" t="str">
        <f>IF(ISBLANK($H103),"",IF(VLOOKUP($H103,'FX Rates'!$A$1:$BQ$152,_xlfn.XMATCH($B103,'FX Rates'!$A$1:$BQ$1,-1,1),0)=0,"No Exch Rate Data",IF($G103=0,"",$G103/VLOOKUP($H103,'FX Rates'!$A$1:$BQ$152,_xlfn.XMATCH($B103,'FX Rates'!$A$1:$BQ$1,-1,1),0))))</f>
        <v/>
      </c>
    </row>
    <row r="104" spans="2:10" x14ac:dyDescent="0.25">
      <c r="B104" s="87"/>
      <c r="I104" s="111" t="str">
        <f t="shared" si="3"/>
        <v/>
      </c>
      <c r="J104" s="89" t="str">
        <f>IF(ISBLANK($H104),"",IF(VLOOKUP($H104,'FX Rates'!$A$1:$BQ$152,_xlfn.XMATCH($B104,'FX Rates'!$A$1:$BQ$1,-1,1),0)=0,"No Exch Rate Data",IF($G104=0,"",$G104/VLOOKUP($H104,'FX Rates'!$A$1:$BQ$152,_xlfn.XMATCH($B104,'FX Rates'!$A$1:$BQ$1,-1,1),0))))</f>
        <v/>
      </c>
    </row>
    <row r="105" spans="2:10" x14ac:dyDescent="0.25">
      <c r="B105" s="87"/>
      <c r="I105" s="111" t="str">
        <f t="shared" si="3"/>
        <v/>
      </c>
      <c r="J105" s="89" t="str">
        <f>IF(ISBLANK($H105),"",IF(VLOOKUP($H105,'FX Rates'!$A$1:$BQ$152,_xlfn.XMATCH($B105,'FX Rates'!$A$1:$BQ$1,-1,1),0)=0,"No Exch Rate Data",IF($G105=0,"",$G105/VLOOKUP($H105,'FX Rates'!$A$1:$BQ$152,_xlfn.XMATCH($B105,'FX Rates'!$A$1:$BQ$1,-1,1),0))))</f>
        <v/>
      </c>
    </row>
    <row r="106" spans="2:10" x14ac:dyDescent="0.25">
      <c r="B106" s="87"/>
      <c r="I106" s="111" t="str">
        <f t="shared" ref="I106:I169" si="4">IF(ISBLANK($D106),"",_xlfn.XLOOKUP($D106,Item_List,Time_Span,"",0))</f>
        <v/>
      </c>
      <c r="J106" s="89" t="str">
        <f>IF(ISBLANK($H106),"",IF(VLOOKUP($H106,'FX Rates'!$A$1:$BQ$152,_xlfn.XMATCH($B106,'FX Rates'!$A$1:$BQ$1,-1,1),0)=0,"No Exch Rate Data",IF($G106=0,"",$G106/VLOOKUP($H106,'FX Rates'!$A$1:$BQ$152,_xlfn.XMATCH($B106,'FX Rates'!$A$1:$BQ$1,-1,1),0))))</f>
        <v/>
      </c>
    </row>
    <row r="107" spans="2:10" x14ac:dyDescent="0.25">
      <c r="B107" s="87"/>
      <c r="I107" s="111" t="str">
        <f t="shared" si="4"/>
        <v/>
      </c>
      <c r="J107" s="89" t="str">
        <f>IF(ISBLANK($H107),"",IF(VLOOKUP($H107,'FX Rates'!$A$1:$BQ$152,_xlfn.XMATCH($B107,'FX Rates'!$A$1:$BQ$1,-1,1),0)=0,"No Exch Rate Data",IF($G107=0,"",$G107/VLOOKUP($H107,'FX Rates'!$A$1:$BQ$152,_xlfn.XMATCH($B107,'FX Rates'!$A$1:$BQ$1,-1,1),0))))</f>
        <v/>
      </c>
    </row>
    <row r="108" spans="2:10" x14ac:dyDescent="0.25">
      <c r="B108" s="87"/>
      <c r="I108" s="111" t="str">
        <f t="shared" si="4"/>
        <v/>
      </c>
      <c r="J108" s="89" t="str">
        <f>IF(ISBLANK($H108),"",IF(VLOOKUP($H108,'FX Rates'!$A$1:$BQ$152,_xlfn.XMATCH($B108,'FX Rates'!$A$1:$BQ$1,-1,1),0)=0,"No Exch Rate Data",IF($G108=0,"",$G108/VLOOKUP($H108,'FX Rates'!$A$1:$BQ$152,_xlfn.XMATCH($B108,'FX Rates'!$A$1:$BQ$1,-1,1),0))))</f>
        <v/>
      </c>
    </row>
    <row r="109" spans="2:10" x14ac:dyDescent="0.25">
      <c r="B109" s="87"/>
      <c r="I109" s="111" t="str">
        <f t="shared" si="4"/>
        <v/>
      </c>
      <c r="J109" s="89" t="str">
        <f>IF(ISBLANK($H109),"",IF(VLOOKUP($H109,'FX Rates'!$A$1:$BQ$152,_xlfn.XMATCH($B109,'FX Rates'!$A$1:$BQ$1,-1,1),0)=0,"No Exch Rate Data",IF($G109=0,"",$G109/VLOOKUP($H109,'FX Rates'!$A$1:$BQ$152,_xlfn.XMATCH($B109,'FX Rates'!$A$1:$BQ$1,-1,1),0))))</f>
        <v/>
      </c>
    </row>
    <row r="110" spans="2:10" x14ac:dyDescent="0.25">
      <c r="B110" s="87"/>
      <c r="I110" s="111" t="str">
        <f t="shared" si="4"/>
        <v/>
      </c>
      <c r="J110" s="89" t="str">
        <f>IF(ISBLANK($H110),"",IF(VLOOKUP($H110,'FX Rates'!$A$1:$BQ$152,_xlfn.XMATCH($B110,'FX Rates'!$A$1:$BQ$1,-1,1),0)=0,"No Exch Rate Data",IF($G110=0,"",$G110/VLOOKUP($H110,'FX Rates'!$A$1:$BQ$152,_xlfn.XMATCH($B110,'FX Rates'!$A$1:$BQ$1,-1,1),0))))</f>
        <v/>
      </c>
    </row>
    <row r="111" spans="2:10" x14ac:dyDescent="0.25">
      <c r="B111" s="87"/>
      <c r="I111" s="111" t="str">
        <f t="shared" si="4"/>
        <v/>
      </c>
      <c r="J111" s="89" t="str">
        <f>IF(ISBLANK($H111),"",IF(VLOOKUP($H111,'FX Rates'!$A$1:$BQ$152,_xlfn.XMATCH($B111,'FX Rates'!$A$1:$BQ$1,-1,1),0)=0,"No Exch Rate Data",IF($G111=0,"",$G111/VLOOKUP($H111,'FX Rates'!$A$1:$BQ$152,_xlfn.XMATCH($B111,'FX Rates'!$A$1:$BQ$1,-1,1),0))))</f>
        <v/>
      </c>
    </row>
    <row r="112" spans="2:10" x14ac:dyDescent="0.25">
      <c r="B112" s="87"/>
      <c r="I112" s="111" t="str">
        <f t="shared" si="4"/>
        <v/>
      </c>
      <c r="J112" s="89" t="str">
        <f>IF(ISBLANK($H112),"",IF(VLOOKUP($H112,'FX Rates'!$A$1:$BQ$152,_xlfn.XMATCH($B112,'FX Rates'!$A$1:$BQ$1,-1,1),0)=0,"No Exch Rate Data",IF($G112=0,"",$G112/VLOOKUP($H112,'FX Rates'!$A$1:$BQ$152,_xlfn.XMATCH($B112,'FX Rates'!$A$1:$BQ$1,-1,1),0))))</f>
        <v/>
      </c>
    </row>
    <row r="113" spans="2:10" x14ac:dyDescent="0.25">
      <c r="B113" s="87"/>
      <c r="I113" s="111" t="str">
        <f t="shared" si="4"/>
        <v/>
      </c>
      <c r="J113" s="89" t="str">
        <f>IF(ISBLANK($H113),"",IF(VLOOKUP($H113,'FX Rates'!$A$1:$BQ$152,_xlfn.XMATCH($B113,'FX Rates'!$A$1:$BQ$1,-1,1),0)=0,"No Exch Rate Data",IF($G113=0,"",$G113/VLOOKUP($H113,'FX Rates'!$A$1:$BQ$152,_xlfn.XMATCH($B113,'FX Rates'!$A$1:$BQ$1,-1,1),0))))</f>
        <v/>
      </c>
    </row>
    <row r="114" spans="2:10" x14ac:dyDescent="0.25">
      <c r="B114" s="87"/>
      <c r="I114" s="111" t="str">
        <f t="shared" si="4"/>
        <v/>
      </c>
      <c r="J114" s="89" t="str">
        <f>IF(ISBLANK($H114),"",IF(VLOOKUP($H114,'FX Rates'!$A$1:$BQ$152,_xlfn.XMATCH($B114,'FX Rates'!$A$1:$BQ$1,-1,1),0)=0,"No Exch Rate Data",IF($G114=0,"",$G114/VLOOKUP($H114,'FX Rates'!$A$1:$BQ$152,_xlfn.XMATCH($B114,'FX Rates'!$A$1:$BQ$1,-1,1),0))))</f>
        <v/>
      </c>
    </row>
    <row r="115" spans="2:10" x14ac:dyDescent="0.25">
      <c r="B115" s="87"/>
      <c r="I115" s="111" t="str">
        <f t="shared" si="4"/>
        <v/>
      </c>
      <c r="J115" s="89" t="str">
        <f>IF(ISBLANK($H115),"",IF(VLOOKUP($H115,'FX Rates'!$A$1:$BQ$152,_xlfn.XMATCH($B115,'FX Rates'!$A$1:$BQ$1,-1,1),0)=0,"No Exch Rate Data",IF($G115=0,"",$G115/VLOOKUP($H115,'FX Rates'!$A$1:$BQ$152,_xlfn.XMATCH($B115,'FX Rates'!$A$1:$BQ$1,-1,1),0))))</f>
        <v/>
      </c>
    </row>
    <row r="116" spans="2:10" x14ac:dyDescent="0.25">
      <c r="B116" s="87"/>
      <c r="I116" s="111" t="str">
        <f t="shared" si="4"/>
        <v/>
      </c>
      <c r="J116" s="89" t="str">
        <f>IF(ISBLANK($H116),"",IF(VLOOKUP($H116,'FX Rates'!$A$1:$BQ$152,_xlfn.XMATCH($B116,'FX Rates'!$A$1:$BQ$1,-1,1),0)=0,"No Exch Rate Data",IF($G116=0,"",$G116/VLOOKUP($H116,'FX Rates'!$A$1:$BQ$152,_xlfn.XMATCH($B116,'FX Rates'!$A$1:$BQ$1,-1,1),0))))</f>
        <v/>
      </c>
    </row>
    <row r="117" spans="2:10" x14ac:dyDescent="0.25">
      <c r="B117" s="87"/>
      <c r="I117" s="111" t="str">
        <f t="shared" si="4"/>
        <v/>
      </c>
      <c r="J117" s="89" t="str">
        <f>IF(ISBLANK($H117),"",IF(VLOOKUP($H117,'FX Rates'!$A$1:$BQ$152,_xlfn.XMATCH($B117,'FX Rates'!$A$1:$BQ$1,-1,1),0)=0,"No Exch Rate Data",IF($G117=0,"",$G117/VLOOKUP($H117,'FX Rates'!$A$1:$BQ$152,_xlfn.XMATCH($B117,'FX Rates'!$A$1:$BQ$1,-1,1),0))))</f>
        <v/>
      </c>
    </row>
    <row r="118" spans="2:10" x14ac:dyDescent="0.25">
      <c r="B118" s="87"/>
      <c r="I118" s="111" t="str">
        <f t="shared" si="4"/>
        <v/>
      </c>
      <c r="J118" s="89" t="str">
        <f>IF(ISBLANK($H118),"",IF(VLOOKUP($H118,'FX Rates'!$A$1:$BQ$152,_xlfn.XMATCH($B118,'FX Rates'!$A$1:$BQ$1,-1,1),0)=0,"No Exch Rate Data",IF($G118=0,"",$G118/VLOOKUP($H118,'FX Rates'!$A$1:$BQ$152,_xlfn.XMATCH($B118,'FX Rates'!$A$1:$BQ$1,-1,1),0))))</f>
        <v/>
      </c>
    </row>
    <row r="119" spans="2:10" x14ac:dyDescent="0.25">
      <c r="B119" s="87"/>
      <c r="I119" s="111" t="str">
        <f t="shared" si="4"/>
        <v/>
      </c>
      <c r="J119" s="89" t="str">
        <f>IF(ISBLANK($H119),"",IF(VLOOKUP($H119,'FX Rates'!$A$1:$BQ$152,_xlfn.XMATCH($B119,'FX Rates'!$A$1:$BQ$1,-1,1),0)=0,"No Exch Rate Data",IF($G119=0,"",$G119/VLOOKUP($H119,'FX Rates'!$A$1:$BQ$152,_xlfn.XMATCH($B119,'FX Rates'!$A$1:$BQ$1,-1,1),0))))</f>
        <v/>
      </c>
    </row>
    <row r="120" spans="2:10" x14ac:dyDescent="0.25">
      <c r="B120" s="87"/>
      <c r="I120" s="111" t="str">
        <f t="shared" si="4"/>
        <v/>
      </c>
      <c r="J120" s="89" t="str">
        <f>IF(ISBLANK($H120),"",IF(VLOOKUP($H120,'FX Rates'!$A$1:$BQ$152,_xlfn.XMATCH($B120,'FX Rates'!$A$1:$BQ$1,-1,1),0)=0,"No Exch Rate Data",IF($G120=0,"",$G120/VLOOKUP($H120,'FX Rates'!$A$1:$BQ$152,_xlfn.XMATCH($B120,'FX Rates'!$A$1:$BQ$1,-1,1),0))))</f>
        <v/>
      </c>
    </row>
    <row r="121" spans="2:10" x14ac:dyDescent="0.25">
      <c r="B121" s="87"/>
      <c r="I121" s="111" t="str">
        <f t="shared" si="4"/>
        <v/>
      </c>
      <c r="J121" s="89" t="str">
        <f>IF(ISBLANK($H121),"",IF(VLOOKUP($H121,'FX Rates'!$A$1:$BQ$152,_xlfn.XMATCH($B121,'FX Rates'!$A$1:$BQ$1,-1,1),0)=0,"No Exch Rate Data",IF($G121=0,"",$G121/VLOOKUP($H121,'FX Rates'!$A$1:$BQ$152,_xlfn.XMATCH($B121,'FX Rates'!$A$1:$BQ$1,-1,1),0))))</f>
        <v/>
      </c>
    </row>
    <row r="122" spans="2:10" x14ac:dyDescent="0.25">
      <c r="B122" s="87"/>
      <c r="I122" s="111" t="str">
        <f t="shared" si="4"/>
        <v/>
      </c>
      <c r="J122" s="89" t="str">
        <f>IF(ISBLANK($H122),"",IF(VLOOKUP($H122,'FX Rates'!$A$1:$BQ$152,_xlfn.XMATCH($B122,'FX Rates'!$A$1:$BQ$1,-1,1),0)=0,"No Exch Rate Data",IF($G122=0,"",$G122/VLOOKUP($H122,'FX Rates'!$A$1:$BQ$152,_xlfn.XMATCH($B122,'FX Rates'!$A$1:$BQ$1,-1,1),0))))</f>
        <v/>
      </c>
    </row>
    <row r="123" spans="2:10" x14ac:dyDescent="0.25">
      <c r="B123" s="87"/>
      <c r="I123" s="111" t="str">
        <f t="shared" si="4"/>
        <v/>
      </c>
      <c r="J123" s="89" t="str">
        <f>IF(ISBLANK($H123),"",IF(VLOOKUP($H123,'FX Rates'!$A$1:$BQ$152,_xlfn.XMATCH($B123,'FX Rates'!$A$1:$BQ$1,-1,1),0)=0,"No Exch Rate Data",IF($G123=0,"",$G123/VLOOKUP($H123,'FX Rates'!$A$1:$BQ$152,_xlfn.XMATCH($B123,'FX Rates'!$A$1:$BQ$1,-1,1),0))))</f>
        <v/>
      </c>
    </row>
    <row r="124" spans="2:10" x14ac:dyDescent="0.25">
      <c r="B124" s="87"/>
      <c r="I124" s="111" t="str">
        <f t="shared" si="4"/>
        <v/>
      </c>
      <c r="J124" s="89" t="str">
        <f>IF(ISBLANK($H124),"",IF(VLOOKUP($H124,'FX Rates'!$A$1:$BQ$152,_xlfn.XMATCH($B124,'FX Rates'!$A$1:$BQ$1,-1,1),0)=0,"No Exch Rate Data",IF($G124=0,"",$G124/VLOOKUP($H124,'FX Rates'!$A$1:$BQ$152,_xlfn.XMATCH($B124,'FX Rates'!$A$1:$BQ$1,-1,1),0))))</f>
        <v/>
      </c>
    </row>
    <row r="125" spans="2:10" x14ac:dyDescent="0.25">
      <c r="B125" s="87"/>
      <c r="I125" s="111" t="str">
        <f t="shared" si="4"/>
        <v/>
      </c>
      <c r="J125" s="89" t="str">
        <f>IF(ISBLANK($H125),"",IF(VLOOKUP($H125,'FX Rates'!$A$1:$BQ$152,_xlfn.XMATCH($B125,'FX Rates'!$A$1:$BQ$1,-1,1),0)=0,"No Exch Rate Data",IF($G125=0,"",$G125/VLOOKUP($H125,'FX Rates'!$A$1:$BQ$152,_xlfn.XMATCH($B125,'FX Rates'!$A$1:$BQ$1,-1,1),0))))</f>
        <v/>
      </c>
    </row>
    <row r="126" spans="2:10" x14ac:dyDescent="0.25">
      <c r="B126" s="87"/>
      <c r="I126" s="111" t="str">
        <f t="shared" si="4"/>
        <v/>
      </c>
      <c r="J126" s="89" t="str">
        <f>IF(ISBLANK($H126),"",IF(VLOOKUP($H126,'FX Rates'!$A$1:$BQ$152,_xlfn.XMATCH($B126,'FX Rates'!$A$1:$BQ$1,-1,1),0)=0,"No Exch Rate Data",IF($G126=0,"",$G126/VLOOKUP($H126,'FX Rates'!$A$1:$BQ$152,_xlfn.XMATCH($B126,'FX Rates'!$A$1:$BQ$1,-1,1),0))))</f>
        <v/>
      </c>
    </row>
    <row r="127" spans="2:10" x14ac:dyDescent="0.25">
      <c r="B127" s="87"/>
      <c r="I127" s="111" t="str">
        <f t="shared" si="4"/>
        <v/>
      </c>
      <c r="J127" s="89" t="str">
        <f>IF(ISBLANK($H127),"",IF(VLOOKUP($H127,'FX Rates'!$A$1:$BQ$152,_xlfn.XMATCH($B127,'FX Rates'!$A$1:$BQ$1,-1,1),0)=0,"No Exch Rate Data",IF($G127=0,"",$G127/VLOOKUP($H127,'FX Rates'!$A$1:$BQ$152,_xlfn.XMATCH($B127,'FX Rates'!$A$1:$BQ$1,-1,1),0))))</f>
        <v/>
      </c>
    </row>
    <row r="128" spans="2:10" x14ac:dyDescent="0.25">
      <c r="B128" s="87"/>
      <c r="I128" s="111" t="str">
        <f t="shared" si="4"/>
        <v/>
      </c>
      <c r="J128" s="89" t="str">
        <f>IF(ISBLANK($H128),"",IF(VLOOKUP($H128,'FX Rates'!$A$1:$BQ$152,_xlfn.XMATCH($B128,'FX Rates'!$A$1:$BQ$1,-1,1),0)=0,"No Exch Rate Data",IF($G128=0,"",$G128/VLOOKUP($H128,'FX Rates'!$A$1:$BQ$152,_xlfn.XMATCH($B128,'FX Rates'!$A$1:$BQ$1,-1,1),0))))</f>
        <v/>
      </c>
    </row>
    <row r="129" spans="2:10" x14ac:dyDescent="0.25">
      <c r="B129" s="87"/>
      <c r="I129" s="111" t="str">
        <f t="shared" si="4"/>
        <v/>
      </c>
      <c r="J129" s="89" t="str">
        <f>IF(ISBLANK($H129),"",IF(VLOOKUP($H129,'FX Rates'!$A$1:$BQ$152,_xlfn.XMATCH($B129,'FX Rates'!$A$1:$BQ$1,-1,1),0)=0,"No Exch Rate Data",IF($G129=0,"",$G129/VLOOKUP($H129,'FX Rates'!$A$1:$BQ$152,_xlfn.XMATCH($B129,'FX Rates'!$A$1:$BQ$1,-1,1),0))))</f>
        <v/>
      </c>
    </row>
    <row r="130" spans="2:10" x14ac:dyDescent="0.25">
      <c r="B130" s="87"/>
      <c r="I130" s="111" t="str">
        <f t="shared" si="4"/>
        <v/>
      </c>
      <c r="J130" s="89" t="str">
        <f>IF(ISBLANK($H130),"",IF(VLOOKUP($H130,'FX Rates'!$A$1:$BQ$152,_xlfn.XMATCH($B130,'FX Rates'!$A$1:$BQ$1,-1,1),0)=0,"No Exch Rate Data",IF($G130=0,"",$G130/VLOOKUP($H130,'FX Rates'!$A$1:$BQ$152,_xlfn.XMATCH($B130,'FX Rates'!$A$1:$BQ$1,-1,1),0))))</f>
        <v/>
      </c>
    </row>
    <row r="131" spans="2:10" x14ac:dyDescent="0.25">
      <c r="B131" s="87"/>
      <c r="I131" s="111" t="str">
        <f t="shared" si="4"/>
        <v/>
      </c>
      <c r="J131" s="89" t="str">
        <f>IF(ISBLANK($H131),"",IF(VLOOKUP($H131,'FX Rates'!$A$1:$BQ$152,_xlfn.XMATCH($B131,'FX Rates'!$A$1:$BQ$1,-1,1),0)=0,"No Exch Rate Data",IF($G131=0,"",$G131/VLOOKUP($H131,'FX Rates'!$A$1:$BQ$152,_xlfn.XMATCH($B131,'FX Rates'!$A$1:$BQ$1,-1,1),0))))</f>
        <v/>
      </c>
    </row>
    <row r="132" spans="2:10" x14ac:dyDescent="0.25">
      <c r="B132" s="87"/>
      <c r="I132" s="111" t="str">
        <f t="shared" si="4"/>
        <v/>
      </c>
      <c r="J132" s="89" t="str">
        <f>IF(ISBLANK($H132),"",IF(VLOOKUP($H132,'FX Rates'!$A$1:$BQ$152,_xlfn.XMATCH($B132,'FX Rates'!$A$1:$BQ$1,-1,1),0)=0,"No Exch Rate Data",IF($G132=0,"",$G132/VLOOKUP($H132,'FX Rates'!$A$1:$BQ$152,_xlfn.XMATCH($B132,'FX Rates'!$A$1:$BQ$1,-1,1),0))))</f>
        <v/>
      </c>
    </row>
    <row r="133" spans="2:10" x14ac:dyDescent="0.25">
      <c r="B133" s="87"/>
      <c r="I133" s="111" t="str">
        <f t="shared" si="4"/>
        <v/>
      </c>
      <c r="J133" s="89" t="str">
        <f>IF(ISBLANK($H133),"",IF(VLOOKUP($H133,'FX Rates'!$A$1:$BQ$152,_xlfn.XMATCH($B133,'FX Rates'!$A$1:$BQ$1,-1,1),0)=0,"No Exch Rate Data",IF($G133=0,"",$G133/VLOOKUP($H133,'FX Rates'!$A$1:$BQ$152,_xlfn.XMATCH($B133,'FX Rates'!$A$1:$BQ$1,-1,1),0))))</f>
        <v/>
      </c>
    </row>
    <row r="134" spans="2:10" x14ac:dyDescent="0.25">
      <c r="B134" s="87"/>
      <c r="I134" s="111" t="str">
        <f t="shared" si="4"/>
        <v/>
      </c>
      <c r="J134" s="89" t="str">
        <f>IF(ISBLANK($H134),"",IF(VLOOKUP($H134,'FX Rates'!$A$1:$BQ$152,_xlfn.XMATCH($B134,'FX Rates'!$A$1:$BQ$1,-1,1),0)=0,"No Exch Rate Data",IF($G134=0,"",$G134/VLOOKUP($H134,'FX Rates'!$A$1:$BQ$152,_xlfn.XMATCH($B134,'FX Rates'!$A$1:$BQ$1,-1,1),0))))</f>
        <v/>
      </c>
    </row>
    <row r="135" spans="2:10" x14ac:dyDescent="0.25">
      <c r="B135" s="87"/>
      <c r="I135" s="111" t="str">
        <f t="shared" si="4"/>
        <v/>
      </c>
      <c r="J135" s="89" t="str">
        <f>IF(ISBLANK($H135),"",IF(VLOOKUP($H135,'FX Rates'!$A$1:$BQ$152,_xlfn.XMATCH($B135,'FX Rates'!$A$1:$BQ$1,-1,1),0)=0,"No Exch Rate Data",IF($G135=0,"",$G135/VLOOKUP($H135,'FX Rates'!$A$1:$BQ$152,_xlfn.XMATCH($B135,'FX Rates'!$A$1:$BQ$1,-1,1),0))))</f>
        <v/>
      </c>
    </row>
    <row r="136" spans="2:10" x14ac:dyDescent="0.25">
      <c r="B136" s="87"/>
      <c r="I136" s="111" t="str">
        <f t="shared" si="4"/>
        <v/>
      </c>
      <c r="J136" s="89" t="str">
        <f>IF(ISBLANK($H136),"",IF(VLOOKUP($H136,'FX Rates'!$A$1:$BQ$152,_xlfn.XMATCH($B136,'FX Rates'!$A$1:$BQ$1,-1,1),0)=0,"No Exch Rate Data",IF($G136=0,"",$G136/VLOOKUP($H136,'FX Rates'!$A$1:$BQ$152,_xlfn.XMATCH($B136,'FX Rates'!$A$1:$BQ$1,-1,1),0))))</f>
        <v/>
      </c>
    </row>
    <row r="137" spans="2:10" x14ac:dyDescent="0.25">
      <c r="B137" s="87"/>
      <c r="I137" s="111" t="str">
        <f t="shared" si="4"/>
        <v/>
      </c>
      <c r="J137" s="89" t="str">
        <f>IF(ISBLANK($H137),"",IF(VLOOKUP($H137,'FX Rates'!$A$1:$BQ$152,_xlfn.XMATCH($B137,'FX Rates'!$A$1:$BQ$1,-1,1),0)=0,"No Exch Rate Data",IF($G137=0,"",$G137/VLOOKUP($H137,'FX Rates'!$A$1:$BQ$152,_xlfn.XMATCH($B137,'FX Rates'!$A$1:$BQ$1,-1,1),0))))</f>
        <v/>
      </c>
    </row>
    <row r="138" spans="2:10" x14ac:dyDescent="0.25">
      <c r="B138" s="87"/>
      <c r="I138" s="111" t="str">
        <f t="shared" si="4"/>
        <v/>
      </c>
      <c r="J138" s="89" t="str">
        <f>IF(ISBLANK($H138),"",IF(VLOOKUP($H138,'FX Rates'!$A$1:$BQ$152,_xlfn.XMATCH($B138,'FX Rates'!$A$1:$BQ$1,-1,1),0)=0,"No Exch Rate Data",IF($G138=0,"",$G138/VLOOKUP($H138,'FX Rates'!$A$1:$BQ$152,_xlfn.XMATCH($B138,'FX Rates'!$A$1:$BQ$1,-1,1),0))))</f>
        <v/>
      </c>
    </row>
    <row r="139" spans="2:10" x14ac:dyDescent="0.25">
      <c r="B139" s="87"/>
      <c r="I139" s="111" t="str">
        <f t="shared" si="4"/>
        <v/>
      </c>
      <c r="J139" s="89" t="str">
        <f>IF(ISBLANK($H139),"",IF(VLOOKUP($H139,'FX Rates'!$A$1:$BQ$152,_xlfn.XMATCH($B139,'FX Rates'!$A$1:$BQ$1,-1,1),0)=0,"No Exch Rate Data",IF($G139=0,"",$G139/VLOOKUP($H139,'FX Rates'!$A$1:$BQ$152,_xlfn.XMATCH($B139,'FX Rates'!$A$1:$BQ$1,-1,1),0))))</f>
        <v/>
      </c>
    </row>
    <row r="140" spans="2:10" x14ac:dyDescent="0.25">
      <c r="B140" s="87"/>
      <c r="I140" s="111" t="str">
        <f t="shared" si="4"/>
        <v/>
      </c>
      <c r="J140" s="89" t="str">
        <f>IF(ISBLANK($H140),"",IF(VLOOKUP($H140,'FX Rates'!$A$1:$BQ$152,_xlfn.XMATCH($B140,'FX Rates'!$A$1:$BQ$1,-1,1),0)=0,"No Exch Rate Data",IF($G140=0,"",$G140/VLOOKUP($H140,'FX Rates'!$A$1:$BQ$152,_xlfn.XMATCH($B140,'FX Rates'!$A$1:$BQ$1,-1,1),0))))</f>
        <v/>
      </c>
    </row>
    <row r="141" spans="2:10" x14ac:dyDescent="0.25">
      <c r="B141" s="87"/>
      <c r="I141" s="111" t="str">
        <f t="shared" si="4"/>
        <v/>
      </c>
      <c r="J141" s="89" t="str">
        <f>IF(ISBLANK($H141),"",IF(VLOOKUP($H141,'FX Rates'!$A$1:$BQ$152,_xlfn.XMATCH($B141,'FX Rates'!$A$1:$BQ$1,-1,1),0)=0,"No Exch Rate Data",IF($G141=0,"",$G141/VLOOKUP($H141,'FX Rates'!$A$1:$BQ$152,_xlfn.XMATCH($B141,'FX Rates'!$A$1:$BQ$1,-1,1),0))))</f>
        <v/>
      </c>
    </row>
    <row r="142" spans="2:10" x14ac:dyDescent="0.25">
      <c r="B142" s="87"/>
      <c r="I142" s="111" t="str">
        <f t="shared" si="4"/>
        <v/>
      </c>
      <c r="J142" s="89" t="str">
        <f>IF(ISBLANK($H142),"",IF(VLOOKUP($H142,'FX Rates'!$A$1:$BQ$152,_xlfn.XMATCH($B142,'FX Rates'!$A$1:$BQ$1,-1,1),0)=0,"No Exch Rate Data",IF($G142=0,"",$G142/VLOOKUP($H142,'FX Rates'!$A$1:$BQ$152,_xlfn.XMATCH($B142,'FX Rates'!$A$1:$BQ$1,-1,1),0))))</f>
        <v/>
      </c>
    </row>
    <row r="143" spans="2:10" x14ac:dyDescent="0.25">
      <c r="B143" s="87"/>
      <c r="I143" s="111" t="str">
        <f t="shared" si="4"/>
        <v/>
      </c>
      <c r="J143" s="89" t="str">
        <f>IF(ISBLANK($H143),"",IF(VLOOKUP($H143,'FX Rates'!$A$1:$BQ$152,_xlfn.XMATCH($B143,'FX Rates'!$A$1:$BQ$1,-1,1),0)=0,"No Exch Rate Data",IF($G143=0,"",$G143/VLOOKUP($H143,'FX Rates'!$A$1:$BQ$152,_xlfn.XMATCH($B143,'FX Rates'!$A$1:$BQ$1,-1,1),0))))</f>
        <v/>
      </c>
    </row>
    <row r="144" spans="2:10" x14ac:dyDescent="0.25">
      <c r="B144" s="87"/>
      <c r="I144" s="111" t="str">
        <f t="shared" si="4"/>
        <v/>
      </c>
      <c r="J144" s="89" t="str">
        <f>IF(ISBLANK($H144),"",IF(VLOOKUP($H144,'FX Rates'!$A$1:$BQ$152,_xlfn.XMATCH($B144,'FX Rates'!$A$1:$BQ$1,-1,1),0)=0,"No Exch Rate Data",IF($G144=0,"",$G144/VLOOKUP($H144,'FX Rates'!$A$1:$BQ$152,_xlfn.XMATCH($B144,'FX Rates'!$A$1:$BQ$1,-1,1),0))))</f>
        <v/>
      </c>
    </row>
    <row r="145" spans="2:10" x14ac:dyDescent="0.25">
      <c r="B145" s="87"/>
      <c r="I145" s="111" t="str">
        <f t="shared" si="4"/>
        <v/>
      </c>
      <c r="J145" s="89" t="str">
        <f>IF(ISBLANK($H145),"",IF(VLOOKUP($H145,'FX Rates'!$A$1:$BQ$152,_xlfn.XMATCH($B145,'FX Rates'!$A$1:$BQ$1,-1,1),0)=0,"No Exch Rate Data",IF($G145=0,"",$G145/VLOOKUP($H145,'FX Rates'!$A$1:$BQ$152,_xlfn.XMATCH($B145,'FX Rates'!$A$1:$BQ$1,-1,1),0))))</f>
        <v/>
      </c>
    </row>
    <row r="146" spans="2:10" x14ac:dyDescent="0.25">
      <c r="B146" s="87"/>
      <c r="I146" s="111" t="str">
        <f t="shared" si="4"/>
        <v/>
      </c>
      <c r="J146" s="89" t="str">
        <f>IF(ISBLANK($H146),"",IF(VLOOKUP($H146,'FX Rates'!$A$1:$BQ$152,_xlfn.XMATCH($B146,'FX Rates'!$A$1:$BQ$1,-1,1),0)=0,"No Exch Rate Data",IF($G146=0,"",$G146/VLOOKUP($H146,'FX Rates'!$A$1:$BQ$152,_xlfn.XMATCH($B146,'FX Rates'!$A$1:$BQ$1,-1,1),0))))</f>
        <v/>
      </c>
    </row>
    <row r="147" spans="2:10" x14ac:dyDescent="0.25">
      <c r="B147" s="87"/>
      <c r="I147" s="111" t="str">
        <f t="shared" si="4"/>
        <v/>
      </c>
      <c r="J147" s="89" t="str">
        <f>IF(ISBLANK($H147),"",IF(VLOOKUP($H147,'FX Rates'!$A$1:$BQ$152,_xlfn.XMATCH($B147,'FX Rates'!$A$1:$BQ$1,-1,1),0)=0,"No Exch Rate Data",IF($G147=0,"",$G147/VLOOKUP($H147,'FX Rates'!$A$1:$BQ$152,_xlfn.XMATCH($B147,'FX Rates'!$A$1:$BQ$1,-1,1),0))))</f>
        <v/>
      </c>
    </row>
    <row r="148" spans="2:10" x14ac:dyDescent="0.25">
      <c r="B148" s="87"/>
      <c r="I148" s="111" t="str">
        <f t="shared" si="4"/>
        <v/>
      </c>
      <c r="J148" s="89" t="str">
        <f>IF(ISBLANK($H148),"",IF(VLOOKUP($H148,'FX Rates'!$A$1:$BQ$152,_xlfn.XMATCH($B148,'FX Rates'!$A$1:$BQ$1,-1,1),0)=0,"No Exch Rate Data",IF($G148=0,"",$G148/VLOOKUP($H148,'FX Rates'!$A$1:$BQ$152,_xlfn.XMATCH($B148,'FX Rates'!$A$1:$BQ$1,-1,1),0))))</f>
        <v/>
      </c>
    </row>
    <row r="149" spans="2:10" x14ac:dyDescent="0.25">
      <c r="B149" s="87"/>
      <c r="I149" s="111" t="str">
        <f t="shared" si="4"/>
        <v/>
      </c>
      <c r="J149" s="89" t="str">
        <f>IF(ISBLANK($H149),"",IF(VLOOKUP($H149,'FX Rates'!$A$1:$BQ$152,_xlfn.XMATCH($B149,'FX Rates'!$A$1:$BQ$1,-1,1),0)=0,"No Exch Rate Data",IF($G149=0,"",$G149/VLOOKUP($H149,'FX Rates'!$A$1:$BQ$152,_xlfn.XMATCH($B149,'FX Rates'!$A$1:$BQ$1,-1,1),0))))</f>
        <v/>
      </c>
    </row>
    <row r="150" spans="2:10" x14ac:dyDescent="0.25">
      <c r="B150" s="87"/>
      <c r="I150" s="111" t="str">
        <f t="shared" si="4"/>
        <v/>
      </c>
      <c r="J150" s="89" t="str">
        <f>IF(ISBLANK($H150),"",IF(VLOOKUP($H150,'FX Rates'!$A$1:$BQ$152,_xlfn.XMATCH($B150,'FX Rates'!$A$1:$BQ$1,-1,1),0)=0,"No Exch Rate Data",IF($G150=0,"",$G150/VLOOKUP($H150,'FX Rates'!$A$1:$BQ$152,_xlfn.XMATCH($B150,'FX Rates'!$A$1:$BQ$1,-1,1),0))))</f>
        <v/>
      </c>
    </row>
    <row r="151" spans="2:10" x14ac:dyDescent="0.25">
      <c r="B151" s="87"/>
      <c r="I151" s="111" t="str">
        <f t="shared" si="4"/>
        <v/>
      </c>
      <c r="J151" s="89" t="str">
        <f>IF(ISBLANK($H151),"",IF(VLOOKUP($H151,'FX Rates'!$A$1:$BQ$152,_xlfn.XMATCH($B151,'FX Rates'!$A$1:$BQ$1,-1,1),0)=0,"No Exch Rate Data",IF($G151=0,"",$G151/VLOOKUP($H151,'FX Rates'!$A$1:$BQ$152,_xlfn.XMATCH($B151,'FX Rates'!$A$1:$BQ$1,-1,1),0))))</f>
        <v/>
      </c>
    </row>
    <row r="152" spans="2:10" x14ac:dyDescent="0.25">
      <c r="B152" s="87"/>
      <c r="I152" s="111" t="str">
        <f t="shared" si="4"/>
        <v/>
      </c>
      <c r="J152" s="89" t="str">
        <f>IF(ISBLANK($H152),"",IF(VLOOKUP($H152,'FX Rates'!$A$1:$BQ$152,_xlfn.XMATCH($B152,'FX Rates'!$A$1:$BQ$1,-1,1),0)=0,"No Exch Rate Data",IF($G152=0,"",$G152/VLOOKUP($H152,'FX Rates'!$A$1:$BQ$152,_xlfn.XMATCH($B152,'FX Rates'!$A$1:$BQ$1,-1,1),0))))</f>
        <v/>
      </c>
    </row>
    <row r="153" spans="2:10" x14ac:dyDescent="0.25">
      <c r="B153" s="87"/>
      <c r="I153" s="111" t="str">
        <f t="shared" si="4"/>
        <v/>
      </c>
      <c r="J153" s="89" t="str">
        <f>IF(ISBLANK($H153),"",IF(VLOOKUP($H153,'FX Rates'!$A$1:$BQ$152,_xlfn.XMATCH($B153,'FX Rates'!$A$1:$BQ$1,-1,1),0)=0,"No Exch Rate Data",IF($G153=0,"",$G153/VLOOKUP($H153,'FX Rates'!$A$1:$BQ$152,_xlfn.XMATCH($B153,'FX Rates'!$A$1:$BQ$1,-1,1),0))))</f>
        <v/>
      </c>
    </row>
    <row r="154" spans="2:10" x14ac:dyDescent="0.25">
      <c r="B154" s="87"/>
      <c r="I154" s="111" t="str">
        <f t="shared" si="4"/>
        <v/>
      </c>
      <c r="J154" s="89" t="str">
        <f>IF(ISBLANK($H154),"",IF(VLOOKUP($H154,'FX Rates'!$A$1:$BQ$152,_xlfn.XMATCH($B154,'FX Rates'!$A$1:$BQ$1,-1,1),0)=0,"No Exch Rate Data",IF($G154=0,"",$G154/VLOOKUP($H154,'FX Rates'!$A$1:$BQ$152,_xlfn.XMATCH($B154,'FX Rates'!$A$1:$BQ$1,-1,1),0))))</f>
        <v/>
      </c>
    </row>
    <row r="155" spans="2:10" x14ac:dyDescent="0.25">
      <c r="B155" s="87"/>
      <c r="I155" s="111" t="str">
        <f t="shared" si="4"/>
        <v/>
      </c>
      <c r="J155" s="89" t="str">
        <f>IF(ISBLANK($H155),"",IF(VLOOKUP($H155,'FX Rates'!$A$1:$BQ$152,_xlfn.XMATCH($B155,'FX Rates'!$A$1:$BQ$1,-1,1),0)=0,"No Exch Rate Data",IF($G155=0,"",$G155/VLOOKUP($H155,'FX Rates'!$A$1:$BQ$152,_xlfn.XMATCH($B155,'FX Rates'!$A$1:$BQ$1,-1,1),0))))</f>
        <v/>
      </c>
    </row>
    <row r="156" spans="2:10" x14ac:dyDescent="0.25">
      <c r="B156" s="87"/>
      <c r="I156" s="111" t="str">
        <f t="shared" si="4"/>
        <v/>
      </c>
      <c r="J156" s="89" t="str">
        <f>IF(ISBLANK($H156),"",IF(VLOOKUP($H156,'FX Rates'!$A$1:$BQ$152,_xlfn.XMATCH($B156,'FX Rates'!$A$1:$BQ$1,-1,1),0)=0,"No Exch Rate Data",IF($G156=0,"",$G156/VLOOKUP($H156,'FX Rates'!$A$1:$BQ$152,_xlfn.XMATCH($B156,'FX Rates'!$A$1:$BQ$1,-1,1),0))))</f>
        <v/>
      </c>
    </row>
    <row r="157" spans="2:10" x14ac:dyDescent="0.25">
      <c r="B157" s="87"/>
      <c r="I157" s="111" t="str">
        <f t="shared" si="4"/>
        <v/>
      </c>
      <c r="J157" s="89" t="str">
        <f>IF(ISBLANK($H157),"",IF(VLOOKUP($H157,'FX Rates'!$A$1:$BQ$152,_xlfn.XMATCH($B157,'FX Rates'!$A$1:$BQ$1,-1,1),0)=0,"No Exch Rate Data",IF($G157=0,"",$G157/VLOOKUP($H157,'FX Rates'!$A$1:$BQ$152,_xlfn.XMATCH($B157,'FX Rates'!$A$1:$BQ$1,-1,1),0))))</f>
        <v/>
      </c>
    </row>
    <row r="158" spans="2:10" x14ac:dyDescent="0.25">
      <c r="B158" s="87"/>
      <c r="I158" s="111" t="str">
        <f t="shared" si="4"/>
        <v/>
      </c>
      <c r="J158" s="89" t="str">
        <f>IF(ISBLANK($H158),"",IF(VLOOKUP($H158,'FX Rates'!$A$1:$BQ$152,_xlfn.XMATCH($B158,'FX Rates'!$A$1:$BQ$1,-1,1),0)=0,"No Exch Rate Data",IF($G158=0,"",$G158/VLOOKUP($H158,'FX Rates'!$A$1:$BQ$152,_xlfn.XMATCH($B158,'FX Rates'!$A$1:$BQ$1,-1,1),0))))</f>
        <v/>
      </c>
    </row>
    <row r="159" spans="2:10" x14ac:dyDescent="0.25">
      <c r="B159" s="87"/>
      <c r="I159" s="111" t="str">
        <f t="shared" si="4"/>
        <v/>
      </c>
      <c r="J159" s="89" t="str">
        <f>IF(ISBLANK($H159),"",IF(VLOOKUP($H159,'FX Rates'!$A$1:$BQ$152,_xlfn.XMATCH($B159,'FX Rates'!$A$1:$BQ$1,-1,1),0)=0,"No Exch Rate Data",IF($G159=0,"",$G159/VLOOKUP($H159,'FX Rates'!$A$1:$BQ$152,_xlfn.XMATCH($B159,'FX Rates'!$A$1:$BQ$1,-1,1),0))))</f>
        <v/>
      </c>
    </row>
    <row r="160" spans="2:10" x14ac:dyDescent="0.25">
      <c r="B160" s="87"/>
      <c r="I160" s="111" t="str">
        <f t="shared" si="4"/>
        <v/>
      </c>
      <c r="J160" s="89" t="str">
        <f>IF(ISBLANK($H160),"",IF(VLOOKUP($H160,'FX Rates'!$A$1:$BQ$152,_xlfn.XMATCH($B160,'FX Rates'!$A$1:$BQ$1,-1,1),0)=0,"No Exch Rate Data",IF($G160=0,"",$G160/VLOOKUP($H160,'FX Rates'!$A$1:$BQ$152,_xlfn.XMATCH($B160,'FX Rates'!$A$1:$BQ$1,-1,1),0))))</f>
        <v/>
      </c>
    </row>
    <row r="161" spans="2:10" x14ac:dyDescent="0.25">
      <c r="B161" s="87"/>
      <c r="I161" s="111" t="str">
        <f t="shared" si="4"/>
        <v/>
      </c>
      <c r="J161" s="89" t="str">
        <f>IF(ISBLANK($H161),"",IF(VLOOKUP($H161,'FX Rates'!$A$1:$BQ$152,_xlfn.XMATCH($B161,'FX Rates'!$A$1:$BQ$1,-1,1),0)=0,"No Exch Rate Data",IF($G161=0,"",$G161/VLOOKUP($H161,'FX Rates'!$A$1:$BQ$152,_xlfn.XMATCH($B161,'FX Rates'!$A$1:$BQ$1,-1,1),0))))</f>
        <v/>
      </c>
    </row>
    <row r="162" spans="2:10" x14ac:dyDescent="0.25">
      <c r="B162" s="87"/>
      <c r="I162" s="111" t="str">
        <f t="shared" si="4"/>
        <v/>
      </c>
      <c r="J162" s="89" t="str">
        <f>IF(ISBLANK($H162),"",IF(VLOOKUP($H162,'FX Rates'!$A$1:$BQ$152,_xlfn.XMATCH($B162,'FX Rates'!$A$1:$BQ$1,-1,1),0)=0,"No Exch Rate Data",IF($G162=0,"",$G162/VLOOKUP($H162,'FX Rates'!$A$1:$BQ$152,_xlfn.XMATCH($B162,'FX Rates'!$A$1:$BQ$1,-1,1),0))))</f>
        <v/>
      </c>
    </row>
    <row r="163" spans="2:10" x14ac:dyDescent="0.25">
      <c r="B163" s="87"/>
      <c r="I163" s="111" t="str">
        <f t="shared" si="4"/>
        <v/>
      </c>
      <c r="J163" s="89" t="str">
        <f>IF(ISBLANK($H163),"",IF(VLOOKUP($H163,'FX Rates'!$A$1:$BQ$152,_xlfn.XMATCH($B163,'FX Rates'!$A$1:$BQ$1,-1,1),0)=0,"No Exch Rate Data",IF($G163=0,"",$G163/VLOOKUP($H163,'FX Rates'!$A$1:$BQ$152,_xlfn.XMATCH($B163,'FX Rates'!$A$1:$BQ$1,-1,1),0))))</f>
        <v/>
      </c>
    </row>
    <row r="164" spans="2:10" x14ac:dyDescent="0.25">
      <c r="B164" s="87"/>
      <c r="I164" s="111" t="str">
        <f t="shared" si="4"/>
        <v/>
      </c>
      <c r="J164" s="89" t="str">
        <f>IF(ISBLANK($H164),"",IF(VLOOKUP($H164,'FX Rates'!$A$1:$BQ$152,_xlfn.XMATCH($B164,'FX Rates'!$A$1:$BQ$1,-1,1),0)=0,"No Exch Rate Data",IF($G164=0,"",$G164/VLOOKUP($H164,'FX Rates'!$A$1:$BQ$152,_xlfn.XMATCH($B164,'FX Rates'!$A$1:$BQ$1,-1,1),0))))</f>
        <v/>
      </c>
    </row>
    <row r="165" spans="2:10" x14ac:dyDescent="0.25">
      <c r="B165" s="87"/>
      <c r="I165" s="111" t="str">
        <f t="shared" si="4"/>
        <v/>
      </c>
      <c r="J165" s="89" t="str">
        <f>IF(ISBLANK($H165),"",IF(VLOOKUP($H165,'FX Rates'!$A$1:$BQ$152,_xlfn.XMATCH($B165,'FX Rates'!$A$1:$BQ$1,-1,1),0)=0,"No Exch Rate Data",IF($G165=0,"",$G165/VLOOKUP($H165,'FX Rates'!$A$1:$BQ$152,_xlfn.XMATCH($B165,'FX Rates'!$A$1:$BQ$1,-1,1),0))))</f>
        <v/>
      </c>
    </row>
    <row r="166" spans="2:10" x14ac:dyDescent="0.25">
      <c r="B166" s="87"/>
      <c r="I166" s="111" t="str">
        <f t="shared" si="4"/>
        <v/>
      </c>
      <c r="J166" s="89" t="str">
        <f>IF(ISBLANK($H166),"",IF(VLOOKUP($H166,'FX Rates'!$A$1:$BQ$152,_xlfn.XMATCH($B166,'FX Rates'!$A$1:$BQ$1,-1,1),0)=0,"No Exch Rate Data",IF($G166=0,"",$G166/VLOOKUP($H166,'FX Rates'!$A$1:$BQ$152,_xlfn.XMATCH($B166,'FX Rates'!$A$1:$BQ$1,-1,1),0))))</f>
        <v/>
      </c>
    </row>
    <row r="167" spans="2:10" x14ac:dyDescent="0.25">
      <c r="B167" s="87"/>
      <c r="I167" s="111" t="str">
        <f t="shared" si="4"/>
        <v/>
      </c>
      <c r="J167" s="89" t="str">
        <f>IF(ISBLANK($H167),"",IF(VLOOKUP($H167,'FX Rates'!$A$1:$BQ$152,_xlfn.XMATCH($B167,'FX Rates'!$A$1:$BQ$1,-1,1),0)=0,"No Exch Rate Data",IF($G167=0,"",$G167/VLOOKUP($H167,'FX Rates'!$A$1:$BQ$152,_xlfn.XMATCH($B167,'FX Rates'!$A$1:$BQ$1,-1,1),0))))</f>
        <v/>
      </c>
    </row>
    <row r="168" spans="2:10" x14ac:dyDescent="0.25">
      <c r="B168" s="87"/>
      <c r="I168" s="111" t="str">
        <f t="shared" si="4"/>
        <v/>
      </c>
      <c r="J168" s="89" t="str">
        <f>IF(ISBLANK($H168),"",IF(VLOOKUP($H168,'FX Rates'!$A$1:$BQ$152,_xlfn.XMATCH($B168,'FX Rates'!$A$1:$BQ$1,-1,1),0)=0,"No Exch Rate Data",IF($G168=0,"",$G168/VLOOKUP($H168,'FX Rates'!$A$1:$BQ$152,_xlfn.XMATCH($B168,'FX Rates'!$A$1:$BQ$1,-1,1),0))))</f>
        <v/>
      </c>
    </row>
    <row r="169" spans="2:10" x14ac:dyDescent="0.25">
      <c r="B169" s="87"/>
      <c r="I169" s="111" t="str">
        <f t="shared" si="4"/>
        <v/>
      </c>
      <c r="J169" s="89" t="str">
        <f>IF(ISBLANK($H169),"",IF(VLOOKUP($H169,'FX Rates'!$A$1:$BQ$152,_xlfn.XMATCH($B169,'FX Rates'!$A$1:$BQ$1,-1,1),0)=0,"No Exch Rate Data",IF($G169=0,"",$G169/VLOOKUP($H169,'FX Rates'!$A$1:$BQ$152,_xlfn.XMATCH($B169,'FX Rates'!$A$1:$BQ$1,-1,1),0))))</f>
        <v/>
      </c>
    </row>
    <row r="170" spans="2:10" x14ac:dyDescent="0.25">
      <c r="B170" s="87"/>
      <c r="I170" s="111" t="str">
        <f t="shared" ref="I170:I233" si="5">IF(ISBLANK($D170),"",_xlfn.XLOOKUP($D170,Item_List,Time_Span,"",0))</f>
        <v/>
      </c>
      <c r="J170" s="89" t="str">
        <f>IF(ISBLANK($H170),"",IF(VLOOKUP($H170,'FX Rates'!$A$1:$BQ$152,_xlfn.XMATCH($B170,'FX Rates'!$A$1:$BQ$1,-1,1),0)=0,"No Exch Rate Data",IF($G170=0,"",$G170/VLOOKUP($H170,'FX Rates'!$A$1:$BQ$152,_xlfn.XMATCH($B170,'FX Rates'!$A$1:$BQ$1,-1,1),0))))</f>
        <v/>
      </c>
    </row>
    <row r="171" spans="2:10" x14ac:dyDescent="0.25">
      <c r="B171" s="87"/>
      <c r="I171" s="111" t="str">
        <f t="shared" si="5"/>
        <v/>
      </c>
      <c r="J171" s="89" t="str">
        <f>IF(ISBLANK($H171),"",IF(VLOOKUP($H171,'FX Rates'!$A$1:$BQ$152,_xlfn.XMATCH($B171,'FX Rates'!$A$1:$BQ$1,-1,1),0)=0,"No Exch Rate Data",IF($G171=0,"",$G171/VLOOKUP($H171,'FX Rates'!$A$1:$BQ$152,_xlfn.XMATCH($B171,'FX Rates'!$A$1:$BQ$1,-1,1),0))))</f>
        <v/>
      </c>
    </row>
    <row r="172" spans="2:10" x14ac:dyDescent="0.25">
      <c r="B172" s="87"/>
      <c r="I172" s="111" t="str">
        <f t="shared" si="5"/>
        <v/>
      </c>
      <c r="J172" s="89" t="str">
        <f>IF(ISBLANK($H172),"",IF(VLOOKUP($H172,'FX Rates'!$A$1:$BQ$152,_xlfn.XMATCH($B172,'FX Rates'!$A$1:$BQ$1,-1,1),0)=0,"No Exch Rate Data",IF($G172=0,"",$G172/VLOOKUP($H172,'FX Rates'!$A$1:$BQ$152,_xlfn.XMATCH($B172,'FX Rates'!$A$1:$BQ$1,-1,1),0))))</f>
        <v/>
      </c>
    </row>
    <row r="173" spans="2:10" x14ac:dyDescent="0.25">
      <c r="B173" s="87"/>
      <c r="I173" s="111" t="str">
        <f t="shared" si="5"/>
        <v/>
      </c>
      <c r="J173" s="89" t="str">
        <f>IF(ISBLANK($H173),"",IF(VLOOKUP($H173,'FX Rates'!$A$1:$BQ$152,_xlfn.XMATCH($B173,'FX Rates'!$A$1:$BQ$1,-1,1),0)=0,"No Exch Rate Data",IF($G173=0,"",$G173/VLOOKUP($H173,'FX Rates'!$A$1:$BQ$152,_xlfn.XMATCH($B173,'FX Rates'!$A$1:$BQ$1,-1,1),0))))</f>
        <v/>
      </c>
    </row>
    <row r="174" spans="2:10" x14ac:dyDescent="0.25">
      <c r="B174" s="87"/>
      <c r="I174" s="111" t="str">
        <f t="shared" si="5"/>
        <v/>
      </c>
      <c r="J174" s="89" t="str">
        <f>IF(ISBLANK($H174),"",IF(VLOOKUP($H174,'FX Rates'!$A$1:$BQ$152,_xlfn.XMATCH($B174,'FX Rates'!$A$1:$BQ$1,-1,1),0)=0,"No Exch Rate Data",IF($G174=0,"",$G174/VLOOKUP($H174,'FX Rates'!$A$1:$BQ$152,_xlfn.XMATCH($B174,'FX Rates'!$A$1:$BQ$1,-1,1),0))))</f>
        <v/>
      </c>
    </row>
    <row r="175" spans="2:10" x14ac:dyDescent="0.25">
      <c r="B175" s="87"/>
      <c r="I175" s="111" t="str">
        <f t="shared" si="5"/>
        <v/>
      </c>
      <c r="J175" s="89" t="str">
        <f>IF(ISBLANK($H175),"",IF(VLOOKUP($H175,'FX Rates'!$A$1:$BQ$152,_xlfn.XMATCH($B175,'FX Rates'!$A$1:$BQ$1,-1,1),0)=0,"No Exch Rate Data",IF($G175=0,"",$G175/VLOOKUP($H175,'FX Rates'!$A$1:$BQ$152,_xlfn.XMATCH($B175,'FX Rates'!$A$1:$BQ$1,-1,1),0))))</f>
        <v/>
      </c>
    </row>
    <row r="176" spans="2:10" x14ac:dyDescent="0.25">
      <c r="B176" s="87"/>
      <c r="I176" s="111" t="str">
        <f t="shared" si="5"/>
        <v/>
      </c>
      <c r="J176" s="89" t="str">
        <f>IF(ISBLANK($H176),"",IF(VLOOKUP($H176,'FX Rates'!$A$1:$BQ$152,_xlfn.XMATCH($B176,'FX Rates'!$A$1:$BQ$1,-1,1),0)=0,"No Exch Rate Data",IF($G176=0,"",$G176/VLOOKUP($H176,'FX Rates'!$A$1:$BQ$152,_xlfn.XMATCH($B176,'FX Rates'!$A$1:$BQ$1,-1,1),0))))</f>
        <v/>
      </c>
    </row>
    <row r="177" spans="2:10" x14ac:dyDescent="0.25">
      <c r="B177" s="87"/>
      <c r="I177" s="111" t="str">
        <f t="shared" si="5"/>
        <v/>
      </c>
      <c r="J177" s="89" t="str">
        <f>IF(ISBLANK($H177),"",IF(VLOOKUP($H177,'FX Rates'!$A$1:$BQ$152,_xlfn.XMATCH($B177,'FX Rates'!$A$1:$BQ$1,-1,1),0)=0,"No Exch Rate Data",IF($G177=0,"",$G177/VLOOKUP($H177,'FX Rates'!$A$1:$BQ$152,_xlfn.XMATCH($B177,'FX Rates'!$A$1:$BQ$1,-1,1),0))))</f>
        <v/>
      </c>
    </row>
    <row r="178" spans="2:10" x14ac:dyDescent="0.25">
      <c r="B178" s="87"/>
      <c r="I178" s="111" t="str">
        <f t="shared" si="5"/>
        <v/>
      </c>
      <c r="J178" s="89" t="str">
        <f>IF(ISBLANK($H178),"",IF(VLOOKUP($H178,'FX Rates'!$A$1:$BQ$152,_xlfn.XMATCH($B178,'FX Rates'!$A$1:$BQ$1,-1,1),0)=0,"No Exch Rate Data",IF($G178=0,"",$G178/VLOOKUP($H178,'FX Rates'!$A$1:$BQ$152,_xlfn.XMATCH($B178,'FX Rates'!$A$1:$BQ$1,-1,1),0))))</f>
        <v/>
      </c>
    </row>
    <row r="179" spans="2:10" x14ac:dyDescent="0.25">
      <c r="B179" s="87"/>
      <c r="I179" s="111" t="str">
        <f t="shared" si="5"/>
        <v/>
      </c>
      <c r="J179" s="89" t="str">
        <f>IF(ISBLANK($H179),"",IF(VLOOKUP($H179,'FX Rates'!$A$1:$BQ$152,_xlfn.XMATCH($B179,'FX Rates'!$A$1:$BQ$1,-1,1),0)=0,"No Exch Rate Data",IF($G179=0,"",$G179/VLOOKUP($H179,'FX Rates'!$A$1:$BQ$152,_xlfn.XMATCH($B179,'FX Rates'!$A$1:$BQ$1,-1,1),0))))</f>
        <v/>
      </c>
    </row>
    <row r="180" spans="2:10" x14ac:dyDescent="0.25">
      <c r="B180" s="87"/>
      <c r="I180" s="111" t="str">
        <f t="shared" si="5"/>
        <v/>
      </c>
      <c r="J180" s="89" t="str">
        <f>IF(ISBLANK($H180),"",IF(VLOOKUP($H180,'FX Rates'!$A$1:$BQ$152,_xlfn.XMATCH($B180,'FX Rates'!$A$1:$BQ$1,-1,1),0)=0,"No Exch Rate Data",IF($G180=0,"",$G180/VLOOKUP($H180,'FX Rates'!$A$1:$BQ$152,_xlfn.XMATCH($B180,'FX Rates'!$A$1:$BQ$1,-1,1),0))))</f>
        <v/>
      </c>
    </row>
    <row r="181" spans="2:10" x14ac:dyDescent="0.25">
      <c r="B181" s="87"/>
      <c r="I181" s="111" t="str">
        <f t="shared" si="5"/>
        <v/>
      </c>
      <c r="J181" s="89" t="str">
        <f>IF(ISBLANK($H181),"",IF(VLOOKUP($H181,'FX Rates'!$A$1:$BQ$152,_xlfn.XMATCH($B181,'FX Rates'!$A$1:$BQ$1,-1,1),0)=0,"No Exch Rate Data",IF($G181=0,"",$G181/VLOOKUP($H181,'FX Rates'!$A$1:$BQ$152,_xlfn.XMATCH($B181,'FX Rates'!$A$1:$BQ$1,-1,1),0))))</f>
        <v/>
      </c>
    </row>
    <row r="182" spans="2:10" x14ac:dyDescent="0.25">
      <c r="B182" s="87"/>
      <c r="I182" s="111" t="str">
        <f t="shared" si="5"/>
        <v/>
      </c>
      <c r="J182" s="89" t="str">
        <f>IF(ISBLANK($H182),"",IF(VLOOKUP($H182,'FX Rates'!$A$1:$BQ$152,_xlfn.XMATCH($B182,'FX Rates'!$A$1:$BQ$1,-1,1),0)=0,"No Exch Rate Data",IF($G182=0,"",$G182/VLOOKUP($H182,'FX Rates'!$A$1:$BQ$152,_xlfn.XMATCH($B182,'FX Rates'!$A$1:$BQ$1,-1,1),0))))</f>
        <v/>
      </c>
    </row>
    <row r="183" spans="2:10" x14ac:dyDescent="0.25">
      <c r="B183" s="87"/>
      <c r="I183" s="111" t="str">
        <f t="shared" si="5"/>
        <v/>
      </c>
      <c r="J183" s="89" t="str">
        <f>IF(ISBLANK($H183),"",IF(VLOOKUP($H183,'FX Rates'!$A$1:$BQ$152,_xlfn.XMATCH($B183,'FX Rates'!$A$1:$BQ$1,-1,1),0)=0,"No Exch Rate Data",IF($G183=0,"",$G183/VLOOKUP($H183,'FX Rates'!$A$1:$BQ$152,_xlfn.XMATCH($B183,'FX Rates'!$A$1:$BQ$1,-1,1),0))))</f>
        <v/>
      </c>
    </row>
    <row r="184" spans="2:10" x14ac:dyDescent="0.25">
      <c r="B184" s="87"/>
      <c r="I184" s="111" t="str">
        <f t="shared" si="5"/>
        <v/>
      </c>
      <c r="J184" s="89" t="str">
        <f>IF(ISBLANK($H184),"",IF(VLOOKUP($H184,'FX Rates'!$A$1:$BQ$152,_xlfn.XMATCH($B184,'FX Rates'!$A$1:$BQ$1,-1,1),0)=0,"No Exch Rate Data",IF($G184=0,"",$G184/VLOOKUP($H184,'FX Rates'!$A$1:$BQ$152,_xlfn.XMATCH($B184,'FX Rates'!$A$1:$BQ$1,-1,1),0))))</f>
        <v/>
      </c>
    </row>
    <row r="185" spans="2:10" x14ac:dyDescent="0.25">
      <c r="B185" s="87"/>
      <c r="I185" s="111" t="str">
        <f t="shared" si="5"/>
        <v/>
      </c>
      <c r="J185" s="89" t="str">
        <f>IF(ISBLANK($H185),"",IF(VLOOKUP($H185,'FX Rates'!$A$1:$BQ$152,_xlfn.XMATCH($B185,'FX Rates'!$A$1:$BQ$1,-1,1),0)=0,"No Exch Rate Data",IF($G185=0,"",$G185/VLOOKUP($H185,'FX Rates'!$A$1:$BQ$152,_xlfn.XMATCH($B185,'FX Rates'!$A$1:$BQ$1,-1,1),0))))</f>
        <v/>
      </c>
    </row>
    <row r="186" spans="2:10" x14ac:dyDescent="0.25">
      <c r="B186" s="87"/>
      <c r="I186" s="111" t="str">
        <f t="shared" si="5"/>
        <v/>
      </c>
      <c r="J186" s="89" t="str">
        <f>IF(ISBLANK($H186),"",IF(VLOOKUP($H186,'FX Rates'!$A$1:$BQ$152,_xlfn.XMATCH($B186,'FX Rates'!$A$1:$BQ$1,-1,1),0)=0,"No Exch Rate Data",IF($G186=0,"",$G186/VLOOKUP($H186,'FX Rates'!$A$1:$BQ$152,_xlfn.XMATCH($B186,'FX Rates'!$A$1:$BQ$1,-1,1),0))))</f>
        <v/>
      </c>
    </row>
    <row r="187" spans="2:10" x14ac:dyDescent="0.25">
      <c r="B187" s="87"/>
      <c r="I187" s="111" t="str">
        <f t="shared" si="5"/>
        <v/>
      </c>
      <c r="J187" s="89" t="str">
        <f>IF(ISBLANK($H187),"",IF(VLOOKUP($H187,'FX Rates'!$A$1:$BQ$152,_xlfn.XMATCH($B187,'FX Rates'!$A$1:$BQ$1,-1,1),0)=0,"No Exch Rate Data",IF($G187=0,"",$G187/VLOOKUP($H187,'FX Rates'!$A$1:$BQ$152,_xlfn.XMATCH($B187,'FX Rates'!$A$1:$BQ$1,-1,1),0))))</f>
        <v/>
      </c>
    </row>
    <row r="188" spans="2:10" x14ac:dyDescent="0.25">
      <c r="B188" s="87"/>
      <c r="I188" s="111" t="str">
        <f t="shared" si="5"/>
        <v/>
      </c>
      <c r="J188" s="89" t="str">
        <f>IF(ISBLANK($H188),"",IF(VLOOKUP($H188,'FX Rates'!$A$1:$BQ$152,_xlfn.XMATCH($B188,'FX Rates'!$A$1:$BQ$1,-1,1),0)=0,"No Exch Rate Data",IF($G188=0,"",$G188/VLOOKUP($H188,'FX Rates'!$A$1:$BQ$152,_xlfn.XMATCH($B188,'FX Rates'!$A$1:$BQ$1,-1,1),0))))</f>
        <v/>
      </c>
    </row>
    <row r="189" spans="2:10" x14ac:dyDescent="0.25">
      <c r="B189" s="87"/>
      <c r="I189" s="111" t="str">
        <f t="shared" si="5"/>
        <v/>
      </c>
      <c r="J189" s="89" t="str">
        <f>IF(ISBLANK($H189),"",IF(VLOOKUP($H189,'FX Rates'!$A$1:$BQ$152,_xlfn.XMATCH($B189,'FX Rates'!$A$1:$BQ$1,-1,1),0)=0,"No Exch Rate Data",IF($G189=0,"",$G189/VLOOKUP($H189,'FX Rates'!$A$1:$BQ$152,_xlfn.XMATCH($B189,'FX Rates'!$A$1:$BQ$1,-1,1),0))))</f>
        <v/>
      </c>
    </row>
    <row r="190" spans="2:10" x14ac:dyDescent="0.25">
      <c r="B190" s="87"/>
      <c r="I190" s="111" t="str">
        <f t="shared" si="5"/>
        <v/>
      </c>
      <c r="J190" s="89" t="str">
        <f>IF(ISBLANK($H190),"",IF(VLOOKUP($H190,'FX Rates'!$A$1:$BQ$152,_xlfn.XMATCH($B190,'FX Rates'!$A$1:$BQ$1,-1,1),0)=0,"No Exch Rate Data",IF($G190=0,"",$G190/VLOOKUP($H190,'FX Rates'!$A$1:$BQ$152,_xlfn.XMATCH($B190,'FX Rates'!$A$1:$BQ$1,-1,1),0))))</f>
        <v/>
      </c>
    </row>
    <row r="191" spans="2:10" x14ac:dyDescent="0.25">
      <c r="B191" s="87"/>
      <c r="I191" s="111" t="str">
        <f t="shared" si="5"/>
        <v/>
      </c>
      <c r="J191" s="89" t="str">
        <f>IF(ISBLANK($H191),"",IF(VLOOKUP($H191,'FX Rates'!$A$1:$BQ$152,_xlfn.XMATCH($B191,'FX Rates'!$A$1:$BQ$1,-1,1),0)=0,"No Exch Rate Data",IF($G191=0,"",$G191/VLOOKUP($H191,'FX Rates'!$A$1:$BQ$152,_xlfn.XMATCH($B191,'FX Rates'!$A$1:$BQ$1,-1,1),0))))</f>
        <v/>
      </c>
    </row>
    <row r="192" spans="2:10" x14ac:dyDescent="0.25">
      <c r="B192" s="87"/>
      <c r="I192" s="111" t="str">
        <f t="shared" si="5"/>
        <v/>
      </c>
      <c r="J192" s="89" t="str">
        <f>IF(ISBLANK($H192),"",IF(VLOOKUP($H192,'FX Rates'!$A$1:$BQ$152,_xlfn.XMATCH($B192,'FX Rates'!$A$1:$BQ$1,-1,1),0)=0,"No Exch Rate Data",IF($G192=0,"",$G192/VLOOKUP($H192,'FX Rates'!$A$1:$BQ$152,_xlfn.XMATCH($B192,'FX Rates'!$A$1:$BQ$1,-1,1),0))))</f>
        <v/>
      </c>
    </row>
    <row r="193" spans="2:10" x14ac:dyDescent="0.25">
      <c r="B193" s="87"/>
      <c r="I193" s="111" t="str">
        <f t="shared" si="5"/>
        <v/>
      </c>
      <c r="J193" s="89" t="str">
        <f>IF(ISBLANK($H193),"",IF(VLOOKUP($H193,'FX Rates'!$A$1:$BQ$152,_xlfn.XMATCH($B193,'FX Rates'!$A$1:$BQ$1,-1,1),0)=0,"No Exch Rate Data",IF($G193=0,"",$G193/VLOOKUP($H193,'FX Rates'!$A$1:$BQ$152,_xlfn.XMATCH($B193,'FX Rates'!$A$1:$BQ$1,-1,1),0))))</f>
        <v/>
      </c>
    </row>
    <row r="194" spans="2:10" x14ac:dyDescent="0.25">
      <c r="B194" s="87"/>
      <c r="I194" s="111" t="str">
        <f t="shared" si="5"/>
        <v/>
      </c>
      <c r="J194" s="89" t="str">
        <f>IF(ISBLANK($H194),"",IF(VLOOKUP($H194,'FX Rates'!$A$1:$BQ$152,_xlfn.XMATCH($B194,'FX Rates'!$A$1:$BQ$1,-1,1),0)=0,"No Exch Rate Data",IF($G194=0,"",$G194/VLOOKUP($H194,'FX Rates'!$A$1:$BQ$152,_xlfn.XMATCH($B194,'FX Rates'!$A$1:$BQ$1,-1,1),0))))</f>
        <v/>
      </c>
    </row>
    <row r="195" spans="2:10" x14ac:dyDescent="0.25">
      <c r="B195" s="87"/>
      <c r="I195" s="111" t="str">
        <f t="shared" si="5"/>
        <v/>
      </c>
      <c r="J195" s="89" t="str">
        <f>IF(ISBLANK($H195),"",IF(VLOOKUP($H195,'FX Rates'!$A$1:$BQ$152,_xlfn.XMATCH($B195,'FX Rates'!$A$1:$BQ$1,-1,1),0)=0,"No Exch Rate Data",IF($G195=0,"",$G195/VLOOKUP($H195,'FX Rates'!$A$1:$BQ$152,_xlfn.XMATCH($B195,'FX Rates'!$A$1:$BQ$1,-1,1),0))))</f>
        <v/>
      </c>
    </row>
    <row r="196" spans="2:10" x14ac:dyDescent="0.25">
      <c r="B196" s="87"/>
      <c r="I196" s="111" t="str">
        <f t="shared" si="5"/>
        <v/>
      </c>
      <c r="J196" s="89" t="str">
        <f>IF(ISBLANK($H196),"",IF(VLOOKUP($H196,'FX Rates'!$A$1:$BQ$152,_xlfn.XMATCH($B196,'FX Rates'!$A$1:$BQ$1,-1,1),0)=0,"No Exch Rate Data",IF($G196=0,"",$G196/VLOOKUP($H196,'FX Rates'!$A$1:$BQ$152,_xlfn.XMATCH($B196,'FX Rates'!$A$1:$BQ$1,-1,1),0))))</f>
        <v/>
      </c>
    </row>
    <row r="197" spans="2:10" x14ac:dyDescent="0.25">
      <c r="B197" s="87"/>
      <c r="I197" s="111" t="str">
        <f t="shared" si="5"/>
        <v/>
      </c>
      <c r="J197" s="89" t="str">
        <f>IF(ISBLANK($H197),"",IF(VLOOKUP($H197,'FX Rates'!$A$1:$BQ$152,_xlfn.XMATCH($B197,'FX Rates'!$A$1:$BQ$1,-1,1),0)=0,"No Exch Rate Data",IF($G197=0,"",$G197/VLOOKUP($H197,'FX Rates'!$A$1:$BQ$152,_xlfn.XMATCH($B197,'FX Rates'!$A$1:$BQ$1,-1,1),0))))</f>
        <v/>
      </c>
    </row>
    <row r="198" spans="2:10" x14ac:dyDescent="0.25">
      <c r="B198" s="87"/>
      <c r="I198" s="111" t="str">
        <f t="shared" si="5"/>
        <v/>
      </c>
      <c r="J198" s="89" t="str">
        <f>IF(ISBLANK($H198),"",IF(VLOOKUP($H198,'FX Rates'!$A$1:$BQ$152,_xlfn.XMATCH($B198,'FX Rates'!$A$1:$BQ$1,-1,1),0)=0,"No Exch Rate Data",IF($G198=0,"",$G198/VLOOKUP($H198,'FX Rates'!$A$1:$BQ$152,_xlfn.XMATCH($B198,'FX Rates'!$A$1:$BQ$1,-1,1),0))))</f>
        <v/>
      </c>
    </row>
    <row r="199" spans="2:10" x14ac:dyDescent="0.25">
      <c r="B199" s="87"/>
      <c r="I199" s="111" t="str">
        <f t="shared" si="5"/>
        <v/>
      </c>
      <c r="J199" s="89" t="str">
        <f>IF(ISBLANK($H199),"",IF(VLOOKUP($H199,'FX Rates'!$A$1:$BQ$152,_xlfn.XMATCH($B199,'FX Rates'!$A$1:$BQ$1,-1,1),0)=0,"No Exch Rate Data",IF($G199=0,"",$G199/VLOOKUP($H199,'FX Rates'!$A$1:$BQ$152,_xlfn.XMATCH($B199,'FX Rates'!$A$1:$BQ$1,-1,1),0))))</f>
        <v/>
      </c>
    </row>
    <row r="200" spans="2:10" x14ac:dyDescent="0.25">
      <c r="B200" s="87"/>
      <c r="I200" s="111" t="str">
        <f t="shared" si="5"/>
        <v/>
      </c>
      <c r="J200" s="89" t="str">
        <f>IF(ISBLANK($H200),"",IF(VLOOKUP($H200,'FX Rates'!$A$1:$BQ$152,_xlfn.XMATCH($B200,'FX Rates'!$A$1:$BQ$1,-1,1),0)=0,"No Exch Rate Data",IF($G200=0,"",$G200/VLOOKUP($H200,'FX Rates'!$A$1:$BQ$152,_xlfn.XMATCH($B200,'FX Rates'!$A$1:$BQ$1,-1,1),0))))</f>
        <v/>
      </c>
    </row>
    <row r="201" spans="2:10" x14ac:dyDescent="0.25">
      <c r="B201" s="87"/>
      <c r="I201" s="111" t="str">
        <f t="shared" si="5"/>
        <v/>
      </c>
      <c r="J201" s="89" t="str">
        <f>IF(ISBLANK($H201),"",IF(VLOOKUP($H201,'FX Rates'!$A$1:$BQ$152,_xlfn.XMATCH($B201,'FX Rates'!$A$1:$BQ$1,-1,1),0)=0,"No Exch Rate Data",IF($G201=0,"",$G201/VLOOKUP($H201,'FX Rates'!$A$1:$BQ$152,_xlfn.XMATCH($B201,'FX Rates'!$A$1:$BQ$1,-1,1),0))))</f>
        <v/>
      </c>
    </row>
    <row r="202" spans="2:10" x14ac:dyDescent="0.25">
      <c r="B202" s="87"/>
      <c r="I202" s="111" t="str">
        <f t="shared" si="5"/>
        <v/>
      </c>
      <c r="J202" s="89" t="str">
        <f>IF(ISBLANK($H202),"",IF(VLOOKUP($H202,'FX Rates'!$A$1:$BQ$152,_xlfn.XMATCH($B202,'FX Rates'!$A$1:$BQ$1,-1,1),0)=0,"No Exch Rate Data",IF($G202=0,"",$G202/VLOOKUP($H202,'FX Rates'!$A$1:$BQ$152,_xlfn.XMATCH($B202,'FX Rates'!$A$1:$BQ$1,-1,1),0))))</f>
        <v/>
      </c>
    </row>
    <row r="203" spans="2:10" x14ac:dyDescent="0.25">
      <c r="B203" s="87"/>
      <c r="I203" s="111" t="str">
        <f t="shared" si="5"/>
        <v/>
      </c>
      <c r="J203" s="89" t="str">
        <f>IF(ISBLANK($H203),"",IF(VLOOKUP($H203,'FX Rates'!$A$1:$BQ$152,_xlfn.XMATCH($B203,'FX Rates'!$A$1:$BQ$1,-1,1),0)=0,"No Exch Rate Data",IF($G203=0,"",$G203/VLOOKUP($H203,'FX Rates'!$A$1:$BQ$152,_xlfn.XMATCH($B203,'FX Rates'!$A$1:$BQ$1,-1,1),0))))</f>
        <v/>
      </c>
    </row>
    <row r="204" spans="2:10" x14ac:dyDescent="0.25">
      <c r="B204" s="87"/>
      <c r="I204" s="111" t="str">
        <f t="shared" si="5"/>
        <v/>
      </c>
      <c r="J204" s="89" t="str">
        <f>IF(ISBLANK($H204),"",IF(VLOOKUP($H204,'FX Rates'!$A$1:$BQ$152,_xlfn.XMATCH($B204,'FX Rates'!$A$1:$BQ$1,-1,1),0)=0,"No Exch Rate Data",IF($G204=0,"",$G204/VLOOKUP($H204,'FX Rates'!$A$1:$BQ$152,_xlfn.XMATCH($B204,'FX Rates'!$A$1:$BQ$1,-1,1),0))))</f>
        <v/>
      </c>
    </row>
    <row r="205" spans="2:10" x14ac:dyDescent="0.25">
      <c r="B205" s="87"/>
      <c r="I205" s="111" t="str">
        <f t="shared" si="5"/>
        <v/>
      </c>
      <c r="J205" s="89" t="str">
        <f>IF(ISBLANK($H205),"",IF(VLOOKUP($H205,'FX Rates'!$A$1:$BQ$152,_xlfn.XMATCH($B205,'FX Rates'!$A$1:$BQ$1,-1,1),0)=0,"No Exch Rate Data",IF($G205=0,"",$G205/VLOOKUP($H205,'FX Rates'!$A$1:$BQ$152,_xlfn.XMATCH($B205,'FX Rates'!$A$1:$BQ$1,-1,1),0))))</f>
        <v/>
      </c>
    </row>
    <row r="206" spans="2:10" x14ac:dyDescent="0.25">
      <c r="B206" s="87"/>
      <c r="I206" s="111" t="str">
        <f t="shared" si="5"/>
        <v/>
      </c>
      <c r="J206" s="89" t="str">
        <f>IF(ISBLANK($H206),"",IF(VLOOKUP($H206,'FX Rates'!$A$1:$BQ$152,_xlfn.XMATCH($B206,'FX Rates'!$A$1:$BQ$1,-1,1),0)=0,"No Exch Rate Data",IF($G206=0,"",$G206/VLOOKUP($H206,'FX Rates'!$A$1:$BQ$152,_xlfn.XMATCH($B206,'FX Rates'!$A$1:$BQ$1,-1,1),0))))</f>
        <v/>
      </c>
    </row>
    <row r="207" spans="2:10" x14ac:dyDescent="0.25">
      <c r="B207" s="87"/>
      <c r="I207" s="111" t="str">
        <f t="shared" si="5"/>
        <v/>
      </c>
      <c r="J207" s="89" t="str">
        <f>IF(ISBLANK($H207),"",IF(VLOOKUP($H207,'FX Rates'!$A$1:$BQ$152,_xlfn.XMATCH($B207,'FX Rates'!$A$1:$BQ$1,-1,1),0)=0,"No Exch Rate Data",IF($G207=0,"",$G207/VLOOKUP($H207,'FX Rates'!$A$1:$BQ$152,_xlfn.XMATCH($B207,'FX Rates'!$A$1:$BQ$1,-1,1),0))))</f>
        <v/>
      </c>
    </row>
    <row r="208" spans="2:10" x14ac:dyDescent="0.25">
      <c r="B208" s="87"/>
      <c r="I208" s="111" t="str">
        <f t="shared" si="5"/>
        <v/>
      </c>
      <c r="J208" s="89" t="str">
        <f>IF(ISBLANK($H208),"",IF(VLOOKUP($H208,'FX Rates'!$A$1:$BQ$152,_xlfn.XMATCH($B208,'FX Rates'!$A$1:$BQ$1,-1,1),0)=0,"No Exch Rate Data",IF($G208=0,"",$G208/VLOOKUP($H208,'FX Rates'!$A$1:$BQ$152,_xlfn.XMATCH($B208,'FX Rates'!$A$1:$BQ$1,-1,1),0))))</f>
        <v/>
      </c>
    </row>
    <row r="209" spans="2:10" x14ac:dyDescent="0.25">
      <c r="B209" s="87"/>
      <c r="I209" s="111" t="str">
        <f t="shared" si="5"/>
        <v/>
      </c>
      <c r="J209" s="89" t="str">
        <f>IF(ISBLANK($H209),"",IF(VLOOKUP($H209,'FX Rates'!$A$1:$BQ$152,_xlfn.XMATCH($B209,'FX Rates'!$A$1:$BQ$1,-1,1),0)=0,"No Exch Rate Data",IF($G209=0,"",$G209/VLOOKUP($H209,'FX Rates'!$A$1:$BQ$152,_xlfn.XMATCH($B209,'FX Rates'!$A$1:$BQ$1,-1,1),0))))</f>
        <v/>
      </c>
    </row>
    <row r="210" spans="2:10" x14ac:dyDescent="0.25">
      <c r="B210" s="87"/>
      <c r="I210" s="111" t="str">
        <f t="shared" si="5"/>
        <v/>
      </c>
      <c r="J210" s="89" t="str">
        <f>IF(ISBLANK($H210),"",IF(VLOOKUP($H210,'FX Rates'!$A$1:$BQ$152,_xlfn.XMATCH($B210,'FX Rates'!$A$1:$BQ$1,-1,1),0)=0,"No Exch Rate Data",IF($G210=0,"",$G210/VLOOKUP($H210,'FX Rates'!$A$1:$BQ$152,_xlfn.XMATCH($B210,'FX Rates'!$A$1:$BQ$1,-1,1),0))))</f>
        <v/>
      </c>
    </row>
    <row r="211" spans="2:10" x14ac:dyDescent="0.25">
      <c r="B211" s="87"/>
      <c r="I211" s="111" t="str">
        <f t="shared" si="5"/>
        <v/>
      </c>
      <c r="J211" s="89" t="str">
        <f>IF(ISBLANK($H211),"",IF(VLOOKUP($H211,'FX Rates'!$A$1:$BQ$152,_xlfn.XMATCH($B211,'FX Rates'!$A$1:$BQ$1,-1,1),0)=0,"No Exch Rate Data",IF($G211=0,"",$G211/VLOOKUP($H211,'FX Rates'!$A$1:$BQ$152,_xlfn.XMATCH($B211,'FX Rates'!$A$1:$BQ$1,-1,1),0))))</f>
        <v/>
      </c>
    </row>
    <row r="212" spans="2:10" x14ac:dyDescent="0.25">
      <c r="B212" s="87"/>
      <c r="I212" s="111" t="str">
        <f t="shared" si="5"/>
        <v/>
      </c>
      <c r="J212" s="89" t="str">
        <f>IF(ISBLANK($H212),"",IF(VLOOKUP($H212,'FX Rates'!$A$1:$BQ$152,_xlfn.XMATCH($B212,'FX Rates'!$A$1:$BQ$1,-1,1),0)=0,"No Exch Rate Data",IF($G212=0,"",$G212/VLOOKUP($H212,'FX Rates'!$A$1:$BQ$152,_xlfn.XMATCH($B212,'FX Rates'!$A$1:$BQ$1,-1,1),0))))</f>
        <v/>
      </c>
    </row>
    <row r="213" spans="2:10" x14ac:dyDescent="0.25">
      <c r="B213" s="87"/>
      <c r="I213" s="111" t="str">
        <f t="shared" si="5"/>
        <v/>
      </c>
      <c r="J213" s="89" t="str">
        <f>IF(ISBLANK($H213),"",IF(VLOOKUP($H213,'FX Rates'!$A$1:$BQ$152,_xlfn.XMATCH($B213,'FX Rates'!$A$1:$BQ$1,-1,1),0)=0,"No Exch Rate Data",IF($G213=0,"",$G213/VLOOKUP($H213,'FX Rates'!$A$1:$BQ$152,_xlfn.XMATCH($B213,'FX Rates'!$A$1:$BQ$1,-1,1),0))))</f>
        <v/>
      </c>
    </row>
    <row r="214" spans="2:10" x14ac:dyDescent="0.25">
      <c r="B214" s="87"/>
      <c r="I214" s="111" t="str">
        <f t="shared" si="5"/>
        <v/>
      </c>
      <c r="J214" s="89" t="str">
        <f>IF(ISBLANK($H214),"",IF(VLOOKUP($H214,'FX Rates'!$A$1:$BQ$152,_xlfn.XMATCH($B214,'FX Rates'!$A$1:$BQ$1,-1,1),0)=0,"No Exch Rate Data",IF($G214=0,"",$G214/VLOOKUP($H214,'FX Rates'!$A$1:$BQ$152,_xlfn.XMATCH($B214,'FX Rates'!$A$1:$BQ$1,-1,1),0))))</f>
        <v/>
      </c>
    </row>
    <row r="215" spans="2:10" x14ac:dyDescent="0.25">
      <c r="B215" s="87"/>
      <c r="I215" s="111" t="str">
        <f t="shared" si="5"/>
        <v/>
      </c>
      <c r="J215" s="89" t="str">
        <f>IF(ISBLANK($H215),"",IF(VLOOKUP($H215,'FX Rates'!$A$1:$BQ$152,_xlfn.XMATCH($B215,'FX Rates'!$A$1:$BQ$1,-1,1),0)=0,"No Exch Rate Data",IF($G215=0,"",$G215/VLOOKUP($H215,'FX Rates'!$A$1:$BQ$152,_xlfn.XMATCH($B215,'FX Rates'!$A$1:$BQ$1,-1,1),0))))</f>
        <v/>
      </c>
    </row>
    <row r="216" spans="2:10" x14ac:dyDescent="0.25">
      <c r="B216" s="87"/>
      <c r="I216" s="111" t="str">
        <f t="shared" si="5"/>
        <v/>
      </c>
      <c r="J216" s="89" t="str">
        <f>IF(ISBLANK($H216),"",IF(VLOOKUP($H216,'FX Rates'!$A$1:$BQ$152,_xlfn.XMATCH($B216,'FX Rates'!$A$1:$BQ$1,-1,1),0)=0,"No Exch Rate Data",IF($G216=0,"",$G216/VLOOKUP($H216,'FX Rates'!$A$1:$BQ$152,_xlfn.XMATCH($B216,'FX Rates'!$A$1:$BQ$1,-1,1),0))))</f>
        <v/>
      </c>
    </row>
    <row r="217" spans="2:10" x14ac:dyDescent="0.25">
      <c r="B217" s="87"/>
      <c r="I217" s="111" t="str">
        <f t="shared" si="5"/>
        <v/>
      </c>
      <c r="J217" s="89" t="str">
        <f>IF(ISBLANK($H217),"",IF(VLOOKUP($H217,'FX Rates'!$A$1:$BQ$152,_xlfn.XMATCH($B217,'FX Rates'!$A$1:$BQ$1,-1,1),0)=0,"No Exch Rate Data",IF($G217=0,"",$G217/VLOOKUP($H217,'FX Rates'!$A$1:$BQ$152,_xlfn.XMATCH($B217,'FX Rates'!$A$1:$BQ$1,-1,1),0))))</f>
        <v/>
      </c>
    </row>
    <row r="218" spans="2:10" x14ac:dyDescent="0.25">
      <c r="B218" s="87"/>
      <c r="I218" s="111" t="str">
        <f t="shared" si="5"/>
        <v/>
      </c>
      <c r="J218" s="89" t="str">
        <f>IF(ISBLANK($H218),"",IF(VLOOKUP($H218,'FX Rates'!$A$1:$BQ$152,_xlfn.XMATCH($B218,'FX Rates'!$A$1:$BQ$1,-1,1),0)=0,"No Exch Rate Data",IF($G218=0,"",$G218/VLOOKUP($H218,'FX Rates'!$A$1:$BQ$152,_xlfn.XMATCH($B218,'FX Rates'!$A$1:$BQ$1,-1,1),0))))</f>
        <v/>
      </c>
    </row>
    <row r="219" spans="2:10" x14ac:dyDescent="0.25">
      <c r="B219" s="87"/>
      <c r="I219" s="111" t="str">
        <f t="shared" si="5"/>
        <v/>
      </c>
      <c r="J219" s="89" t="str">
        <f>IF(ISBLANK($H219),"",IF(VLOOKUP($H219,'FX Rates'!$A$1:$BQ$152,_xlfn.XMATCH($B219,'FX Rates'!$A$1:$BQ$1,-1,1),0)=0,"No Exch Rate Data",IF($G219=0,"",$G219/VLOOKUP($H219,'FX Rates'!$A$1:$BQ$152,_xlfn.XMATCH($B219,'FX Rates'!$A$1:$BQ$1,-1,1),0))))</f>
        <v/>
      </c>
    </row>
    <row r="220" spans="2:10" x14ac:dyDescent="0.25">
      <c r="B220" s="87"/>
      <c r="I220" s="111" t="str">
        <f t="shared" si="5"/>
        <v/>
      </c>
      <c r="J220" s="89" t="str">
        <f>IF(ISBLANK($H220),"",IF(VLOOKUP($H220,'FX Rates'!$A$1:$BQ$152,_xlfn.XMATCH($B220,'FX Rates'!$A$1:$BQ$1,-1,1),0)=0,"No Exch Rate Data",IF($G220=0,"",$G220/VLOOKUP($H220,'FX Rates'!$A$1:$BQ$152,_xlfn.XMATCH($B220,'FX Rates'!$A$1:$BQ$1,-1,1),0))))</f>
        <v/>
      </c>
    </row>
    <row r="221" spans="2:10" x14ac:dyDescent="0.25">
      <c r="B221" s="87"/>
      <c r="I221" s="111" t="str">
        <f t="shared" si="5"/>
        <v/>
      </c>
      <c r="J221" s="89" t="str">
        <f>IF(ISBLANK($H221),"",IF(VLOOKUP($H221,'FX Rates'!$A$1:$BQ$152,_xlfn.XMATCH($B221,'FX Rates'!$A$1:$BQ$1,-1,1),0)=0,"No Exch Rate Data",IF($G221=0,"",$G221/VLOOKUP($H221,'FX Rates'!$A$1:$BQ$152,_xlfn.XMATCH($B221,'FX Rates'!$A$1:$BQ$1,-1,1),0))))</f>
        <v/>
      </c>
    </row>
    <row r="222" spans="2:10" x14ac:dyDescent="0.25">
      <c r="B222" s="87"/>
      <c r="I222" s="111" t="str">
        <f t="shared" si="5"/>
        <v/>
      </c>
      <c r="J222" s="89" t="str">
        <f>IF(ISBLANK($H222),"",IF(VLOOKUP($H222,'FX Rates'!$A$1:$BQ$152,_xlfn.XMATCH($B222,'FX Rates'!$A$1:$BQ$1,-1,1),0)=0,"No Exch Rate Data",IF($G222=0,"",$G222/VLOOKUP($H222,'FX Rates'!$A$1:$BQ$152,_xlfn.XMATCH($B222,'FX Rates'!$A$1:$BQ$1,-1,1),0))))</f>
        <v/>
      </c>
    </row>
    <row r="223" spans="2:10" x14ac:dyDescent="0.25">
      <c r="B223" s="87"/>
      <c r="I223" s="111" t="str">
        <f t="shared" si="5"/>
        <v/>
      </c>
      <c r="J223" s="89" t="str">
        <f>IF(ISBLANK($H223),"",IF(VLOOKUP($H223,'FX Rates'!$A$1:$BQ$152,_xlfn.XMATCH($B223,'FX Rates'!$A$1:$BQ$1,-1,1),0)=0,"No Exch Rate Data",IF($G223=0,"",$G223/VLOOKUP($H223,'FX Rates'!$A$1:$BQ$152,_xlfn.XMATCH($B223,'FX Rates'!$A$1:$BQ$1,-1,1),0))))</f>
        <v/>
      </c>
    </row>
    <row r="224" spans="2:10" x14ac:dyDescent="0.25">
      <c r="B224" s="87"/>
      <c r="I224" s="111" t="str">
        <f t="shared" si="5"/>
        <v/>
      </c>
      <c r="J224" s="89" t="str">
        <f>IF(ISBLANK($H224),"",IF(VLOOKUP($H224,'FX Rates'!$A$1:$BQ$152,_xlfn.XMATCH($B224,'FX Rates'!$A$1:$BQ$1,-1,1),0)=0,"No Exch Rate Data",IF($G224=0,"",$G224/VLOOKUP($H224,'FX Rates'!$A$1:$BQ$152,_xlfn.XMATCH($B224,'FX Rates'!$A$1:$BQ$1,-1,1),0))))</f>
        <v/>
      </c>
    </row>
    <row r="225" spans="2:10" x14ac:dyDescent="0.25">
      <c r="B225" s="87"/>
      <c r="I225" s="111" t="str">
        <f t="shared" si="5"/>
        <v/>
      </c>
      <c r="J225" s="89" t="str">
        <f>IF(ISBLANK($H225),"",IF(VLOOKUP($H225,'FX Rates'!$A$1:$BQ$152,_xlfn.XMATCH($B225,'FX Rates'!$A$1:$BQ$1,-1,1),0)=0,"No Exch Rate Data",IF($G225=0,"",$G225/VLOOKUP($H225,'FX Rates'!$A$1:$BQ$152,_xlfn.XMATCH($B225,'FX Rates'!$A$1:$BQ$1,-1,1),0))))</f>
        <v/>
      </c>
    </row>
    <row r="226" spans="2:10" x14ac:dyDescent="0.25">
      <c r="B226" s="87"/>
      <c r="I226" s="111" t="str">
        <f t="shared" si="5"/>
        <v/>
      </c>
      <c r="J226" s="89" t="str">
        <f>IF(ISBLANK($H226),"",IF(VLOOKUP($H226,'FX Rates'!$A$1:$BQ$152,_xlfn.XMATCH($B226,'FX Rates'!$A$1:$BQ$1,-1,1),0)=0,"No Exch Rate Data",IF($G226=0,"",$G226/VLOOKUP($H226,'FX Rates'!$A$1:$BQ$152,_xlfn.XMATCH($B226,'FX Rates'!$A$1:$BQ$1,-1,1),0))))</f>
        <v/>
      </c>
    </row>
    <row r="227" spans="2:10" x14ac:dyDescent="0.25">
      <c r="B227" s="87"/>
      <c r="I227" s="111" t="str">
        <f t="shared" si="5"/>
        <v/>
      </c>
      <c r="J227" s="89" t="str">
        <f>IF(ISBLANK($H227),"",IF(VLOOKUP($H227,'FX Rates'!$A$1:$BQ$152,_xlfn.XMATCH($B227,'FX Rates'!$A$1:$BQ$1,-1,1),0)=0,"No Exch Rate Data",IF($G227=0,"",$G227/VLOOKUP($H227,'FX Rates'!$A$1:$BQ$152,_xlfn.XMATCH($B227,'FX Rates'!$A$1:$BQ$1,-1,1),0))))</f>
        <v/>
      </c>
    </row>
    <row r="228" spans="2:10" x14ac:dyDescent="0.25">
      <c r="B228" s="87"/>
      <c r="I228" s="111" t="str">
        <f t="shared" si="5"/>
        <v/>
      </c>
      <c r="J228" s="89" t="str">
        <f>IF(ISBLANK($H228),"",IF(VLOOKUP($H228,'FX Rates'!$A$1:$BQ$152,_xlfn.XMATCH($B228,'FX Rates'!$A$1:$BQ$1,-1,1),0)=0,"No Exch Rate Data",IF($G228=0,"",$G228/VLOOKUP($H228,'FX Rates'!$A$1:$BQ$152,_xlfn.XMATCH($B228,'FX Rates'!$A$1:$BQ$1,-1,1),0))))</f>
        <v/>
      </c>
    </row>
    <row r="229" spans="2:10" x14ac:dyDescent="0.25">
      <c r="B229" s="87"/>
      <c r="I229" s="111" t="str">
        <f t="shared" si="5"/>
        <v/>
      </c>
      <c r="J229" s="89" t="str">
        <f>IF(ISBLANK($H229),"",IF(VLOOKUP($H229,'FX Rates'!$A$1:$BQ$152,_xlfn.XMATCH($B229,'FX Rates'!$A$1:$BQ$1,-1,1),0)=0,"No Exch Rate Data",IF($G229=0,"",$G229/VLOOKUP($H229,'FX Rates'!$A$1:$BQ$152,_xlfn.XMATCH($B229,'FX Rates'!$A$1:$BQ$1,-1,1),0))))</f>
        <v/>
      </c>
    </row>
    <row r="230" spans="2:10" x14ac:dyDescent="0.25">
      <c r="B230" s="87"/>
      <c r="I230" s="111" t="str">
        <f t="shared" si="5"/>
        <v/>
      </c>
      <c r="J230" s="89" t="str">
        <f>IF(ISBLANK($H230),"",IF(VLOOKUP($H230,'FX Rates'!$A$1:$BQ$152,_xlfn.XMATCH($B230,'FX Rates'!$A$1:$BQ$1,-1,1),0)=0,"No Exch Rate Data",IF($G230=0,"",$G230/VLOOKUP($H230,'FX Rates'!$A$1:$BQ$152,_xlfn.XMATCH($B230,'FX Rates'!$A$1:$BQ$1,-1,1),0))))</f>
        <v/>
      </c>
    </row>
    <row r="231" spans="2:10" x14ac:dyDescent="0.25">
      <c r="B231" s="87"/>
      <c r="I231" s="111" t="str">
        <f t="shared" si="5"/>
        <v/>
      </c>
      <c r="J231" s="89" t="str">
        <f>IF(ISBLANK($H231),"",IF(VLOOKUP($H231,'FX Rates'!$A$1:$BQ$152,_xlfn.XMATCH($B231,'FX Rates'!$A$1:$BQ$1,-1,1),0)=0,"No Exch Rate Data",IF($G231=0,"",$G231/VLOOKUP($H231,'FX Rates'!$A$1:$BQ$152,_xlfn.XMATCH($B231,'FX Rates'!$A$1:$BQ$1,-1,1),0))))</f>
        <v/>
      </c>
    </row>
    <row r="232" spans="2:10" x14ac:dyDescent="0.25">
      <c r="B232" s="87"/>
      <c r="I232" s="111" t="str">
        <f t="shared" si="5"/>
        <v/>
      </c>
      <c r="J232" s="89" t="str">
        <f>IF(ISBLANK($H232),"",IF(VLOOKUP($H232,'FX Rates'!$A$1:$BQ$152,_xlfn.XMATCH($B232,'FX Rates'!$A$1:$BQ$1,-1,1),0)=0,"No Exch Rate Data",IF($G232=0,"",$G232/VLOOKUP($H232,'FX Rates'!$A$1:$BQ$152,_xlfn.XMATCH($B232,'FX Rates'!$A$1:$BQ$1,-1,1),0))))</f>
        <v/>
      </c>
    </row>
    <row r="233" spans="2:10" x14ac:dyDescent="0.25">
      <c r="B233" s="87"/>
      <c r="I233" s="111" t="str">
        <f t="shared" si="5"/>
        <v/>
      </c>
      <c r="J233" s="89" t="str">
        <f>IF(ISBLANK($H233),"",IF(VLOOKUP($H233,'FX Rates'!$A$1:$BQ$152,_xlfn.XMATCH($B233,'FX Rates'!$A$1:$BQ$1,-1,1),0)=0,"No Exch Rate Data",IF($G233=0,"",$G233/VLOOKUP($H233,'FX Rates'!$A$1:$BQ$152,_xlfn.XMATCH($B233,'FX Rates'!$A$1:$BQ$1,-1,1),0))))</f>
        <v/>
      </c>
    </row>
    <row r="234" spans="2:10" x14ac:dyDescent="0.25">
      <c r="B234" s="87"/>
      <c r="I234" s="111" t="str">
        <f t="shared" ref="I234:I297" si="6">IF(ISBLANK($D234),"",_xlfn.XLOOKUP($D234,Item_List,Time_Span,"",0))</f>
        <v/>
      </c>
      <c r="J234" s="89" t="str">
        <f>IF(ISBLANK($H234),"",IF(VLOOKUP($H234,'FX Rates'!$A$1:$BQ$152,_xlfn.XMATCH($B234,'FX Rates'!$A$1:$BQ$1,-1,1),0)=0,"No Exch Rate Data",IF($G234=0,"",$G234/VLOOKUP($H234,'FX Rates'!$A$1:$BQ$152,_xlfn.XMATCH($B234,'FX Rates'!$A$1:$BQ$1,-1,1),0))))</f>
        <v/>
      </c>
    </row>
    <row r="235" spans="2:10" x14ac:dyDescent="0.25">
      <c r="B235" s="87"/>
      <c r="I235" s="111" t="str">
        <f t="shared" si="6"/>
        <v/>
      </c>
      <c r="J235" s="89" t="str">
        <f>IF(ISBLANK($H235),"",IF(VLOOKUP($H235,'FX Rates'!$A$1:$BQ$152,_xlfn.XMATCH($B235,'FX Rates'!$A$1:$BQ$1,-1,1),0)=0,"No Exch Rate Data",IF($G235=0,"",$G235/VLOOKUP($H235,'FX Rates'!$A$1:$BQ$152,_xlfn.XMATCH($B235,'FX Rates'!$A$1:$BQ$1,-1,1),0))))</f>
        <v/>
      </c>
    </row>
    <row r="236" spans="2:10" x14ac:dyDescent="0.25">
      <c r="B236" s="87"/>
      <c r="I236" s="111" t="str">
        <f t="shared" si="6"/>
        <v/>
      </c>
      <c r="J236" s="89" t="str">
        <f>IF(ISBLANK($H236),"",IF(VLOOKUP($H236,'FX Rates'!$A$1:$BQ$152,_xlfn.XMATCH($B236,'FX Rates'!$A$1:$BQ$1,-1,1),0)=0,"No Exch Rate Data",IF($G236=0,"",$G236/VLOOKUP($H236,'FX Rates'!$A$1:$BQ$152,_xlfn.XMATCH($B236,'FX Rates'!$A$1:$BQ$1,-1,1),0))))</f>
        <v/>
      </c>
    </row>
    <row r="237" spans="2:10" x14ac:dyDescent="0.25">
      <c r="B237" s="87"/>
      <c r="I237" s="111" t="str">
        <f t="shared" si="6"/>
        <v/>
      </c>
      <c r="J237" s="89" t="str">
        <f>IF(ISBLANK($H237),"",IF(VLOOKUP($H237,'FX Rates'!$A$1:$BQ$152,_xlfn.XMATCH($B237,'FX Rates'!$A$1:$BQ$1,-1,1),0)=0,"No Exch Rate Data",IF($G237=0,"",$G237/VLOOKUP($H237,'FX Rates'!$A$1:$BQ$152,_xlfn.XMATCH($B237,'FX Rates'!$A$1:$BQ$1,-1,1),0))))</f>
        <v/>
      </c>
    </row>
    <row r="238" spans="2:10" x14ac:dyDescent="0.25">
      <c r="B238" s="87"/>
      <c r="I238" s="111" t="str">
        <f t="shared" si="6"/>
        <v/>
      </c>
      <c r="J238" s="89" t="str">
        <f>IF(ISBLANK($H238),"",IF(VLOOKUP($H238,'FX Rates'!$A$1:$BQ$152,_xlfn.XMATCH($B238,'FX Rates'!$A$1:$BQ$1,-1,1),0)=0,"No Exch Rate Data",IF($G238=0,"",$G238/VLOOKUP($H238,'FX Rates'!$A$1:$BQ$152,_xlfn.XMATCH($B238,'FX Rates'!$A$1:$BQ$1,-1,1),0))))</f>
        <v/>
      </c>
    </row>
    <row r="239" spans="2:10" x14ac:dyDescent="0.25">
      <c r="B239" s="87"/>
      <c r="I239" s="111" t="str">
        <f t="shared" si="6"/>
        <v/>
      </c>
      <c r="J239" s="89" t="str">
        <f>IF(ISBLANK($H239),"",IF(VLOOKUP($H239,'FX Rates'!$A$1:$BQ$152,_xlfn.XMATCH($B239,'FX Rates'!$A$1:$BQ$1,-1,1),0)=0,"No Exch Rate Data",IF($G239=0,"",$G239/VLOOKUP($H239,'FX Rates'!$A$1:$BQ$152,_xlfn.XMATCH($B239,'FX Rates'!$A$1:$BQ$1,-1,1),0))))</f>
        <v/>
      </c>
    </row>
    <row r="240" spans="2:10" x14ac:dyDescent="0.25">
      <c r="B240" s="87"/>
      <c r="I240" s="111" t="str">
        <f t="shared" si="6"/>
        <v/>
      </c>
      <c r="J240" s="89" t="str">
        <f>IF(ISBLANK($H240),"",IF(VLOOKUP($H240,'FX Rates'!$A$1:$BQ$152,_xlfn.XMATCH($B240,'FX Rates'!$A$1:$BQ$1,-1,1),0)=0,"No Exch Rate Data",IF($G240=0,"",$G240/VLOOKUP($H240,'FX Rates'!$A$1:$BQ$152,_xlfn.XMATCH($B240,'FX Rates'!$A$1:$BQ$1,-1,1),0))))</f>
        <v/>
      </c>
    </row>
    <row r="241" spans="2:10" x14ac:dyDescent="0.25">
      <c r="B241" s="87"/>
      <c r="I241" s="111" t="str">
        <f t="shared" si="6"/>
        <v/>
      </c>
      <c r="J241" s="89" t="str">
        <f>IF(ISBLANK($H241),"",IF(VLOOKUP($H241,'FX Rates'!$A$1:$BQ$152,_xlfn.XMATCH($B241,'FX Rates'!$A$1:$BQ$1,-1,1),0)=0,"No Exch Rate Data",IF($G241=0,"",$G241/VLOOKUP($H241,'FX Rates'!$A$1:$BQ$152,_xlfn.XMATCH($B241,'FX Rates'!$A$1:$BQ$1,-1,1),0))))</f>
        <v/>
      </c>
    </row>
    <row r="242" spans="2:10" x14ac:dyDescent="0.25">
      <c r="B242" s="87"/>
      <c r="I242" s="111" t="str">
        <f t="shared" si="6"/>
        <v/>
      </c>
      <c r="J242" s="89" t="str">
        <f>IF(ISBLANK($H242),"",IF(VLOOKUP($H242,'FX Rates'!$A$1:$BQ$152,_xlfn.XMATCH($B242,'FX Rates'!$A$1:$BQ$1,-1,1),0)=0,"No Exch Rate Data",IF($G242=0,"",$G242/VLOOKUP($H242,'FX Rates'!$A$1:$BQ$152,_xlfn.XMATCH($B242,'FX Rates'!$A$1:$BQ$1,-1,1),0))))</f>
        <v/>
      </c>
    </row>
    <row r="243" spans="2:10" x14ac:dyDescent="0.25">
      <c r="B243" s="87"/>
      <c r="I243" s="111" t="str">
        <f t="shared" si="6"/>
        <v/>
      </c>
      <c r="J243" s="89" t="str">
        <f>IF(ISBLANK($H243),"",IF(VLOOKUP($H243,'FX Rates'!$A$1:$BQ$152,_xlfn.XMATCH($B243,'FX Rates'!$A$1:$BQ$1,-1,1),0)=0,"No Exch Rate Data",IF($G243=0,"",$G243/VLOOKUP($H243,'FX Rates'!$A$1:$BQ$152,_xlfn.XMATCH($B243,'FX Rates'!$A$1:$BQ$1,-1,1),0))))</f>
        <v/>
      </c>
    </row>
    <row r="244" spans="2:10" x14ac:dyDescent="0.25">
      <c r="B244" s="87"/>
      <c r="I244" s="111" t="str">
        <f t="shared" si="6"/>
        <v/>
      </c>
      <c r="J244" s="89" t="str">
        <f>IF(ISBLANK($H244),"",IF(VLOOKUP($H244,'FX Rates'!$A$1:$BQ$152,_xlfn.XMATCH($B244,'FX Rates'!$A$1:$BQ$1,-1,1),0)=0,"No Exch Rate Data",IF($G244=0,"",$G244/VLOOKUP($H244,'FX Rates'!$A$1:$BQ$152,_xlfn.XMATCH($B244,'FX Rates'!$A$1:$BQ$1,-1,1),0))))</f>
        <v/>
      </c>
    </row>
    <row r="245" spans="2:10" x14ac:dyDescent="0.25">
      <c r="B245" s="87"/>
      <c r="I245" s="111" t="str">
        <f t="shared" si="6"/>
        <v/>
      </c>
      <c r="J245" s="89" t="str">
        <f>IF(ISBLANK($H245),"",IF(VLOOKUP($H245,'FX Rates'!$A$1:$BQ$152,_xlfn.XMATCH($B245,'FX Rates'!$A$1:$BQ$1,-1,1),0)=0,"No Exch Rate Data",IF($G245=0,"",$G245/VLOOKUP($H245,'FX Rates'!$A$1:$BQ$152,_xlfn.XMATCH($B245,'FX Rates'!$A$1:$BQ$1,-1,1),0))))</f>
        <v/>
      </c>
    </row>
    <row r="246" spans="2:10" x14ac:dyDescent="0.25">
      <c r="B246" s="87"/>
      <c r="I246" s="111" t="str">
        <f t="shared" si="6"/>
        <v/>
      </c>
      <c r="J246" s="89" t="str">
        <f>IF(ISBLANK($H246),"",IF(VLOOKUP($H246,'FX Rates'!$A$1:$BQ$152,_xlfn.XMATCH($B246,'FX Rates'!$A$1:$BQ$1,-1,1),0)=0,"No Exch Rate Data",IF($G246=0,"",$G246/VLOOKUP($H246,'FX Rates'!$A$1:$BQ$152,_xlfn.XMATCH($B246,'FX Rates'!$A$1:$BQ$1,-1,1),0))))</f>
        <v/>
      </c>
    </row>
    <row r="247" spans="2:10" x14ac:dyDescent="0.25">
      <c r="B247" s="87"/>
      <c r="I247" s="111" t="str">
        <f t="shared" si="6"/>
        <v/>
      </c>
      <c r="J247" s="89" t="str">
        <f>IF(ISBLANK($H247),"",IF(VLOOKUP($H247,'FX Rates'!$A$1:$BQ$152,_xlfn.XMATCH($B247,'FX Rates'!$A$1:$BQ$1,-1,1),0)=0,"No Exch Rate Data",IF($G247=0,"",$G247/VLOOKUP($H247,'FX Rates'!$A$1:$BQ$152,_xlfn.XMATCH($B247,'FX Rates'!$A$1:$BQ$1,-1,1),0))))</f>
        <v/>
      </c>
    </row>
    <row r="248" spans="2:10" x14ac:dyDescent="0.25">
      <c r="B248" s="87"/>
      <c r="I248" s="111" t="str">
        <f t="shared" si="6"/>
        <v/>
      </c>
      <c r="J248" s="89" t="str">
        <f>IF(ISBLANK($H248),"",IF(VLOOKUP($H248,'FX Rates'!$A$1:$BQ$152,_xlfn.XMATCH($B248,'FX Rates'!$A$1:$BQ$1,-1,1),0)=0,"No Exch Rate Data",IF($G248=0,"",$G248/VLOOKUP($H248,'FX Rates'!$A$1:$BQ$152,_xlfn.XMATCH($B248,'FX Rates'!$A$1:$BQ$1,-1,1),0))))</f>
        <v/>
      </c>
    </row>
    <row r="249" spans="2:10" x14ac:dyDescent="0.25">
      <c r="B249" s="87"/>
      <c r="I249" s="111" t="str">
        <f t="shared" si="6"/>
        <v/>
      </c>
      <c r="J249" s="89" t="str">
        <f>IF(ISBLANK($H249),"",IF(VLOOKUP($H249,'FX Rates'!$A$1:$BQ$152,_xlfn.XMATCH($B249,'FX Rates'!$A$1:$BQ$1,-1,1),0)=0,"No Exch Rate Data",IF($G249=0,"",$G249/VLOOKUP($H249,'FX Rates'!$A$1:$BQ$152,_xlfn.XMATCH($B249,'FX Rates'!$A$1:$BQ$1,-1,1),0))))</f>
        <v/>
      </c>
    </row>
    <row r="250" spans="2:10" x14ac:dyDescent="0.25">
      <c r="B250" s="87"/>
      <c r="I250" s="111" t="str">
        <f t="shared" si="6"/>
        <v/>
      </c>
      <c r="J250" s="89" t="str">
        <f>IF(ISBLANK($H250),"",IF(VLOOKUP($H250,'FX Rates'!$A$1:$BQ$152,_xlfn.XMATCH($B250,'FX Rates'!$A$1:$BQ$1,-1,1),0)=0,"No Exch Rate Data",IF($G250=0,"",$G250/VLOOKUP($H250,'FX Rates'!$A$1:$BQ$152,_xlfn.XMATCH($B250,'FX Rates'!$A$1:$BQ$1,-1,1),0))))</f>
        <v/>
      </c>
    </row>
    <row r="251" spans="2:10" x14ac:dyDescent="0.25">
      <c r="B251" s="87"/>
      <c r="I251" s="111" t="str">
        <f t="shared" si="6"/>
        <v/>
      </c>
      <c r="J251" s="89" t="str">
        <f>IF(ISBLANK($H251),"",IF(VLOOKUP($H251,'FX Rates'!$A$1:$BQ$152,_xlfn.XMATCH($B251,'FX Rates'!$A$1:$BQ$1,-1,1),0)=0,"No Exch Rate Data",IF($G251=0,"",$G251/VLOOKUP($H251,'FX Rates'!$A$1:$BQ$152,_xlfn.XMATCH($B251,'FX Rates'!$A$1:$BQ$1,-1,1),0))))</f>
        <v/>
      </c>
    </row>
    <row r="252" spans="2:10" x14ac:dyDescent="0.25">
      <c r="B252" s="87"/>
      <c r="I252" s="111" t="str">
        <f t="shared" si="6"/>
        <v/>
      </c>
      <c r="J252" s="89" t="str">
        <f>IF(ISBLANK($H252),"",IF(VLOOKUP($H252,'FX Rates'!$A$1:$BQ$152,_xlfn.XMATCH($B252,'FX Rates'!$A$1:$BQ$1,-1,1),0)=0,"No Exch Rate Data",IF($G252=0,"",$G252/VLOOKUP($H252,'FX Rates'!$A$1:$BQ$152,_xlfn.XMATCH($B252,'FX Rates'!$A$1:$BQ$1,-1,1),0))))</f>
        <v/>
      </c>
    </row>
    <row r="253" spans="2:10" x14ac:dyDescent="0.25">
      <c r="B253" s="87"/>
      <c r="I253" s="111" t="str">
        <f t="shared" si="6"/>
        <v/>
      </c>
      <c r="J253" s="89" t="str">
        <f>IF(ISBLANK($H253),"",IF(VLOOKUP($H253,'FX Rates'!$A$1:$BQ$152,_xlfn.XMATCH($B253,'FX Rates'!$A$1:$BQ$1,-1,1),0)=0,"No Exch Rate Data",IF($G253=0,"",$G253/VLOOKUP($H253,'FX Rates'!$A$1:$BQ$152,_xlfn.XMATCH($B253,'FX Rates'!$A$1:$BQ$1,-1,1),0))))</f>
        <v/>
      </c>
    </row>
    <row r="254" spans="2:10" x14ac:dyDescent="0.25">
      <c r="B254" s="87"/>
      <c r="I254" s="111" t="str">
        <f t="shared" si="6"/>
        <v/>
      </c>
      <c r="J254" s="89" t="str">
        <f>IF(ISBLANK($H254),"",IF(VLOOKUP($H254,'FX Rates'!$A$1:$BQ$152,_xlfn.XMATCH($B254,'FX Rates'!$A$1:$BQ$1,-1,1),0)=0,"No Exch Rate Data",IF($G254=0,"",$G254/VLOOKUP($H254,'FX Rates'!$A$1:$BQ$152,_xlfn.XMATCH($B254,'FX Rates'!$A$1:$BQ$1,-1,1),0))))</f>
        <v/>
      </c>
    </row>
    <row r="255" spans="2:10" x14ac:dyDescent="0.25">
      <c r="B255" s="87"/>
      <c r="I255" s="111" t="str">
        <f t="shared" si="6"/>
        <v/>
      </c>
      <c r="J255" s="89" t="str">
        <f>IF(ISBLANK($H255),"",IF(VLOOKUP($H255,'FX Rates'!$A$1:$BQ$152,_xlfn.XMATCH($B255,'FX Rates'!$A$1:$BQ$1,-1,1),0)=0,"No Exch Rate Data",IF($G255=0,"",$G255/VLOOKUP($H255,'FX Rates'!$A$1:$BQ$152,_xlfn.XMATCH($B255,'FX Rates'!$A$1:$BQ$1,-1,1),0))))</f>
        <v/>
      </c>
    </row>
    <row r="256" spans="2:10" x14ac:dyDescent="0.25">
      <c r="B256" s="87"/>
      <c r="I256" s="111" t="str">
        <f t="shared" si="6"/>
        <v/>
      </c>
      <c r="J256" s="89" t="str">
        <f>IF(ISBLANK($H256),"",IF(VLOOKUP($H256,'FX Rates'!$A$1:$BQ$152,_xlfn.XMATCH($B256,'FX Rates'!$A$1:$BQ$1,-1,1),0)=0,"No Exch Rate Data",IF($G256=0,"",$G256/VLOOKUP($H256,'FX Rates'!$A$1:$BQ$152,_xlfn.XMATCH($B256,'FX Rates'!$A$1:$BQ$1,-1,1),0))))</f>
        <v/>
      </c>
    </row>
    <row r="257" spans="2:10" x14ac:dyDescent="0.25">
      <c r="B257" s="87"/>
      <c r="I257" s="111" t="str">
        <f t="shared" si="6"/>
        <v/>
      </c>
      <c r="J257" s="89" t="str">
        <f>IF(ISBLANK($H257),"",IF(VLOOKUP($H257,'FX Rates'!$A$1:$BQ$152,_xlfn.XMATCH($B257,'FX Rates'!$A$1:$BQ$1,-1,1),0)=0,"No Exch Rate Data",IF($G257=0,"",$G257/VLOOKUP($H257,'FX Rates'!$A$1:$BQ$152,_xlfn.XMATCH($B257,'FX Rates'!$A$1:$BQ$1,-1,1),0))))</f>
        <v/>
      </c>
    </row>
    <row r="258" spans="2:10" x14ac:dyDescent="0.25">
      <c r="B258" s="87"/>
      <c r="I258" s="111" t="str">
        <f t="shared" si="6"/>
        <v/>
      </c>
      <c r="J258" s="89" t="str">
        <f>IF(ISBLANK($H258),"",IF(VLOOKUP($H258,'FX Rates'!$A$1:$BQ$152,_xlfn.XMATCH($B258,'FX Rates'!$A$1:$BQ$1,-1,1),0)=0,"No Exch Rate Data",IF($G258=0,"",$G258/VLOOKUP($H258,'FX Rates'!$A$1:$BQ$152,_xlfn.XMATCH($B258,'FX Rates'!$A$1:$BQ$1,-1,1),0))))</f>
        <v/>
      </c>
    </row>
    <row r="259" spans="2:10" x14ac:dyDescent="0.25">
      <c r="B259" s="87"/>
      <c r="I259" s="111" t="str">
        <f t="shared" si="6"/>
        <v/>
      </c>
      <c r="J259" s="89" t="str">
        <f>IF(ISBLANK($H259),"",IF(VLOOKUP($H259,'FX Rates'!$A$1:$BQ$152,_xlfn.XMATCH($B259,'FX Rates'!$A$1:$BQ$1,-1,1),0)=0,"No Exch Rate Data",IF($G259=0,"",$G259/VLOOKUP($H259,'FX Rates'!$A$1:$BQ$152,_xlfn.XMATCH($B259,'FX Rates'!$A$1:$BQ$1,-1,1),0))))</f>
        <v/>
      </c>
    </row>
    <row r="260" spans="2:10" x14ac:dyDescent="0.25">
      <c r="B260" s="87"/>
      <c r="I260" s="111" t="str">
        <f t="shared" si="6"/>
        <v/>
      </c>
      <c r="J260" s="89" t="str">
        <f>IF(ISBLANK($H260),"",IF(VLOOKUP($H260,'FX Rates'!$A$1:$BQ$152,_xlfn.XMATCH($B260,'FX Rates'!$A$1:$BQ$1,-1,1),0)=0,"No Exch Rate Data",IF($G260=0,"",$G260/VLOOKUP($H260,'FX Rates'!$A$1:$BQ$152,_xlfn.XMATCH($B260,'FX Rates'!$A$1:$BQ$1,-1,1),0))))</f>
        <v/>
      </c>
    </row>
    <row r="261" spans="2:10" x14ac:dyDescent="0.25">
      <c r="B261" s="87"/>
      <c r="I261" s="111" t="str">
        <f t="shared" si="6"/>
        <v/>
      </c>
      <c r="J261" s="89" t="str">
        <f>IF(ISBLANK($H261),"",IF(VLOOKUP($H261,'FX Rates'!$A$1:$BQ$152,_xlfn.XMATCH($B261,'FX Rates'!$A$1:$BQ$1,-1,1),0)=0,"No Exch Rate Data",IF($G261=0,"",$G261/VLOOKUP($H261,'FX Rates'!$A$1:$BQ$152,_xlfn.XMATCH($B261,'FX Rates'!$A$1:$BQ$1,-1,1),0))))</f>
        <v/>
      </c>
    </row>
    <row r="262" spans="2:10" x14ac:dyDescent="0.25">
      <c r="B262" s="87"/>
      <c r="I262" s="111" t="str">
        <f t="shared" si="6"/>
        <v/>
      </c>
      <c r="J262" s="89" t="str">
        <f>IF(ISBLANK($H262),"",IF(VLOOKUP($H262,'FX Rates'!$A$1:$BQ$152,_xlfn.XMATCH($B262,'FX Rates'!$A$1:$BQ$1,-1,1),0)=0,"No Exch Rate Data",IF($G262=0,"",$G262/VLOOKUP($H262,'FX Rates'!$A$1:$BQ$152,_xlfn.XMATCH($B262,'FX Rates'!$A$1:$BQ$1,-1,1),0))))</f>
        <v/>
      </c>
    </row>
    <row r="263" spans="2:10" x14ac:dyDescent="0.25">
      <c r="B263" s="87"/>
      <c r="I263" s="111" t="str">
        <f t="shared" si="6"/>
        <v/>
      </c>
      <c r="J263" s="89" t="str">
        <f>IF(ISBLANK($H263),"",IF(VLOOKUP($H263,'FX Rates'!$A$1:$BQ$152,_xlfn.XMATCH($B263,'FX Rates'!$A$1:$BQ$1,-1,1),0)=0,"No Exch Rate Data",IF($G263=0,"",$G263/VLOOKUP($H263,'FX Rates'!$A$1:$BQ$152,_xlfn.XMATCH($B263,'FX Rates'!$A$1:$BQ$1,-1,1),0))))</f>
        <v/>
      </c>
    </row>
    <row r="264" spans="2:10" x14ac:dyDescent="0.25">
      <c r="B264" s="87"/>
      <c r="I264" s="111" t="str">
        <f t="shared" si="6"/>
        <v/>
      </c>
      <c r="J264" s="89" t="str">
        <f>IF(ISBLANK($H264),"",IF(VLOOKUP($H264,'FX Rates'!$A$1:$BQ$152,_xlfn.XMATCH($B264,'FX Rates'!$A$1:$BQ$1,-1,1),0)=0,"No Exch Rate Data",IF($G264=0,"",$G264/VLOOKUP($H264,'FX Rates'!$A$1:$BQ$152,_xlfn.XMATCH($B264,'FX Rates'!$A$1:$BQ$1,-1,1),0))))</f>
        <v/>
      </c>
    </row>
    <row r="265" spans="2:10" x14ac:dyDescent="0.25">
      <c r="B265" s="87"/>
      <c r="I265" s="111" t="str">
        <f t="shared" si="6"/>
        <v/>
      </c>
      <c r="J265" s="89" t="str">
        <f>IF(ISBLANK($H265),"",IF(VLOOKUP($H265,'FX Rates'!$A$1:$BQ$152,_xlfn.XMATCH($B265,'FX Rates'!$A$1:$BQ$1,-1,1),0)=0,"No Exch Rate Data",IF($G265=0,"",$G265/VLOOKUP($H265,'FX Rates'!$A$1:$BQ$152,_xlfn.XMATCH($B265,'FX Rates'!$A$1:$BQ$1,-1,1),0))))</f>
        <v/>
      </c>
    </row>
    <row r="266" spans="2:10" x14ac:dyDescent="0.25">
      <c r="B266" s="87"/>
      <c r="I266" s="111" t="str">
        <f t="shared" si="6"/>
        <v/>
      </c>
      <c r="J266" s="89" t="str">
        <f>IF(ISBLANK($H266),"",IF(VLOOKUP($H266,'FX Rates'!$A$1:$BQ$152,_xlfn.XMATCH($B266,'FX Rates'!$A$1:$BQ$1,-1,1),0)=0,"No Exch Rate Data",IF($G266=0,"",$G266/VLOOKUP($H266,'FX Rates'!$A$1:$BQ$152,_xlfn.XMATCH($B266,'FX Rates'!$A$1:$BQ$1,-1,1),0))))</f>
        <v/>
      </c>
    </row>
    <row r="267" spans="2:10" x14ac:dyDescent="0.25">
      <c r="B267" s="87"/>
      <c r="I267" s="111" t="str">
        <f t="shared" si="6"/>
        <v/>
      </c>
      <c r="J267" s="89" t="str">
        <f>IF(ISBLANK($H267),"",IF(VLOOKUP($H267,'FX Rates'!$A$1:$BQ$152,_xlfn.XMATCH($B267,'FX Rates'!$A$1:$BQ$1,-1,1),0)=0,"No Exch Rate Data",IF($G267=0,"",$G267/VLOOKUP($H267,'FX Rates'!$A$1:$BQ$152,_xlfn.XMATCH($B267,'FX Rates'!$A$1:$BQ$1,-1,1),0))))</f>
        <v/>
      </c>
    </row>
    <row r="268" spans="2:10" x14ac:dyDescent="0.25">
      <c r="B268" s="87"/>
      <c r="I268" s="111" t="str">
        <f t="shared" si="6"/>
        <v/>
      </c>
      <c r="J268" s="89" t="str">
        <f>IF(ISBLANK($H268),"",IF(VLOOKUP($H268,'FX Rates'!$A$1:$BQ$152,_xlfn.XMATCH($B268,'FX Rates'!$A$1:$BQ$1,-1,1),0)=0,"No Exch Rate Data",IF($G268=0,"",$G268/VLOOKUP($H268,'FX Rates'!$A$1:$BQ$152,_xlfn.XMATCH($B268,'FX Rates'!$A$1:$BQ$1,-1,1),0))))</f>
        <v/>
      </c>
    </row>
    <row r="269" spans="2:10" x14ac:dyDescent="0.25">
      <c r="B269" s="87"/>
      <c r="I269" s="111" t="str">
        <f t="shared" si="6"/>
        <v/>
      </c>
      <c r="J269" s="89" t="str">
        <f>IF(ISBLANK($H269),"",IF(VLOOKUP($H269,'FX Rates'!$A$1:$BQ$152,_xlfn.XMATCH($B269,'FX Rates'!$A$1:$BQ$1,-1,1),0)=0,"No Exch Rate Data",IF($G269=0,"",$G269/VLOOKUP($H269,'FX Rates'!$A$1:$BQ$152,_xlfn.XMATCH($B269,'FX Rates'!$A$1:$BQ$1,-1,1),0))))</f>
        <v/>
      </c>
    </row>
    <row r="270" spans="2:10" x14ac:dyDescent="0.25">
      <c r="B270" s="87"/>
      <c r="I270" s="111" t="str">
        <f t="shared" si="6"/>
        <v/>
      </c>
      <c r="J270" s="89" t="str">
        <f>IF(ISBLANK($H270),"",IF(VLOOKUP($H270,'FX Rates'!$A$1:$BQ$152,_xlfn.XMATCH($B270,'FX Rates'!$A$1:$BQ$1,-1,1),0)=0,"No Exch Rate Data",IF($G270=0,"",$G270/VLOOKUP($H270,'FX Rates'!$A$1:$BQ$152,_xlfn.XMATCH($B270,'FX Rates'!$A$1:$BQ$1,-1,1),0))))</f>
        <v/>
      </c>
    </row>
    <row r="271" spans="2:10" x14ac:dyDescent="0.25">
      <c r="B271" s="87"/>
      <c r="I271" s="111" t="str">
        <f t="shared" si="6"/>
        <v/>
      </c>
      <c r="J271" s="89" t="str">
        <f>IF(ISBLANK($H271),"",IF(VLOOKUP($H271,'FX Rates'!$A$1:$BQ$152,_xlfn.XMATCH($B271,'FX Rates'!$A$1:$BQ$1,-1,1),0)=0,"No Exch Rate Data",IF($G271=0,"",$G271/VLOOKUP($H271,'FX Rates'!$A$1:$BQ$152,_xlfn.XMATCH($B271,'FX Rates'!$A$1:$BQ$1,-1,1),0))))</f>
        <v/>
      </c>
    </row>
    <row r="272" spans="2:10" x14ac:dyDescent="0.25">
      <c r="B272" s="87"/>
      <c r="I272" s="111" t="str">
        <f t="shared" si="6"/>
        <v/>
      </c>
      <c r="J272" s="89" t="str">
        <f>IF(ISBLANK($H272),"",IF(VLOOKUP($H272,'FX Rates'!$A$1:$BQ$152,_xlfn.XMATCH($B272,'FX Rates'!$A$1:$BQ$1,-1,1),0)=0,"No Exch Rate Data",IF($G272=0,"",$G272/VLOOKUP($H272,'FX Rates'!$A$1:$BQ$152,_xlfn.XMATCH($B272,'FX Rates'!$A$1:$BQ$1,-1,1),0))))</f>
        <v/>
      </c>
    </row>
    <row r="273" spans="2:10" x14ac:dyDescent="0.25">
      <c r="B273" s="87"/>
      <c r="I273" s="111" t="str">
        <f t="shared" si="6"/>
        <v/>
      </c>
      <c r="J273" s="89" t="str">
        <f>IF(ISBLANK($H273),"",IF(VLOOKUP($H273,'FX Rates'!$A$1:$BQ$152,_xlfn.XMATCH($B273,'FX Rates'!$A$1:$BQ$1,-1,1),0)=0,"No Exch Rate Data",IF($G273=0,"",$G273/VLOOKUP($H273,'FX Rates'!$A$1:$BQ$152,_xlfn.XMATCH($B273,'FX Rates'!$A$1:$BQ$1,-1,1),0))))</f>
        <v/>
      </c>
    </row>
    <row r="274" spans="2:10" x14ac:dyDescent="0.25">
      <c r="B274" s="87"/>
      <c r="I274" s="111" t="str">
        <f t="shared" si="6"/>
        <v/>
      </c>
      <c r="J274" s="89" t="str">
        <f>IF(ISBLANK($H274),"",IF(VLOOKUP($H274,'FX Rates'!$A$1:$BQ$152,_xlfn.XMATCH($B274,'FX Rates'!$A$1:$BQ$1,-1,1),0)=0,"No Exch Rate Data",IF($G274=0,"",$G274/VLOOKUP($H274,'FX Rates'!$A$1:$BQ$152,_xlfn.XMATCH($B274,'FX Rates'!$A$1:$BQ$1,-1,1),0))))</f>
        <v/>
      </c>
    </row>
    <row r="275" spans="2:10" x14ac:dyDescent="0.25">
      <c r="B275" s="87"/>
      <c r="I275" s="111" t="str">
        <f t="shared" si="6"/>
        <v/>
      </c>
      <c r="J275" s="89" t="str">
        <f>IF(ISBLANK($H275),"",IF(VLOOKUP($H275,'FX Rates'!$A$1:$BQ$152,_xlfn.XMATCH($B275,'FX Rates'!$A$1:$BQ$1,-1,1),0)=0,"No Exch Rate Data",IF($G275=0,"",$G275/VLOOKUP($H275,'FX Rates'!$A$1:$BQ$152,_xlfn.XMATCH($B275,'FX Rates'!$A$1:$BQ$1,-1,1),0))))</f>
        <v/>
      </c>
    </row>
    <row r="276" spans="2:10" x14ac:dyDescent="0.25">
      <c r="B276" s="87"/>
      <c r="I276" s="111" t="str">
        <f t="shared" si="6"/>
        <v/>
      </c>
      <c r="J276" s="89" t="str">
        <f>IF(ISBLANK($H276),"",IF(VLOOKUP($H276,'FX Rates'!$A$1:$BQ$152,_xlfn.XMATCH($B276,'FX Rates'!$A$1:$BQ$1,-1,1),0)=0,"No Exch Rate Data",IF($G276=0,"",$G276/VLOOKUP($H276,'FX Rates'!$A$1:$BQ$152,_xlfn.XMATCH($B276,'FX Rates'!$A$1:$BQ$1,-1,1),0))))</f>
        <v/>
      </c>
    </row>
    <row r="277" spans="2:10" x14ac:dyDescent="0.25">
      <c r="B277" s="87"/>
      <c r="I277" s="111" t="str">
        <f t="shared" si="6"/>
        <v/>
      </c>
      <c r="J277" s="89" t="str">
        <f>IF(ISBLANK($H277),"",IF(VLOOKUP($H277,'FX Rates'!$A$1:$BQ$152,_xlfn.XMATCH($B277,'FX Rates'!$A$1:$BQ$1,-1,1),0)=0,"No Exch Rate Data",IF($G277=0,"",$G277/VLOOKUP($H277,'FX Rates'!$A$1:$BQ$152,_xlfn.XMATCH($B277,'FX Rates'!$A$1:$BQ$1,-1,1),0))))</f>
        <v/>
      </c>
    </row>
    <row r="278" spans="2:10" x14ac:dyDescent="0.25">
      <c r="B278" s="87"/>
      <c r="I278" s="111" t="str">
        <f t="shared" si="6"/>
        <v/>
      </c>
      <c r="J278" s="89" t="str">
        <f>IF(ISBLANK($H278),"",IF(VLOOKUP($H278,'FX Rates'!$A$1:$BQ$152,_xlfn.XMATCH($B278,'FX Rates'!$A$1:$BQ$1,-1,1),0)=0,"No Exch Rate Data",IF($G278=0,"",$G278/VLOOKUP($H278,'FX Rates'!$A$1:$BQ$152,_xlfn.XMATCH($B278,'FX Rates'!$A$1:$BQ$1,-1,1),0))))</f>
        <v/>
      </c>
    </row>
    <row r="279" spans="2:10" x14ac:dyDescent="0.25">
      <c r="B279" s="87"/>
      <c r="I279" s="111" t="str">
        <f t="shared" si="6"/>
        <v/>
      </c>
      <c r="J279" s="89" t="str">
        <f>IF(ISBLANK($H279),"",IF(VLOOKUP($H279,'FX Rates'!$A$1:$BQ$152,_xlfn.XMATCH($B279,'FX Rates'!$A$1:$BQ$1,-1,1),0)=0,"No Exch Rate Data",IF($G279=0,"",$G279/VLOOKUP($H279,'FX Rates'!$A$1:$BQ$152,_xlfn.XMATCH($B279,'FX Rates'!$A$1:$BQ$1,-1,1),0))))</f>
        <v/>
      </c>
    </row>
    <row r="280" spans="2:10" x14ac:dyDescent="0.25">
      <c r="B280" s="87"/>
      <c r="I280" s="111" t="str">
        <f t="shared" si="6"/>
        <v/>
      </c>
      <c r="J280" s="89" t="str">
        <f>IF(ISBLANK($H280),"",IF(VLOOKUP($H280,'FX Rates'!$A$1:$BQ$152,_xlfn.XMATCH($B280,'FX Rates'!$A$1:$BQ$1,-1,1),0)=0,"No Exch Rate Data",IF($G280=0,"",$G280/VLOOKUP($H280,'FX Rates'!$A$1:$BQ$152,_xlfn.XMATCH($B280,'FX Rates'!$A$1:$BQ$1,-1,1),0))))</f>
        <v/>
      </c>
    </row>
    <row r="281" spans="2:10" x14ac:dyDescent="0.25">
      <c r="B281" s="87"/>
      <c r="I281" s="111" t="str">
        <f t="shared" si="6"/>
        <v/>
      </c>
      <c r="J281" s="89" t="str">
        <f>IF(ISBLANK($H281),"",IF(VLOOKUP($H281,'FX Rates'!$A$1:$BQ$152,_xlfn.XMATCH($B281,'FX Rates'!$A$1:$BQ$1,-1,1),0)=0,"No Exch Rate Data",IF($G281=0,"",$G281/VLOOKUP($H281,'FX Rates'!$A$1:$BQ$152,_xlfn.XMATCH($B281,'FX Rates'!$A$1:$BQ$1,-1,1),0))))</f>
        <v/>
      </c>
    </row>
    <row r="282" spans="2:10" x14ac:dyDescent="0.25">
      <c r="B282" s="87"/>
      <c r="I282" s="111" t="str">
        <f t="shared" si="6"/>
        <v/>
      </c>
      <c r="J282" s="89" t="str">
        <f>IF(ISBLANK($H282),"",IF(VLOOKUP($H282,'FX Rates'!$A$1:$BQ$152,_xlfn.XMATCH($B282,'FX Rates'!$A$1:$BQ$1,-1,1),0)=0,"No Exch Rate Data",IF($G282=0,"",$G282/VLOOKUP($H282,'FX Rates'!$A$1:$BQ$152,_xlfn.XMATCH($B282,'FX Rates'!$A$1:$BQ$1,-1,1),0))))</f>
        <v/>
      </c>
    </row>
    <row r="283" spans="2:10" x14ac:dyDescent="0.25">
      <c r="B283" s="87"/>
      <c r="I283" s="111" t="str">
        <f t="shared" si="6"/>
        <v/>
      </c>
      <c r="J283" s="89" t="str">
        <f>IF(ISBLANK($H283),"",IF(VLOOKUP($H283,'FX Rates'!$A$1:$BQ$152,_xlfn.XMATCH($B283,'FX Rates'!$A$1:$BQ$1,-1,1),0)=0,"No Exch Rate Data",IF($G283=0,"",$G283/VLOOKUP($H283,'FX Rates'!$A$1:$BQ$152,_xlfn.XMATCH($B283,'FX Rates'!$A$1:$BQ$1,-1,1),0))))</f>
        <v/>
      </c>
    </row>
    <row r="284" spans="2:10" x14ac:dyDescent="0.25">
      <c r="B284" s="87"/>
      <c r="I284" s="111" t="str">
        <f t="shared" si="6"/>
        <v/>
      </c>
      <c r="J284" s="89" t="str">
        <f>IF(ISBLANK($H284),"",IF(VLOOKUP($H284,'FX Rates'!$A$1:$BQ$152,_xlfn.XMATCH($B284,'FX Rates'!$A$1:$BQ$1,-1,1),0)=0,"No Exch Rate Data",IF($G284=0,"",$G284/VLOOKUP($H284,'FX Rates'!$A$1:$BQ$152,_xlfn.XMATCH($B284,'FX Rates'!$A$1:$BQ$1,-1,1),0))))</f>
        <v/>
      </c>
    </row>
    <row r="285" spans="2:10" x14ac:dyDescent="0.25">
      <c r="B285" s="87"/>
      <c r="I285" s="111" t="str">
        <f t="shared" si="6"/>
        <v/>
      </c>
      <c r="J285" s="89" t="str">
        <f>IF(ISBLANK($H285),"",IF(VLOOKUP($H285,'FX Rates'!$A$1:$BQ$152,_xlfn.XMATCH($B285,'FX Rates'!$A$1:$BQ$1,-1,1),0)=0,"No Exch Rate Data",IF($G285=0,"",$G285/VLOOKUP($H285,'FX Rates'!$A$1:$BQ$152,_xlfn.XMATCH($B285,'FX Rates'!$A$1:$BQ$1,-1,1),0))))</f>
        <v/>
      </c>
    </row>
    <row r="286" spans="2:10" x14ac:dyDescent="0.25">
      <c r="B286" s="87"/>
      <c r="I286" s="111" t="str">
        <f t="shared" si="6"/>
        <v/>
      </c>
      <c r="J286" s="89" t="str">
        <f>IF(ISBLANK($H286),"",IF(VLOOKUP($H286,'FX Rates'!$A$1:$BQ$152,_xlfn.XMATCH($B286,'FX Rates'!$A$1:$BQ$1,-1,1),0)=0,"No Exch Rate Data",IF($G286=0,"",$G286/VLOOKUP($H286,'FX Rates'!$A$1:$BQ$152,_xlfn.XMATCH($B286,'FX Rates'!$A$1:$BQ$1,-1,1),0))))</f>
        <v/>
      </c>
    </row>
    <row r="287" spans="2:10" x14ac:dyDescent="0.25">
      <c r="B287" s="87"/>
      <c r="I287" s="111" t="str">
        <f t="shared" si="6"/>
        <v/>
      </c>
      <c r="J287" s="89" t="str">
        <f>IF(ISBLANK($H287),"",IF(VLOOKUP($H287,'FX Rates'!$A$1:$BQ$152,_xlfn.XMATCH($B287,'FX Rates'!$A$1:$BQ$1,-1,1),0)=0,"No Exch Rate Data",IF($G287=0,"",$G287/VLOOKUP($H287,'FX Rates'!$A$1:$BQ$152,_xlfn.XMATCH($B287,'FX Rates'!$A$1:$BQ$1,-1,1),0))))</f>
        <v/>
      </c>
    </row>
    <row r="288" spans="2:10" x14ac:dyDescent="0.25">
      <c r="B288" s="87"/>
      <c r="I288" s="111" t="str">
        <f t="shared" si="6"/>
        <v/>
      </c>
      <c r="J288" s="89" t="str">
        <f>IF(ISBLANK($H288),"",IF(VLOOKUP($H288,'FX Rates'!$A$1:$BQ$152,_xlfn.XMATCH($B288,'FX Rates'!$A$1:$BQ$1,-1,1),0)=0,"No Exch Rate Data",IF($G288=0,"",$G288/VLOOKUP($H288,'FX Rates'!$A$1:$BQ$152,_xlfn.XMATCH($B288,'FX Rates'!$A$1:$BQ$1,-1,1),0))))</f>
        <v/>
      </c>
    </row>
    <row r="289" spans="2:10" x14ac:dyDescent="0.25">
      <c r="B289" s="87"/>
      <c r="I289" s="111" t="str">
        <f t="shared" si="6"/>
        <v/>
      </c>
      <c r="J289" s="89" t="str">
        <f>IF(ISBLANK($H289),"",IF(VLOOKUP($H289,'FX Rates'!$A$1:$BQ$152,_xlfn.XMATCH($B289,'FX Rates'!$A$1:$BQ$1,-1,1),0)=0,"No Exch Rate Data",IF($G289=0,"",$G289/VLOOKUP($H289,'FX Rates'!$A$1:$BQ$152,_xlfn.XMATCH($B289,'FX Rates'!$A$1:$BQ$1,-1,1),0))))</f>
        <v/>
      </c>
    </row>
    <row r="290" spans="2:10" x14ac:dyDescent="0.25">
      <c r="B290" s="87"/>
      <c r="I290" s="111" t="str">
        <f t="shared" si="6"/>
        <v/>
      </c>
      <c r="J290" s="89" t="str">
        <f>IF(ISBLANK($H290),"",IF(VLOOKUP($H290,'FX Rates'!$A$1:$BQ$152,_xlfn.XMATCH($B290,'FX Rates'!$A$1:$BQ$1,-1,1),0)=0,"No Exch Rate Data",IF($G290=0,"",$G290/VLOOKUP($H290,'FX Rates'!$A$1:$BQ$152,_xlfn.XMATCH($B290,'FX Rates'!$A$1:$BQ$1,-1,1),0))))</f>
        <v/>
      </c>
    </row>
    <row r="291" spans="2:10" x14ac:dyDescent="0.25">
      <c r="B291" s="87"/>
      <c r="I291" s="111" t="str">
        <f t="shared" si="6"/>
        <v/>
      </c>
      <c r="J291" s="89" t="str">
        <f>IF(ISBLANK($H291),"",IF(VLOOKUP($H291,'FX Rates'!$A$1:$BQ$152,_xlfn.XMATCH($B291,'FX Rates'!$A$1:$BQ$1,-1,1),0)=0,"No Exch Rate Data",IF($G291=0,"",$G291/VLOOKUP($H291,'FX Rates'!$A$1:$BQ$152,_xlfn.XMATCH($B291,'FX Rates'!$A$1:$BQ$1,-1,1),0))))</f>
        <v/>
      </c>
    </row>
    <row r="292" spans="2:10" x14ac:dyDescent="0.25">
      <c r="B292" s="87"/>
      <c r="I292" s="111" t="str">
        <f t="shared" si="6"/>
        <v/>
      </c>
      <c r="J292" s="89" t="str">
        <f>IF(ISBLANK($H292),"",IF(VLOOKUP($H292,'FX Rates'!$A$1:$BQ$152,_xlfn.XMATCH($B292,'FX Rates'!$A$1:$BQ$1,-1,1),0)=0,"No Exch Rate Data",IF($G292=0,"",$G292/VLOOKUP($H292,'FX Rates'!$A$1:$BQ$152,_xlfn.XMATCH($B292,'FX Rates'!$A$1:$BQ$1,-1,1),0))))</f>
        <v/>
      </c>
    </row>
    <row r="293" spans="2:10" x14ac:dyDescent="0.25">
      <c r="B293" s="87"/>
      <c r="I293" s="111" t="str">
        <f t="shared" si="6"/>
        <v/>
      </c>
      <c r="J293" s="89" t="str">
        <f>IF(ISBLANK($H293),"",IF(VLOOKUP($H293,'FX Rates'!$A$1:$BQ$152,_xlfn.XMATCH($B293,'FX Rates'!$A$1:$BQ$1,-1,1),0)=0,"No Exch Rate Data",IF($G293=0,"",$G293/VLOOKUP($H293,'FX Rates'!$A$1:$BQ$152,_xlfn.XMATCH($B293,'FX Rates'!$A$1:$BQ$1,-1,1),0))))</f>
        <v/>
      </c>
    </row>
    <row r="294" spans="2:10" x14ac:dyDescent="0.25">
      <c r="B294" s="87"/>
      <c r="I294" s="111" t="str">
        <f t="shared" si="6"/>
        <v/>
      </c>
      <c r="J294" s="89" t="str">
        <f>IF(ISBLANK($H294),"",IF(VLOOKUP($H294,'FX Rates'!$A$1:$BQ$152,_xlfn.XMATCH($B294,'FX Rates'!$A$1:$BQ$1,-1,1),0)=0,"No Exch Rate Data",IF($G294=0,"",$G294/VLOOKUP($H294,'FX Rates'!$A$1:$BQ$152,_xlfn.XMATCH($B294,'FX Rates'!$A$1:$BQ$1,-1,1),0))))</f>
        <v/>
      </c>
    </row>
    <row r="295" spans="2:10" x14ac:dyDescent="0.25">
      <c r="B295" s="87"/>
      <c r="I295" s="111" t="str">
        <f t="shared" si="6"/>
        <v/>
      </c>
      <c r="J295" s="89" t="str">
        <f>IF(ISBLANK($H295),"",IF(VLOOKUP($H295,'FX Rates'!$A$1:$BQ$152,_xlfn.XMATCH($B295,'FX Rates'!$A$1:$BQ$1,-1,1),0)=0,"No Exch Rate Data",IF($G295=0,"",$G295/VLOOKUP($H295,'FX Rates'!$A$1:$BQ$152,_xlfn.XMATCH($B295,'FX Rates'!$A$1:$BQ$1,-1,1),0))))</f>
        <v/>
      </c>
    </row>
    <row r="296" spans="2:10" x14ac:dyDescent="0.25">
      <c r="B296" s="87"/>
      <c r="I296" s="111" t="str">
        <f t="shared" si="6"/>
        <v/>
      </c>
      <c r="J296" s="89" t="str">
        <f>IF(ISBLANK($H296),"",IF(VLOOKUP($H296,'FX Rates'!$A$1:$BQ$152,_xlfn.XMATCH($B296,'FX Rates'!$A$1:$BQ$1,-1,1),0)=0,"No Exch Rate Data",IF($G296=0,"",$G296/VLOOKUP($H296,'FX Rates'!$A$1:$BQ$152,_xlfn.XMATCH($B296,'FX Rates'!$A$1:$BQ$1,-1,1),0))))</f>
        <v/>
      </c>
    </row>
    <row r="297" spans="2:10" x14ac:dyDescent="0.25">
      <c r="B297" s="87"/>
      <c r="I297" s="111" t="str">
        <f t="shared" si="6"/>
        <v/>
      </c>
      <c r="J297" s="89" t="str">
        <f>IF(ISBLANK($H297),"",IF(VLOOKUP($H297,'FX Rates'!$A$1:$BQ$152,_xlfn.XMATCH($B297,'FX Rates'!$A$1:$BQ$1,-1,1),0)=0,"No Exch Rate Data",IF($G297=0,"",$G297/VLOOKUP($H297,'FX Rates'!$A$1:$BQ$152,_xlfn.XMATCH($B297,'FX Rates'!$A$1:$BQ$1,-1,1),0))))</f>
        <v/>
      </c>
    </row>
    <row r="298" spans="2:10" x14ac:dyDescent="0.25">
      <c r="B298" s="87"/>
      <c r="I298" s="111" t="str">
        <f t="shared" ref="I298:I361" si="7">IF(ISBLANK($D298),"",_xlfn.XLOOKUP($D298,Item_List,Time_Span,"",0))</f>
        <v/>
      </c>
      <c r="J298" s="89" t="str">
        <f>IF(ISBLANK($H298),"",IF(VLOOKUP($H298,'FX Rates'!$A$1:$BQ$152,_xlfn.XMATCH($B298,'FX Rates'!$A$1:$BQ$1,-1,1),0)=0,"No Exch Rate Data",IF($G298=0,"",$G298/VLOOKUP($H298,'FX Rates'!$A$1:$BQ$152,_xlfn.XMATCH($B298,'FX Rates'!$A$1:$BQ$1,-1,1),0))))</f>
        <v/>
      </c>
    </row>
    <row r="299" spans="2:10" x14ac:dyDescent="0.25">
      <c r="B299" s="87"/>
      <c r="I299" s="111" t="str">
        <f t="shared" si="7"/>
        <v/>
      </c>
      <c r="J299" s="89" t="str">
        <f>IF(ISBLANK($H299),"",IF(VLOOKUP($H299,'FX Rates'!$A$1:$BQ$152,_xlfn.XMATCH($B299,'FX Rates'!$A$1:$BQ$1,-1,1),0)=0,"No Exch Rate Data",IF($G299=0,"",$G299/VLOOKUP($H299,'FX Rates'!$A$1:$BQ$152,_xlfn.XMATCH($B299,'FX Rates'!$A$1:$BQ$1,-1,1),0))))</f>
        <v/>
      </c>
    </row>
    <row r="300" spans="2:10" x14ac:dyDescent="0.25">
      <c r="B300" s="87"/>
      <c r="I300" s="111" t="str">
        <f t="shared" si="7"/>
        <v/>
      </c>
      <c r="J300" s="89" t="str">
        <f>IF(ISBLANK($H300),"",IF(VLOOKUP($H300,'FX Rates'!$A$1:$BQ$152,_xlfn.XMATCH($B300,'FX Rates'!$A$1:$BQ$1,-1,1),0)=0,"No Exch Rate Data",IF($G300=0,"",$G300/VLOOKUP($H300,'FX Rates'!$A$1:$BQ$152,_xlfn.XMATCH($B300,'FX Rates'!$A$1:$BQ$1,-1,1),0))))</f>
        <v/>
      </c>
    </row>
    <row r="301" spans="2:10" x14ac:dyDescent="0.25">
      <c r="B301" s="87"/>
      <c r="I301" s="111" t="str">
        <f t="shared" si="7"/>
        <v/>
      </c>
      <c r="J301" s="89" t="str">
        <f>IF(ISBLANK($H301),"",IF(VLOOKUP($H301,'FX Rates'!$A$1:$BQ$152,_xlfn.XMATCH($B301,'FX Rates'!$A$1:$BQ$1,-1,1),0)=0,"No Exch Rate Data",IF($G301=0,"",$G301/VLOOKUP($H301,'FX Rates'!$A$1:$BQ$152,_xlfn.XMATCH($B301,'FX Rates'!$A$1:$BQ$1,-1,1),0))))</f>
        <v/>
      </c>
    </row>
    <row r="302" spans="2:10" x14ac:dyDescent="0.25">
      <c r="B302" s="87"/>
      <c r="I302" s="111" t="str">
        <f t="shared" si="7"/>
        <v/>
      </c>
      <c r="J302" s="89" t="str">
        <f>IF(ISBLANK($H302),"",IF(VLOOKUP($H302,'FX Rates'!$A$1:$BQ$152,_xlfn.XMATCH($B302,'FX Rates'!$A$1:$BQ$1,-1,1),0)=0,"No Exch Rate Data",IF($G302=0,"",$G302/VLOOKUP($H302,'FX Rates'!$A$1:$BQ$152,_xlfn.XMATCH($B302,'FX Rates'!$A$1:$BQ$1,-1,1),0))))</f>
        <v/>
      </c>
    </row>
    <row r="303" spans="2:10" x14ac:dyDescent="0.25">
      <c r="B303" s="87"/>
      <c r="I303" s="111" t="str">
        <f t="shared" si="7"/>
        <v/>
      </c>
      <c r="J303" s="89" t="str">
        <f>IF(ISBLANK($H303),"",IF(VLOOKUP($H303,'FX Rates'!$A$1:$BQ$152,_xlfn.XMATCH($B303,'FX Rates'!$A$1:$BQ$1,-1,1),0)=0,"No Exch Rate Data",IF($G303=0,"",$G303/VLOOKUP($H303,'FX Rates'!$A$1:$BQ$152,_xlfn.XMATCH($B303,'FX Rates'!$A$1:$BQ$1,-1,1),0))))</f>
        <v/>
      </c>
    </row>
    <row r="304" spans="2:10" x14ac:dyDescent="0.25">
      <c r="B304" s="87"/>
      <c r="I304" s="111" t="str">
        <f t="shared" si="7"/>
        <v/>
      </c>
      <c r="J304" s="89" t="str">
        <f>IF(ISBLANK($H304),"",IF(VLOOKUP($H304,'FX Rates'!$A$1:$BQ$152,_xlfn.XMATCH($B304,'FX Rates'!$A$1:$BQ$1,-1,1),0)=0,"No Exch Rate Data",IF($G304=0,"",$G304/VLOOKUP($H304,'FX Rates'!$A$1:$BQ$152,_xlfn.XMATCH($B304,'FX Rates'!$A$1:$BQ$1,-1,1),0))))</f>
        <v/>
      </c>
    </row>
    <row r="305" spans="2:10" x14ac:dyDescent="0.25">
      <c r="B305" s="87"/>
      <c r="I305" s="111" t="str">
        <f t="shared" si="7"/>
        <v/>
      </c>
      <c r="J305" s="89" t="str">
        <f>IF(ISBLANK($H305),"",IF(VLOOKUP($H305,'FX Rates'!$A$1:$BQ$152,_xlfn.XMATCH($B305,'FX Rates'!$A$1:$BQ$1,-1,1),0)=0,"No Exch Rate Data",IF($G305=0,"",$G305/VLOOKUP($H305,'FX Rates'!$A$1:$BQ$152,_xlfn.XMATCH($B305,'FX Rates'!$A$1:$BQ$1,-1,1),0))))</f>
        <v/>
      </c>
    </row>
    <row r="306" spans="2:10" x14ac:dyDescent="0.25">
      <c r="B306" s="87"/>
      <c r="I306" s="111" t="str">
        <f t="shared" si="7"/>
        <v/>
      </c>
      <c r="J306" s="89" t="str">
        <f>IF(ISBLANK($H306),"",IF(VLOOKUP($H306,'FX Rates'!$A$1:$BQ$152,_xlfn.XMATCH($B306,'FX Rates'!$A$1:$BQ$1,-1,1),0)=0,"No Exch Rate Data",IF($G306=0,"",$G306/VLOOKUP($H306,'FX Rates'!$A$1:$BQ$152,_xlfn.XMATCH($B306,'FX Rates'!$A$1:$BQ$1,-1,1),0))))</f>
        <v/>
      </c>
    </row>
    <row r="307" spans="2:10" x14ac:dyDescent="0.25">
      <c r="B307" s="87"/>
      <c r="I307" s="111" t="str">
        <f t="shared" si="7"/>
        <v/>
      </c>
      <c r="J307" s="89" t="str">
        <f>IF(ISBLANK($H307),"",IF(VLOOKUP($H307,'FX Rates'!$A$1:$BQ$152,_xlfn.XMATCH($B307,'FX Rates'!$A$1:$BQ$1,-1,1),0)=0,"No Exch Rate Data",IF($G307=0,"",$G307/VLOOKUP($H307,'FX Rates'!$A$1:$BQ$152,_xlfn.XMATCH($B307,'FX Rates'!$A$1:$BQ$1,-1,1),0))))</f>
        <v/>
      </c>
    </row>
    <row r="308" spans="2:10" x14ac:dyDescent="0.25">
      <c r="B308" s="87"/>
      <c r="I308" s="111" t="str">
        <f t="shared" si="7"/>
        <v/>
      </c>
      <c r="J308" s="89" t="str">
        <f>IF(ISBLANK($H308),"",IF(VLOOKUP($H308,'FX Rates'!$A$1:$BQ$152,_xlfn.XMATCH($B308,'FX Rates'!$A$1:$BQ$1,-1,1),0)=0,"No Exch Rate Data",IF($G308=0,"",$G308/VLOOKUP($H308,'FX Rates'!$A$1:$BQ$152,_xlfn.XMATCH($B308,'FX Rates'!$A$1:$BQ$1,-1,1),0))))</f>
        <v/>
      </c>
    </row>
    <row r="309" spans="2:10" x14ac:dyDescent="0.25">
      <c r="B309" s="87"/>
      <c r="I309" s="111" t="str">
        <f t="shared" si="7"/>
        <v/>
      </c>
      <c r="J309" s="89" t="str">
        <f>IF(ISBLANK($H309),"",IF(VLOOKUP($H309,'FX Rates'!$A$1:$BQ$152,_xlfn.XMATCH($B309,'FX Rates'!$A$1:$BQ$1,-1,1),0)=0,"No Exch Rate Data",IF($G309=0,"",$G309/VLOOKUP($H309,'FX Rates'!$A$1:$BQ$152,_xlfn.XMATCH($B309,'FX Rates'!$A$1:$BQ$1,-1,1),0))))</f>
        <v/>
      </c>
    </row>
    <row r="310" spans="2:10" x14ac:dyDescent="0.25">
      <c r="B310" s="87"/>
      <c r="I310" s="111" t="str">
        <f t="shared" si="7"/>
        <v/>
      </c>
      <c r="J310" s="89" t="str">
        <f>IF(ISBLANK($H310),"",IF(VLOOKUP($H310,'FX Rates'!$A$1:$BQ$152,_xlfn.XMATCH($B310,'FX Rates'!$A$1:$BQ$1,-1,1),0)=0,"No Exch Rate Data",IF($G310=0,"",$G310/VLOOKUP($H310,'FX Rates'!$A$1:$BQ$152,_xlfn.XMATCH($B310,'FX Rates'!$A$1:$BQ$1,-1,1),0))))</f>
        <v/>
      </c>
    </row>
    <row r="311" spans="2:10" x14ac:dyDescent="0.25">
      <c r="B311" s="87"/>
      <c r="I311" s="111" t="str">
        <f t="shared" si="7"/>
        <v/>
      </c>
      <c r="J311" s="89" t="str">
        <f>IF(ISBLANK($H311),"",IF(VLOOKUP($H311,'FX Rates'!$A$1:$BQ$152,_xlfn.XMATCH($B311,'FX Rates'!$A$1:$BQ$1,-1,1),0)=0,"No Exch Rate Data",IF($G311=0,"",$G311/VLOOKUP($H311,'FX Rates'!$A$1:$BQ$152,_xlfn.XMATCH($B311,'FX Rates'!$A$1:$BQ$1,-1,1),0))))</f>
        <v/>
      </c>
    </row>
    <row r="312" spans="2:10" x14ac:dyDescent="0.25">
      <c r="B312" s="87"/>
      <c r="I312" s="111" t="str">
        <f t="shared" si="7"/>
        <v/>
      </c>
      <c r="J312" s="89" t="str">
        <f>IF(ISBLANK($H312),"",IF(VLOOKUP($H312,'FX Rates'!$A$1:$BQ$152,_xlfn.XMATCH($B312,'FX Rates'!$A$1:$BQ$1,-1,1),0)=0,"No Exch Rate Data",IF($G312=0,"",$G312/VLOOKUP($H312,'FX Rates'!$A$1:$BQ$152,_xlfn.XMATCH($B312,'FX Rates'!$A$1:$BQ$1,-1,1),0))))</f>
        <v/>
      </c>
    </row>
    <row r="313" spans="2:10" x14ac:dyDescent="0.25">
      <c r="B313" s="87"/>
      <c r="I313" s="111" t="str">
        <f t="shared" si="7"/>
        <v/>
      </c>
      <c r="J313" s="89" t="str">
        <f>IF(ISBLANK($H313),"",IF(VLOOKUP($H313,'FX Rates'!$A$1:$BQ$152,_xlfn.XMATCH($B313,'FX Rates'!$A$1:$BQ$1,-1,1),0)=0,"No Exch Rate Data",IF($G313=0,"",$G313/VLOOKUP($H313,'FX Rates'!$A$1:$BQ$152,_xlfn.XMATCH($B313,'FX Rates'!$A$1:$BQ$1,-1,1),0))))</f>
        <v/>
      </c>
    </row>
    <row r="314" spans="2:10" x14ac:dyDescent="0.25">
      <c r="B314" s="87"/>
      <c r="I314" s="111" t="str">
        <f t="shared" si="7"/>
        <v/>
      </c>
      <c r="J314" s="89" t="str">
        <f>IF(ISBLANK($H314),"",IF(VLOOKUP($H314,'FX Rates'!$A$1:$BQ$152,_xlfn.XMATCH($B314,'FX Rates'!$A$1:$BQ$1,-1,1),0)=0,"No Exch Rate Data",IF($G314=0,"",$G314/VLOOKUP($H314,'FX Rates'!$A$1:$BQ$152,_xlfn.XMATCH($B314,'FX Rates'!$A$1:$BQ$1,-1,1),0))))</f>
        <v/>
      </c>
    </row>
    <row r="315" spans="2:10" x14ac:dyDescent="0.25">
      <c r="B315" s="87"/>
      <c r="I315" s="111" t="str">
        <f t="shared" si="7"/>
        <v/>
      </c>
      <c r="J315" s="89" t="str">
        <f>IF(ISBLANK($H315),"",IF(VLOOKUP($H315,'FX Rates'!$A$1:$BQ$152,_xlfn.XMATCH($B315,'FX Rates'!$A$1:$BQ$1,-1,1),0)=0,"No Exch Rate Data",IF($G315=0,"",$G315/VLOOKUP($H315,'FX Rates'!$A$1:$BQ$152,_xlfn.XMATCH($B315,'FX Rates'!$A$1:$BQ$1,-1,1),0))))</f>
        <v/>
      </c>
    </row>
    <row r="316" spans="2:10" x14ac:dyDescent="0.25">
      <c r="B316" s="87"/>
      <c r="I316" s="111" t="str">
        <f t="shared" si="7"/>
        <v/>
      </c>
      <c r="J316" s="89" t="str">
        <f>IF(ISBLANK($H316),"",IF(VLOOKUP($H316,'FX Rates'!$A$1:$BQ$152,_xlfn.XMATCH($B316,'FX Rates'!$A$1:$BQ$1,-1,1),0)=0,"No Exch Rate Data",IF($G316=0,"",$G316/VLOOKUP($H316,'FX Rates'!$A$1:$BQ$152,_xlfn.XMATCH($B316,'FX Rates'!$A$1:$BQ$1,-1,1),0))))</f>
        <v/>
      </c>
    </row>
    <row r="317" spans="2:10" x14ac:dyDescent="0.25">
      <c r="B317" s="87"/>
      <c r="I317" s="111" t="str">
        <f t="shared" si="7"/>
        <v/>
      </c>
      <c r="J317" s="89" t="str">
        <f>IF(ISBLANK($H317),"",IF(VLOOKUP($H317,'FX Rates'!$A$1:$BQ$152,_xlfn.XMATCH($B317,'FX Rates'!$A$1:$BQ$1,-1,1),0)=0,"No Exch Rate Data",IF($G317=0,"",$G317/VLOOKUP($H317,'FX Rates'!$A$1:$BQ$152,_xlfn.XMATCH($B317,'FX Rates'!$A$1:$BQ$1,-1,1),0))))</f>
        <v/>
      </c>
    </row>
    <row r="318" spans="2:10" x14ac:dyDescent="0.25">
      <c r="B318" s="87"/>
      <c r="I318" s="111" t="str">
        <f t="shared" si="7"/>
        <v/>
      </c>
      <c r="J318" s="89" t="str">
        <f>IF(ISBLANK($H318),"",IF(VLOOKUP($H318,'FX Rates'!$A$1:$BQ$152,_xlfn.XMATCH($B318,'FX Rates'!$A$1:$BQ$1,-1,1),0)=0,"No Exch Rate Data",IF($G318=0,"",$G318/VLOOKUP($H318,'FX Rates'!$A$1:$BQ$152,_xlfn.XMATCH($B318,'FX Rates'!$A$1:$BQ$1,-1,1),0))))</f>
        <v/>
      </c>
    </row>
    <row r="319" spans="2:10" x14ac:dyDescent="0.25">
      <c r="B319" s="87"/>
      <c r="I319" s="111" t="str">
        <f t="shared" si="7"/>
        <v/>
      </c>
      <c r="J319" s="89" t="str">
        <f>IF(ISBLANK($H319),"",IF(VLOOKUP($H319,'FX Rates'!$A$1:$BQ$152,_xlfn.XMATCH($B319,'FX Rates'!$A$1:$BQ$1,-1,1),0)=0,"No Exch Rate Data",IF($G319=0,"",$G319/VLOOKUP($H319,'FX Rates'!$A$1:$BQ$152,_xlfn.XMATCH($B319,'FX Rates'!$A$1:$BQ$1,-1,1),0))))</f>
        <v/>
      </c>
    </row>
    <row r="320" spans="2:10" x14ac:dyDescent="0.25">
      <c r="B320" s="87"/>
      <c r="I320" s="111" t="str">
        <f t="shared" si="7"/>
        <v/>
      </c>
      <c r="J320" s="89" t="str">
        <f>IF(ISBLANK($H320),"",IF(VLOOKUP($H320,'FX Rates'!$A$1:$BQ$152,_xlfn.XMATCH($B320,'FX Rates'!$A$1:$BQ$1,-1,1),0)=0,"No Exch Rate Data",IF($G320=0,"",$G320/VLOOKUP($H320,'FX Rates'!$A$1:$BQ$152,_xlfn.XMATCH($B320,'FX Rates'!$A$1:$BQ$1,-1,1),0))))</f>
        <v/>
      </c>
    </row>
    <row r="321" spans="2:10" x14ac:dyDescent="0.25">
      <c r="B321" s="87"/>
      <c r="I321" s="111" t="str">
        <f t="shared" si="7"/>
        <v/>
      </c>
      <c r="J321" s="89" t="str">
        <f>IF(ISBLANK($H321),"",IF(VLOOKUP($H321,'FX Rates'!$A$1:$BQ$152,_xlfn.XMATCH($B321,'FX Rates'!$A$1:$BQ$1,-1,1),0)=0,"No Exch Rate Data",IF($G321=0,"",$G321/VLOOKUP($H321,'FX Rates'!$A$1:$BQ$152,_xlfn.XMATCH($B321,'FX Rates'!$A$1:$BQ$1,-1,1),0))))</f>
        <v/>
      </c>
    </row>
    <row r="322" spans="2:10" x14ac:dyDescent="0.25">
      <c r="B322" s="87"/>
      <c r="I322" s="111" t="str">
        <f t="shared" si="7"/>
        <v/>
      </c>
      <c r="J322" s="89" t="str">
        <f>IF(ISBLANK($H322),"",IF(VLOOKUP($H322,'FX Rates'!$A$1:$BQ$152,_xlfn.XMATCH($B322,'FX Rates'!$A$1:$BQ$1,-1,1),0)=0,"No Exch Rate Data",IF($G322=0,"",$G322/VLOOKUP($H322,'FX Rates'!$A$1:$BQ$152,_xlfn.XMATCH($B322,'FX Rates'!$A$1:$BQ$1,-1,1),0))))</f>
        <v/>
      </c>
    </row>
    <row r="323" spans="2:10" x14ac:dyDescent="0.25">
      <c r="B323" s="87"/>
      <c r="I323" s="111" t="str">
        <f t="shared" si="7"/>
        <v/>
      </c>
      <c r="J323" s="89" t="str">
        <f>IF(ISBLANK($H323),"",IF(VLOOKUP($H323,'FX Rates'!$A$1:$BQ$152,_xlfn.XMATCH($B323,'FX Rates'!$A$1:$BQ$1,-1,1),0)=0,"No Exch Rate Data",IF($G323=0,"",$G323/VLOOKUP($H323,'FX Rates'!$A$1:$BQ$152,_xlfn.XMATCH($B323,'FX Rates'!$A$1:$BQ$1,-1,1),0))))</f>
        <v/>
      </c>
    </row>
    <row r="324" spans="2:10" x14ac:dyDescent="0.25">
      <c r="B324" s="87"/>
      <c r="I324" s="111" t="str">
        <f t="shared" si="7"/>
        <v/>
      </c>
      <c r="J324" s="89" t="str">
        <f>IF(ISBLANK($H324),"",IF(VLOOKUP($H324,'FX Rates'!$A$1:$BQ$152,_xlfn.XMATCH($B324,'FX Rates'!$A$1:$BQ$1,-1,1),0)=0,"No Exch Rate Data",IF($G324=0,"",$G324/VLOOKUP($H324,'FX Rates'!$A$1:$BQ$152,_xlfn.XMATCH($B324,'FX Rates'!$A$1:$BQ$1,-1,1),0))))</f>
        <v/>
      </c>
    </row>
    <row r="325" spans="2:10" x14ac:dyDescent="0.25">
      <c r="B325" s="87"/>
      <c r="I325" s="111" t="str">
        <f t="shared" si="7"/>
        <v/>
      </c>
      <c r="J325" s="89" t="str">
        <f>IF(ISBLANK($H325),"",IF(VLOOKUP($H325,'FX Rates'!$A$1:$BQ$152,_xlfn.XMATCH($B325,'FX Rates'!$A$1:$BQ$1,-1,1),0)=0,"No Exch Rate Data",IF($G325=0,"",$G325/VLOOKUP($H325,'FX Rates'!$A$1:$BQ$152,_xlfn.XMATCH($B325,'FX Rates'!$A$1:$BQ$1,-1,1),0))))</f>
        <v/>
      </c>
    </row>
    <row r="326" spans="2:10" x14ac:dyDescent="0.25">
      <c r="B326" s="87"/>
      <c r="I326" s="111" t="str">
        <f t="shared" si="7"/>
        <v/>
      </c>
      <c r="J326" s="89" t="str">
        <f>IF(ISBLANK($H326),"",IF(VLOOKUP($H326,'FX Rates'!$A$1:$BQ$152,_xlfn.XMATCH($B326,'FX Rates'!$A$1:$BQ$1,-1,1),0)=0,"No Exch Rate Data",IF($G326=0,"",$G326/VLOOKUP($H326,'FX Rates'!$A$1:$BQ$152,_xlfn.XMATCH($B326,'FX Rates'!$A$1:$BQ$1,-1,1),0))))</f>
        <v/>
      </c>
    </row>
    <row r="327" spans="2:10" x14ac:dyDescent="0.25">
      <c r="B327" s="87"/>
      <c r="I327" s="111" t="str">
        <f t="shared" si="7"/>
        <v/>
      </c>
      <c r="J327" s="89" t="str">
        <f>IF(ISBLANK($H327),"",IF(VLOOKUP($H327,'FX Rates'!$A$1:$BQ$152,_xlfn.XMATCH($B327,'FX Rates'!$A$1:$BQ$1,-1,1),0)=0,"No Exch Rate Data",IF($G327=0,"",$G327/VLOOKUP($H327,'FX Rates'!$A$1:$BQ$152,_xlfn.XMATCH($B327,'FX Rates'!$A$1:$BQ$1,-1,1),0))))</f>
        <v/>
      </c>
    </row>
    <row r="328" spans="2:10" x14ac:dyDescent="0.25">
      <c r="B328" s="87"/>
      <c r="I328" s="111" t="str">
        <f t="shared" si="7"/>
        <v/>
      </c>
      <c r="J328" s="89" t="str">
        <f>IF(ISBLANK($H328),"",IF(VLOOKUP($H328,'FX Rates'!$A$1:$BQ$152,_xlfn.XMATCH($B328,'FX Rates'!$A$1:$BQ$1,-1,1),0)=0,"No Exch Rate Data",IF($G328=0,"",$G328/VLOOKUP($H328,'FX Rates'!$A$1:$BQ$152,_xlfn.XMATCH($B328,'FX Rates'!$A$1:$BQ$1,-1,1),0))))</f>
        <v/>
      </c>
    </row>
    <row r="329" spans="2:10" x14ac:dyDescent="0.25">
      <c r="B329" s="87"/>
      <c r="I329" s="111" t="str">
        <f t="shared" si="7"/>
        <v/>
      </c>
      <c r="J329" s="89" t="str">
        <f>IF(ISBLANK($H329),"",IF(VLOOKUP($H329,'FX Rates'!$A$1:$BQ$152,_xlfn.XMATCH($B329,'FX Rates'!$A$1:$BQ$1,-1,1),0)=0,"No Exch Rate Data",IF($G329=0,"",$G329/VLOOKUP($H329,'FX Rates'!$A$1:$BQ$152,_xlfn.XMATCH($B329,'FX Rates'!$A$1:$BQ$1,-1,1),0))))</f>
        <v/>
      </c>
    </row>
    <row r="330" spans="2:10" x14ac:dyDescent="0.25">
      <c r="B330" s="87"/>
      <c r="I330" s="111" t="str">
        <f t="shared" si="7"/>
        <v/>
      </c>
      <c r="J330" s="89" t="str">
        <f>IF(ISBLANK($H330),"",IF(VLOOKUP($H330,'FX Rates'!$A$1:$BQ$152,_xlfn.XMATCH($B330,'FX Rates'!$A$1:$BQ$1,-1,1),0)=0,"No Exch Rate Data",IF($G330=0,"",$G330/VLOOKUP($H330,'FX Rates'!$A$1:$BQ$152,_xlfn.XMATCH($B330,'FX Rates'!$A$1:$BQ$1,-1,1),0))))</f>
        <v/>
      </c>
    </row>
    <row r="331" spans="2:10" x14ac:dyDescent="0.25">
      <c r="B331" s="87"/>
      <c r="I331" s="111" t="str">
        <f t="shared" si="7"/>
        <v/>
      </c>
      <c r="J331" s="89" t="str">
        <f>IF(ISBLANK($H331),"",IF(VLOOKUP($H331,'FX Rates'!$A$1:$BQ$152,_xlfn.XMATCH($B331,'FX Rates'!$A$1:$BQ$1,-1,1),0)=0,"No Exch Rate Data",IF($G331=0,"",$G331/VLOOKUP($H331,'FX Rates'!$A$1:$BQ$152,_xlfn.XMATCH($B331,'FX Rates'!$A$1:$BQ$1,-1,1),0))))</f>
        <v/>
      </c>
    </row>
    <row r="332" spans="2:10" x14ac:dyDescent="0.25">
      <c r="B332" s="87"/>
      <c r="I332" s="111" t="str">
        <f t="shared" si="7"/>
        <v/>
      </c>
      <c r="J332" s="89" t="str">
        <f>IF(ISBLANK($H332),"",IF(VLOOKUP($H332,'FX Rates'!$A$1:$BQ$152,_xlfn.XMATCH($B332,'FX Rates'!$A$1:$BQ$1,-1,1),0)=0,"No Exch Rate Data",IF($G332=0,"",$G332/VLOOKUP($H332,'FX Rates'!$A$1:$BQ$152,_xlfn.XMATCH($B332,'FX Rates'!$A$1:$BQ$1,-1,1),0))))</f>
        <v/>
      </c>
    </row>
    <row r="333" spans="2:10" x14ac:dyDescent="0.25">
      <c r="B333" s="87"/>
      <c r="I333" s="111" t="str">
        <f t="shared" si="7"/>
        <v/>
      </c>
      <c r="J333" s="89" t="str">
        <f>IF(ISBLANK($H333),"",IF(VLOOKUP($H333,'FX Rates'!$A$1:$BQ$152,_xlfn.XMATCH($B333,'FX Rates'!$A$1:$BQ$1,-1,1),0)=0,"No Exch Rate Data",IF($G333=0,"",$G333/VLOOKUP($H333,'FX Rates'!$A$1:$BQ$152,_xlfn.XMATCH($B333,'FX Rates'!$A$1:$BQ$1,-1,1),0))))</f>
        <v/>
      </c>
    </row>
    <row r="334" spans="2:10" x14ac:dyDescent="0.25">
      <c r="B334" s="87"/>
      <c r="I334" s="111" t="str">
        <f t="shared" si="7"/>
        <v/>
      </c>
      <c r="J334" s="89" t="str">
        <f>IF(ISBLANK($H334),"",IF(VLOOKUP($H334,'FX Rates'!$A$1:$BQ$152,_xlfn.XMATCH($B334,'FX Rates'!$A$1:$BQ$1,-1,1),0)=0,"No Exch Rate Data",IF($G334=0,"",$G334/VLOOKUP($H334,'FX Rates'!$A$1:$BQ$152,_xlfn.XMATCH($B334,'FX Rates'!$A$1:$BQ$1,-1,1),0))))</f>
        <v/>
      </c>
    </row>
    <row r="335" spans="2:10" x14ac:dyDescent="0.25">
      <c r="B335" s="87"/>
      <c r="I335" s="111" t="str">
        <f t="shared" si="7"/>
        <v/>
      </c>
      <c r="J335" s="89" t="str">
        <f>IF(ISBLANK($H335),"",IF(VLOOKUP($H335,'FX Rates'!$A$1:$BQ$152,_xlfn.XMATCH($B335,'FX Rates'!$A$1:$BQ$1,-1,1),0)=0,"No Exch Rate Data",IF($G335=0,"",$G335/VLOOKUP($H335,'FX Rates'!$A$1:$BQ$152,_xlfn.XMATCH($B335,'FX Rates'!$A$1:$BQ$1,-1,1),0))))</f>
        <v/>
      </c>
    </row>
    <row r="336" spans="2:10" x14ac:dyDescent="0.25">
      <c r="B336" s="87"/>
      <c r="I336" s="111" t="str">
        <f t="shared" si="7"/>
        <v/>
      </c>
      <c r="J336" s="89" t="str">
        <f>IF(ISBLANK($H336),"",IF(VLOOKUP($H336,'FX Rates'!$A$1:$BQ$152,_xlfn.XMATCH($B336,'FX Rates'!$A$1:$BQ$1,-1,1),0)=0,"No Exch Rate Data",IF($G336=0,"",$G336/VLOOKUP($H336,'FX Rates'!$A$1:$BQ$152,_xlfn.XMATCH($B336,'FX Rates'!$A$1:$BQ$1,-1,1),0))))</f>
        <v/>
      </c>
    </row>
    <row r="337" spans="2:10" x14ac:dyDescent="0.25">
      <c r="B337" s="87"/>
      <c r="I337" s="111" t="str">
        <f t="shared" si="7"/>
        <v/>
      </c>
      <c r="J337" s="89" t="str">
        <f>IF(ISBLANK($H337),"",IF(VLOOKUP($H337,'FX Rates'!$A$1:$BQ$152,_xlfn.XMATCH($B337,'FX Rates'!$A$1:$BQ$1,-1,1),0)=0,"No Exch Rate Data",IF($G337=0,"",$G337/VLOOKUP($H337,'FX Rates'!$A$1:$BQ$152,_xlfn.XMATCH($B337,'FX Rates'!$A$1:$BQ$1,-1,1),0))))</f>
        <v/>
      </c>
    </row>
    <row r="338" spans="2:10" x14ac:dyDescent="0.25">
      <c r="B338" s="87"/>
      <c r="I338" s="111" t="str">
        <f t="shared" si="7"/>
        <v/>
      </c>
      <c r="J338" s="89" t="str">
        <f>IF(ISBLANK($H338),"",IF(VLOOKUP($H338,'FX Rates'!$A$1:$BQ$152,_xlfn.XMATCH($B338,'FX Rates'!$A$1:$BQ$1,-1,1),0)=0,"No Exch Rate Data",IF($G338=0,"",$G338/VLOOKUP($H338,'FX Rates'!$A$1:$BQ$152,_xlfn.XMATCH($B338,'FX Rates'!$A$1:$BQ$1,-1,1),0))))</f>
        <v/>
      </c>
    </row>
    <row r="339" spans="2:10" x14ac:dyDescent="0.25">
      <c r="B339" s="87"/>
      <c r="I339" s="111" t="str">
        <f t="shared" si="7"/>
        <v/>
      </c>
      <c r="J339" s="89" t="str">
        <f>IF(ISBLANK($H339),"",IF(VLOOKUP($H339,'FX Rates'!$A$1:$BQ$152,_xlfn.XMATCH($B339,'FX Rates'!$A$1:$BQ$1,-1,1),0)=0,"No Exch Rate Data",IF($G339=0,"",$G339/VLOOKUP($H339,'FX Rates'!$A$1:$BQ$152,_xlfn.XMATCH($B339,'FX Rates'!$A$1:$BQ$1,-1,1),0))))</f>
        <v/>
      </c>
    </row>
    <row r="340" spans="2:10" x14ac:dyDescent="0.25">
      <c r="B340" s="87"/>
      <c r="I340" s="111" t="str">
        <f t="shared" si="7"/>
        <v/>
      </c>
      <c r="J340" s="89" t="str">
        <f>IF(ISBLANK($H340),"",IF(VLOOKUP($H340,'FX Rates'!$A$1:$BQ$152,_xlfn.XMATCH($B340,'FX Rates'!$A$1:$BQ$1,-1,1),0)=0,"No Exch Rate Data",IF($G340=0,"",$G340/VLOOKUP($H340,'FX Rates'!$A$1:$BQ$152,_xlfn.XMATCH($B340,'FX Rates'!$A$1:$BQ$1,-1,1),0))))</f>
        <v/>
      </c>
    </row>
    <row r="341" spans="2:10" x14ac:dyDescent="0.25">
      <c r="B341" s="87"/>
      <c r="I341" s="111" t="str">
        <f t="shared" si="7"/>
        <v/>
      </c>
      <c r="J341" s="89" t="str">
        <f>IF(ISBLANK($H341),"",IF(VLOOKUP($H341,'FX Rates'!$A$1:$BQ$152,_xlfn.XMATCH($B341,'FX Rates'!$A$1:$BQ$1,-1,1),0)=0,"No Exch Rate Data",IF($G341=0,"",$G341/VLOOKUP($H341,'FX Rates'!$A$1:$BQ$152,_xlfn.XMATCH($B341,'FX Rates'!$A$1:$BQ$1,-1,1),0))))</f>
        <v/>
      </c>
    </row>
    <row r="342" spans="2:10" x14ac:dyDescent="0.25">
      <c r="B342" s="87"/>
      <c r="I342" s="111" t="str">
        <f t="shared" si="7"/>
        <v/>
      </c>
      <c r="J342" s="89" t="str">
        <f>IF(ISBLANK($H342),"",IF(VLOOKUP($H342,'FX Rates'!$A$1:$BQ$152,_xlfn.XMATCH($B342,'FX Rates'!$A$1:$BQ$1,-1,1),0)=0,"No Exch Rate Data",IF($G342=0,"",$G342/VLOOKUP($H342,'FX Rates'!$A$1:$BQ$152,_xlfn.XMATCH($B342,'FX Rates'!$A$1:$BQ$1,-1,1),0))))</f>
        <v/>
      </c>
    </row>
    <row r="343" spans="2:10" x14ac:dyDescent="0.25">
      <c r="B343" s="87"/>
      <c r="I343" s="111" t="str">
        <f t="shared" si="7"/>
        <v/>
      </c>
      <c r="J343" s="89" t="str">
        <f>IF(ISBLANK($H343),"",IF(VLOOKUP($H343,'FX Rates'!$A$1:$BQ$152,_xlfn.XMATCH($B343,'FX Rates'!$A$1:$BQ$1,-1,1),0)=0,"No Exch Rate Data",IF($G343=0,"",$G343/VLOOKUP($H343,'FX Rates'!$A$1:$BQ$152,_xlfn.XMATCH($B343,'FX Rates'!$A$1:$BQ$1,-1,1),0))))</f>
        <v/>
      </c>
    </row>
    <row r="344" spans="2:10" x14ac:dyDescent="0.25">
      <c r="B344" s="87"/>
      <c r="I344" s="111" t="str">
        <f t="shared" si="7"/>
        <v/>
      </c>
      <c r="J344" s="89" t="str">
        <f>IF(ISBLANK($H344),"",IF(VLOOKUP($H344,'FX Rates'!$A$1:$BQ$152,_xlfn.XMATCH($B344,'FX Rates'!$A$1:$BQ$1,-1,1),0)=0,"No Exch Rate Data",IF($G344=0,"",$G344/VLOOKUP($H344,'FX Rates'!$A$1:$BQ$152,_xlfn.XMATCH($B344,'FX Rates'!$A$1:$BQ$1,-1,1),0))))</f>
        <v/>
      </c>
    </row>
    <row r="345" spans="2:10" x14ac:dyDescent="0.25">
      <c r="B345" s="87"/>
      <c r="I345" s="111" t="str">
        <f t="shared" si="7"/>
        <v/>
      </c>
      <c r="J345" s="89" t="str">
        <f>IF(ISBLANK($H345),"",IF(VLOOKUP($H345,'FX Rates'!$A$1:$BQ$152,_xlfn.XMATCH($B345,'FX Rates'!$A$1:$BQ$1,-1,1),0)=0,"No Exch Rate Data",IF($G345=0,"",$G345/VLOOKUP($H345,'FX Rates'!$A$1:$BQ$152,_xlfn.XMATCH($B345,'FX Rates'!$A$1:$BQ$1,-1,1),0))))</f>
        <v/>
      </c>
    </row>
    <row r="346" spans="2:10" x14ac:dyDescent="0.25">
      <c r="B346" s="87"/>
      <c r="I346" s="111" t="str">
        <f t="shared" si="7"/>
        <v/>
      </c>
      <c r="J346" s="89" t="str">
        <f>IF(ISBLANK($H346),"",IF(VLOOKUP($H346,'FX Rates'!$A$1:$BQ$152,_xlfn.XMATCH($B346,'FX Rates'!$A$1:$BQ$1,-1,1),0)=0,"No Exch Rate Data",IF($G346=0,"",$G346/VLOOKUP($H346,'FX Rates'!$A$1:$BQ$152,_xlfn.XMATCH($B346,'FX Rates'!$A$1:$BQ$1,-1,1),0))))</f>
        <v/>
      </c>
    </row>
    <row r="347" spans="2:10" x14ac:dyDescent="0.25">
      <c r="B347" s="87"/>
      <c r="I347" s="111" t="str">
        <f t="shared" si="7"/>
        <v/>
      </c>
      <c r="J347" s="89" t="str">
        <f>IF(ISBLANK($H347),"",IF(VLOOKUP($H347,'FX Rates'!$A$1:$BQ$152,_xlfn.XMATCH($B347,'FX Rates'!$A$1:$BQ$1,-1,1),0)=0,"No Exch Rate Data",IF($G347=0,"",$G347/VLOOKUP($H347,'FX Rates'!$A$1:$BQ$152,_xlfn.XMATCH($B347,'FX Rates'!$A$1:$BQ$1,-1,1),0))))</f>
        <v/>
      </c>
    </row>
    <row r="348" spans="2:10" x14ac:dyDescent="0.25">
      <c r="B348" s="87"/>
      <c r="I348" s="111" t="str">
        <f t="shared" si="7"/>
        <v/>
      </c>
      <c r="J348" s="89" t="str">
        <f>IF(ISBLANK($H348),"",IF(VLOOKUP($H348,'FX Rates'!$A$1:$BQ$152,_xlfn.XMATCH($B348,'FX Rates'!$A$1:$BQ$1,-1,1),0)=0,"No Exch Rate Data",IF($G348=0,"",$G348/VLOOKUP($H348,'FX Rates'!$A$1:$BQ$152,_xlfn.XMATCH($B348,'FX Rates'!$A$1:$BQ$1,-1,1),0))))</f>
        <v/>
      </c>
    </row>
    <row r="349" spans="2:10" x14ac:dyDescent="0.25">
      <c r="B349" s="87"/>
      <c r="I349" s="111" t="str">
        <f t="shared" si="7"/>
        <v/>
      </c>
      <c r="J349" s="89" t="str">
        <f>IF(ISBLANK($H349),"",IF(VLOOKUP($H349,'FX Rates'!$A$1:$BQ$152,_xlfn.XMATCH($B349,'FX Rates'!$A$1:$BQ$1,-1,1),0)=0,"No Exch Rate Data",IF($G349=0,"",$G349/VLOOKUP($H349,'FX Rates'!$A$1:$BQ$152,_xlfn.XMATCH($B349,'FX Rates'!$A$1:$BQ$1,-1,1),0))))</f>
        <v/>
      </c>
    </row>
    <row r="350" spans="2:10" x14ac:dyDescent="0.25">
      <c r="B350" s="87"/>
      <c r="I350" s="111" t="str">
        <f t="shared" si="7"/>
        <v/>
      </c>
      <c r="J350" s="89" t="str">
        <f>IF(ISBLANK($H350),"",IF(VLOOKUP($H350,'FX Rates'!$A$1:$BQ$152,_xlfn.XMATCH($B350,'FX Rates'!$A$1:$BQ$1,-1,1),0)=0,"No Exch Rate Data",IF($G350=0,"",$G350/VLOOKUP($H350,'FX Rates'!$A$1:$BQ$152,_xlfn.XMATCH($B350,'FX Rates'!$A$1:$BQ$1,-1,1),0))))</f>
        <v/>
      </c>
    </row>
    <row r="351" spans="2:10" x14ac:dyDescent="0.25">
      <c r="B351" s="87"/>
      <c r="I351" s="111" t="str">
        <f t="shared" si="7"/>
        <v/>
      </c>
      <c r="J351" s="89" t="str">
        <f>IF(ISBLANK($H351),"",IF(VLOOKUP($H351,'FX Rates'!$A$1:$BQ$152,_xlfn.XMATCH($B351,'FX Rates'!$A$1:$BQ$1,-1,1),0)=0,"No Exch Rate Data",IF($G351=0,"",$G351/VLOOKUP($H351,'FX Rates'!$A$1:$BQ$152,_xlfn.XMATCH($B351,'FX Rates'!$A$1:$BQ$1,-1,1),0))))</f>
        <v/>
      </c>
    </row>
    <row r="352" spans="2:10" x14ac:dyDescent="0.25">
      <c r="B352" s="87"/>
      <c r="I352" s="111" t="str">
        <f t="shared" si="7"/>
        <v/>
      </c>
      <c r="J352" s="89" t="str">
        <f>IF(ISBLANK($H352),"",IF(VLOOKUP($H352,'FX Rates'!$A$1:$BQ$152,_xlfn.XMATCH($B352,'FX Rates'!$A$1:$BQ$1,-1,1),0)=0,"No Exch Rate Data",IF($G352=0,"",$G352/VLOOKUP($H352,'FX Rates'!$A$1:$BQ$152,_xlfn.XMATCH($B352,'FX Rates'!$A$1:$BQ$1,-1,1),0))))</f>
        <v/>
      </c>
    </row>
    <row r="353" spans="2:10" x14ac:dyDescent="0.25">
      <c r="B353" s="87"/>
      <c r="I353" s="111" t="str">
        <f t="shared" si="7"/>
        <v/>
      </c>
      <c r="J353" s="89" t="str">
        <f>IF(ISBLANK($H353),"",IF(VLOOKUP($H353,'FX Rates'!$A$1:$BQ$152,_xlfn.XMATCH($B353,'FX Rates'!$A$1:$BQ$1,-1,1),0)=0,"No Exch Rate Data",IF($G353=0,"",$G353/VLOOKUP($H353,'FX Rates'!$A$1:$BQ$152,_xlfn.XMATCH($B353,'FX Rates'!$A$1:$BQ$1,-1,1),0))))</f>
        <v/>
      </c>
    </row>
    <row r="354" spans="2:10" x14ac:dyDescent="0.25">
      <c r="B354" s="87"/>
      <c r="I354" s="111" t="str">
        <f t="shared" si="7"/>
        <v/>
      </c>
      <c r="J354" s="89" t="str">
        <f>IF(ISBLANK($H354),"",IF(VLOOKUP($H354,'FX Rates'!$A$1:$BQ$152,_xlfn.XMATCH($B354,'FX Rates'!$A$1:$BQ$1,-1,1),0)=0,"No Exch Rate Data",IF($G354=0,"",$G354/VLOOKUP($H354,'FX Rates'!$A$1:$BQ$152,_xlfn.XMATCH($B354,'FX Rates'!$A$1:$BQ$1,-1,1),0))))</f>
        <v/>
      </c>
    </row>
    <row r="355" spans="2:10" x14ac:dyDescent="0.25">
      <c r="B355" s="87"/>
      <c r="I355" s="111" t="str">
        <f t="shared" si="7"/>
        <v/>
      </c>
      <c r="J355" s="89" t="str">
        <f>IF(ISBLANK($H355),"",IF(VLOOKUP($H355,'FX Rates'!$A$1:$BQ$152,_xlfn.XMATCH($B355,'FX Rates'!$A$1:$BQ$1,-1,1),0)=0,"No Exch Rate Data",IF($G355=0,"",$G355/VLOOKUP($H355,'FX Rates'!$A$1:$BQ$152,_xlfn.XMATCH($B355,'FX Rates'!$A$1:$BQ$1,-1,1),0))))</f>
        <v/>
      </c>
    </row>
    <row r="356" spans="2:10" x14ac:dyDescent="0.25">
      <c r="B356" s="87"/>
      <c r="I356" s="111" t="str">
        <f t="shared" si="7"/>
        <v/>
      </c>
      <c r="J356" s="89" t="str">
        <f>IF(ISBLANK($H356),"",IF(VLOOKUP($H356,'FX Rates'!$A$1:$BQ$152,_xlfn.XMATCH($B356,'FX Rates'!$A$1:$BQ$1,-1,1),0)=0,"No Exch Rate Data",IF($G356=0,"",$G356/VLOOKUP($H356,'FX Rates'!$A$1:$BQ$152,_xlfn.XMATCH($B356,'FX Rates'!$A$1:$BQ$1,-1,1),0))))</f>
        <v/>
      </c>
    </row>
    <row r="357" spans="2:10" x14ac:dyDescent="0.25">
      <c r="B357" s="87"/>
      <c r="I357" s="111" t="str">
        <f t="shared" si="7"/>
        <v/>
      </c>
      <c r="J357" s="89" t="str">
        <f>IF(ISBLANK($H357),"",IF(VLOOKUP($H357,'FX Rates'!$A$1:$BQ$152,_xlfn.XMATCH($B357,'FX Rates'!$A$1:$BQ$1,-1,1),0)=0,"No Exch Rate Data",IF($G357=0,"",$G357/VLOOKUP($H357,'FX Rates'!$A$1:$BQ$152,_xlfn.XMATCH($B357,'FX Rates'!$A$1:$BQ$1,-1,1),0))))</f>
        <v/>
      </c>
    </row>
    <row r="358" spans="2:10" x14ac:dyDescent="0.25">
      <c r="B358" s="87"/>
      <c r="I358" s="111" t="str">
        <f t="shared" si="7"/>
        <v/>
      </c>
      <c r="J358" s="89" t="str">
        <f>IF(ISBLANK($H358),"",IF(VLOOKUP($H358,'FX Rates'!$A$1:$BQ$152,_xlfn.XMATCH($B358,'FX Rates'!$A$1:$BQ$1,-1,1),0)=0,"No Exch Rate Data",IF($G358=0,"",$G358/VLOOKUP($H358,'FX Rates'!$A$1:$BQ$152,_xlfn.XMATCH($B358,'FX Rates'!$A$1:$BQ$1,-1,1),0))))</f>
        <v/>
      </c>
    </row>
    <row r="359" spans="2:10" x14ac:dyDescent="0.25">
      <c r="B359" s="87"/>
      <c r="I359" s="111" t="str">
        <f t="shared" si="7"/>
        <v/>
      </c>
      <c r="J359" s="89" t="str">
        <f>IF(ISBLANK($H359),"",IF(VLOOKUP($H359,'FX Rates'!$A$1:$BQ$152,_xlfn.XMATCH($B359,'FX Rates'!$A$1:$BQ$1,-1,1),0)=0,"No Exch Rate Data",IF($G359=0,"",$G359/VLOOKUP($H359,'FX Rates'!$A$1:$BQ$152,_xlfn.XMATCH($B359,'FX Rates'!$A$1:$BQ$1,-1,1),0))))</f>
        <v/>
      </c>
    </row>
    <row r="360" spans="2:10" x14ac:dyDescent="0.25">
      <c r="B360" s="87"/>
      <c r="I360" s="111" t="str">
        <f t="shared" si="7"/>
        <v/>
      </c>
      <c r="J360" s="89" t="str">
        <f>IF(ISBLANK($H360),"",IF(VLOOKUP($H360,'FX Rates'!$A$1:$BQ$152,_xlfn.XMATCH($B360,'FX Rates'!$A$1:$BQ$1,-1,1),0)=0,"No Exch Rate Data",IF($G360=0,"",$G360/VLOOKUP($H360,'FX Rates'!$A$1:$BQ$152,_xlfn.XMATCH($B360,'FX Rates'!$A$1:$BQ$1,-1,1),0))))</f>
        <v/>
      </c>
    </row>
    <row r="361" spans="2:10" x14ac:dyDescent="0.25">
      <c r="B361" s="87"/>
      <c r="I361" s="111" t="str">
        <f t="shared" si="7"/>
        <v/>
      </c>
      <c r="J361" s="89" t="str">
        <f>IF(ISBLANK($H361),"",IF(VLOOKUP($H361,'FX Rates'!$A$1:$BQ$152,_xlfn.XMATCH($B361,'FX Rates'!$A$1:$BQ$1,-1,1),0)=0,"No Exch Rate Data",IF($G361=0,"",$G361/VLOOKUP($H361,'FX Rates'!$A$1:$BQ$152,_xlfn.XMATCH($B361,'FX Rates'!$A$1:$BQ$1,-1,1),0))))</f>
        <v/>
      </c>
    </row>
    <row r="362" spans="2:10" x14ac:dyDescent="0.25">
      <c r="B362" s="87"/>
      <c r="I362" s="111" t="str">
        <f t="shared" ref="I362:I425" si="8">IF(ISBLANK($D362),"",_xlfn.XLOOKUP($D362,Item_List,Time_Span,"",0))</f>
        <v/>
      </c>
      <c r="J362" s="89" t="str">
        <f>IF(ISBLANK($H362),"",IF(VLOOKUP($H362,'FX Rates'!$A$1:$BQ$152,_xlfn.XMATCH($B362,'FX Rates'!$A$1:$BQ$1,-1,1),0)=0,"No Exch Rate Data",IF($G362=0,"",$G362/VLOOKUP($H362,'FX Rates'!$A$1:$BQ$152,_xlfn.XMATCH($B362,'FX Rates'!$A$1:$BQ$1,-1,1),0))))</f>
        <v/>
      </c>
    </row>
    <row r="363" spans="2:10" x14ac:dyDescent="0.25">
      <c r="B363" s="87"/>
      <c r="I363" s="111" t="str">
        <f t="shared" si="8"/>
        <v/>
      </c>
      <c r="J363" s="89" t="str">
        <f>IF(ISBLANK($H363),"",IF(VLOOKUP($H363,'FX Rates'!$A$1:$BQ$152,_xlfn.XMATCH($B363,'FX Rates'!$A$1:$BQ$1,-1,1),0)=0,"No Exch Rate Data",IF($G363=0,"",$G363/VLOOKUP($H363,'FX Rates'!$A$1:$BQ$152,_xlfn.XMATCH($B363,'FX Rates'!$A$1:$BQ$1,-1,1),0))))</f>
        <v/>
      </c>
    </row>
    <row r="364" spans="2:10" x14ac:dyDescent="0.25">
      <c r="B364" s="87"/>
      <c r="I364" s="111" t="str">
        <f t="shared" si="8"/>
        <v/>
      </c>
      <c r="J364" s="89" t="str">
        <f>IF(ISBLANK($H364),"",IF(VLOOKUP($H364,'FX Rates'!$A$1:$BQ$152,_xlfn.XMATCH($B364,'FX Rates'!$A$1:$BQ$1,-1,1),0)=0,"No Exch Rate Data",IF($G364=0,"",$G364/VLOOKUP($H364,'FX Rates'!$A$1:$BQ$152,_xlfn.XMATCH($B364,'FX Rates'!$A$1:$BQ$1,-1,1),0))))</f>
        <v/>
      </c>
    </row>
    <row r="365" spans="2:10" x14ac:dyDescent="0.25">
      <c r="B365" s="87"/>
      <c r="I365" s="111" t="str">
        <f t="shared" si="8"/>
        <v/>
      </c>
      <c r="J365" s="89" t="str">
        <f>IF(ISBLANK($H365),"",IF(VLOOKUP($H365,'FX Rates'!$A$1:$BQ$152,_xlfn.XMATCH($B365,'FX Rates'!$A$1:$BQ$1,-1,1),0)=0,"No Exch Rate Data",IF($G365=0,"",$G365/VLOOKUP($H365,'FX Rates'!$A$1:$BQ$152,_xlfn.XMATCH($B365,'FX Rates'!$A$1:$BQ$1,-1,1),0))))</f>
        <v/>
      </c>
    </row>
    <row r="366" spans="2:10" x14ac:dyDescent="0.25">
      <c r="B366" s="87"/>
      <c r="I366" s="111" t="str">
        <f t="shared" si="8"/>
        <v/>
      </c>
      <c r="J366" s="89" t="str">
        <f>IF(ISBLANK($H366),"",IF(VLOOKUP($H366,'FX Rates'!$A$1:$BQ$152,_xlfn.XMATCH($B366,'FX Rates'!$A$1:$BQ$1,-1,1),0)=0,"No Exch Rate Data",IF($G366=0,"",$G366/VLOOKUP($H366,'FX Rates'!$A$1:$BQ$152,_xlfn.XMATCH($B366,'FX Rates'!$A$1:$BQ$1,-1,1),0))))</f>
        <v/>
      </c>
    </row>
    <row r="367" spans="2:10" x14ac:dyDescent="0.25">
      <c r="B367" s="87"/>
      <c r="I367" s="111" t="str">
        <f t="shared" si="8"/>
        <v/>
      </c>
      <c r="J367" s="89" t="str">
        <f>IF(ISBLANK($H367),"",IF(VLOOKUP($H367,'FX Rates'!$A$1:$BQ$152,_xlfn.XMATCH($B367,'FX Rates'!$A$1:$BQ$1,-1,1),0)=0,"No Exch Rate Data",IF($G367=0,"",$G367/VLOOKUP($H367,'FX Rates'!$A$1:$BQ$152,_xlfn.XMATCH($B367,'FX Rates'!$A$1:$BQ$1,-1,1),0))))</f>
        <v/>
      </c>
    </row>
    <row r="368" spans="2:10" x14ac:dyDescent="0.25">
      <c r="B368" s="87"/>
      <c r="I368" s="111" t="str">
        <f t="shared" si="8"/>
        <v/>
      </c>
      <c r="J368" s="89" t="str">
        <f>IF(ISBLANK($H368),"",IF(VLOOKUP($H368,'FX Rates'!$A$1:$BQ$152,_xlfn.XMATCH($B368,'FX Rates'!$A$1:$BQ$1,-1,1),0)=0,"No Exch Rate Data",IF($G368=0,"",$G368/VLOOKUP($H368,'FX Rates'!$A$1:$BQ$152,_xlfn.XMATCH($B368,'FX Rates'!$A$1:$BQ$1,-1,1),0))))</f>
        <v/>
      </c>
    </row>
    <row r="369" spans="2:10" x14ac:dyDescent="0.25">
      <c r="B369" s="87"/>
      <c r="I369" s="111" t="str">
        <f t="shared" si="8"/>
        <v/>
      </c>
      <c r="J369" s="89" t="str">
        <f>IF(ISBLANK($H369),"",IF(VLOOKUP($H369,'FX Rates'!$A$1:$BQ$152,_xlfn.XMATCH($B369,'FX Rates'!$A$1:$BQ$1,-1,1),0)=0,"No Exch Rate Data",IF($G369=0,"",$G369/VLOOKUP($H369,'FX Rates'!$A$1:$BQ$152,_xlfn.XMATCH($B369,'FX Rates'!$A$1:$BQ$1,-1,1),0))))</f>
        <v/>
      </c>
    </row>
    <row r="370" spans="2:10" x14ac:dyDescent="0.25">
      <c r="B370" s="87"/>
      <c r="I370" s="111" t="str">
        <f t="shared" si="8"/>
        <v/>
      </c>
      <c r="J370" s="89" t="str">
        <f>IF(ISBLANK($H370),"",IF(VLOOKUP($H370,'FX Rates'!$A$1:$BQ$152,_xlfn.XMATCH($B370,'FX Rates'!$A$1:$BQ$1,-1,1),0)=0,"No Exch Rate Data",IF($G370=0,"",$G370/VLOOKUP($H370,'FX Rates'!$A$1:$BQ$152,_xlfn.XMATCH($B370,'FX Rates'!$A$1:$BQ$1,-1,1),0))))</f>
        <v/>
      </c>
    </row>
    <row r="371" spans="2:10" x14ac:dyDescent="0.25">
      <c r="B371" s="87"/>
      <c r="I371" s="111" t="str">
        <f t="shared" si="8"/>
        <v/>
      </c>
      <c r="J371" s="89" t="str">
        <f>IF(ISBLANK($H371),"",IF(VLOOKUP($H371,'FX Rates'!$A$1:$BQ$152,_xlfn.XMATCH($B371,'FX Rates'!$A$1:$BQ$1,-1,1),0)=0,"No Exch Rate Data",IF($G371=0,"",$G371/VLOOKUP($H371,'FX Rates'!$A$1:$BQ$152,_xlfn.XMATCH($B371,'FX Rates'!$A$1:$BQ$1,-1,1),0))))</f>
        <v/>
      </c>
    </row>
    <row r="372" spans="2:10" x14ac:dyDescent="0.25">
      <c r="B372" s="87"/>
      <c r="I372" s="111" t="str">
        <f t="shared" si="8"/>
        <v/>
      </c>
      <c r="J372" s="89" t="str">
        <f>IF(ISBLANK($H372),"",IF(VLOOKUP($H372,'FX Rates'!$A$1:$BQ$152,_xlfn.XMATCH($B372,'FX Rates'!$A$1:$BQ$1,-1,1),0)=0,"No Exch Rate Data",IF($G372=0,"",$G372/VLOOKUP($H372,'FX Rates'!$A$1:$BQ$152,_xlfn.XMATCH($B372,'FX Rates'!$A$1:$BQ$1,-1,1),0))))</f>
        <v/>
      </c>
    </row>
    <row r="373" spans="2:10" x14ac:dyDescent="0.25">
      <c r="B373" s="87"/>
      <c r="I373" s="111" t="str">
        <f t="shared" si="8"/>
        <v/>
      </c>
      <c r="J373" s="89" t="str">
        <f>IF(ISBLANK($H373),"",IF(VLOOKUP($H373,'FX Rates'!$A$1:$BQ$152,_xlfn.XMATCH($B373,'FX Rates'!$A$1:$BQ$1,-1,1),0)=0,"No Exch Rate Data",IF($G373=0,"",$G373/VLOOKUP($H373,'FX Rates'!$A$1:$BQ$152,_xlfn.XMATCH($B373,'FX Rates'!$A$1:$BQ$1,-1,1),0))))</f>
        <v/>
      </c>
    </row>
    <row r="374" spans="2:10" x14ac:dyDescent="0.25">
      <c r="B374" s="87"/>
      <c r="I374" s="111" t="str">
        <f t="shared" si="8"/>
        <v/>
      </c>
      <c r="J374" s="89" t="str">
        <f>IF(ISBLANK($H374),"",IF(VLOOKUP($H374,'FX Rates'!$A$1:$BQ$152,_xlfn.XMATCH($B374,'FX Rates'!$A$1:$BQ$1,-1,1),0)=0,"No Exch Rate Data",IF($G374=0,"",$G374/VLOOKUP($H374,'FX Rates'!$A$1:$BQ$152,_xlfn.XMATCH($B374,'FX Rates'!$A$1:$BQ$1,-1,1),0))))</f>
        <v/>
      </c>
    </row>
    <row r="375" spans="2:10" x14ac:dyDescent="0.25">
      <c r="B375" s="87"/>
      <c r="I375" s="111" t="str">
        <f t="shared" si="8"/>
        <v/>
      </c>
      <c r="J375" s="89" t="str">
        <f>IF(ISBLANK($H375),"",IF(VLOOKUP($H375,'FX Rates'!$A$1:$BQ$152,_xlfn.XMATCH($B375,'FX Rates'!$A$1:$BQ$1,-1,1),0)=0,"No Exch Rate Data",IF($G375=0,"",$G375/VLOOKUP($H375,'FX Rates'!$A$1:$BQ$152,_xlfn.XMATCH($B375,'FX Rates'!$A$1:$BQ$1,-1,1),0))))</f>
        <v/>
      </c>
    </row>
    <row r="376" spans="2:10" x14ac:dyDescent="0.25">
      <c r="B376" s="87"/>
      <c r="I376" s="111" t="str">
        <f t="shared" si="8"/>
        <v/>
      </c>
      <c r="J376" s="89" t="str">
        <f>IF(ISBLANK($H376),"",IF(VLOOKUP($H376,'FX Rates'!$A$1:$BQ$152,_xlfn.XMATCH($B376,'FX Rates'!$A$1:$BQ$1,-1,1),0)=0,"No Exch Rate Data",IF($G376=0,"",$G376/VLOOKUP($H376,'FX Rates'!$A$1:$BQ$152,_xlfn.XMATCH($B376,'FX Rates'!$A$1:$BQ$1,-1,1),0))))</f>
        <v/>
      </c>
    </row>
    <row r="377" spans="2:10" x14ac:dyDescent="0.25">
      <c r="B377" s="87"/>
      <c r="I377" s="111" t="str">
        <f t="shared" si="8"/>
        <v/>
      </c>
      <c r="J377" s="89" t="str">
        <f>IF(ISBLANK($H377),"",IF(VLOOKUP($H377,'FX Rates'!$A$1:$BQ$152,_xlfn.XMATCH($B377,'FX Rates'!$A$1:$BQ$1,-1,1),0)=0,"No Exch Rate Data",IF($G377=0,"",$G377/VLOOKUP($H377,'FX Rates'!$A$1:$BQ$152,_xlfn.XMATCH($B377,'FX Rates'!$A$1:$BQ$1,-1,1),0))))</f>
        <v/>
      </c>
    </row>
    <row r="378" spans="2:10" x14ac:dyDescent="0.25">
      <c r="B378" s="87"/>
      <c r="I378" s="111" t="str">
        <f t="shared" si="8"/>
        <v/>
      </c>
      <c r="J378" s="89" t="str">
        <f>IF(ISBLANK($H378),"",IF(VLOOKUP($H378,'FX Rates'!$A$1:$BQ$152,_xlfn.XMATCH($B378,'FX Rates'!$A$1:$BQ$1,-1,1),0)=0,"No Exch Rate Data",IF($G378=0,"",$G378/VLOOKUP($H378,'FX Rates'!$A$1:$BQ$152,_xlfn.XMATCH($B378,'FX Rates'!$A$1:$BQ$1,-1,1),0))))</f>
        <v/>
      </c>
    </row>
    <row r="379" spans="2:10" x14ac:dyDescent="0.25">
      <c r="B379" s="87"/>
      <c r="I379" s="111" t="str">
        <f t="shared" si="8"/>
        <v/>
      </c>
      <c r="J379" s="89" t="str">
        <f>IF(ISBLANK($H379),"",IF(VLOOKUP($H379,'FX Rates'!$A$1:$BQ$152,_xlfn.XMATCH($B379,'FX Rates'!$A$1:$BQ$1,-1,1),0)=0,"No Exch Rate Data",IF($G379=0,"",$G379/VLOOKUP($H379,'FX Rates'!$A$1:$BQ$152,_xlfn.XMATCH($B379,'FX Rates'!$A$1:$BQ$1,-1,1),0))))</f>
        <v/>
      </c>
    </row>
    <row r="380" spans="2:10" x14ac:dyDescent="0.25">
      <c r="B380" s="87"/>
      <c r="I380" s="111" t="str">
        <f t="shared" si="8"/>
        <v/>
      </c>
      <c r="J380" s="89" t="str">
        <f>IF(ISBLANK($H380),"",IF(VLOOKUP($H380,'FX Rates'!$A$1:$BQ$152,_xlfn.XMATCH($B380,'FX Rates'!$A$1:$BQ$1,-1,1),0)=0,"No Exch Rate Data",IF($G380=0,"",$G380/VLOOKUP($H380,'FX Rates'!$A$1:$BQ$152,_xlfn.XMATCH($B380,'FX Rates'!$A$1:$BQ$1,-1,1),0))))</f>
        <v/>
      </c>
    </row>
    <row r="381" spans="2:10" x14ac:dyDescent="0.25">
      <c r="B381" s="87"/>
      <c r="I381" s="111" t="str">
        <f t="shared" si="8"/>
        <v/>
      </c>
      <c r="J381" s="89" t="str">
        <f>IF(ISBLANK($H381),"",IF(VLOOKUP($H381,'FX Rates'!$A$1:$BQ$152,_xlfn.XMATCH($B381,'FX Rates'!$A$1:$BQ$1,-1,1),0)=0,"No Exch Rate Data",IF($G381=0,"",$G381/VLOOKUP($H381,'FX Rates'!$A$1:$BQ$152,_xlfn.XMATCH($B381,'FX Rates'!$A$1:$BQ$1,-1,1),0))))</f>
        <v/>
      </c>
    </row>
    <row r="382" spans="2:10" x14ac:dyDescent="0.25">
      <c r="B382" s="87"/>
      <c r="I382" s="111" t="str">
        <f t="shared" si="8"/>
        <v/>
      </c>
      <c r="J382" s="89" t="str">
        <f>IF(ISBLANK($H382),"",IF(VLOOKUP($H382,'FX Rates'!$A$1:$BQ$152,_xlfn.XMATCH($B382,'FX Rates'!$A$1:$BQ$1,-1,1),0)=0,"No Exch Rate Data",IF($G382=0,"",$G382/VLOOKUP($H382,'FX Rates'!$A$1:$BQ$152,_xlfn.XMATCH($B382,'FX Rates'!$A$1:$BQ$1,-1,1),0))))</f>
        <v/>
      </c>
    </row>
    <row r="383" spans="2:10" x14ac:dyDescent="0.25">
      <c r="B383" s="87"/>
      <c r="I383" s="111" t="str">
        <f t="shared" si="8"/>
        <v/>
      </c>
      <c r="J383" s="89" t="str">
        <f>IF(ISBLANK($H383),"",IF(VLOOKUP($H383,'FX Rates'!$A$1:$BQ$152,_xlfn.XMATCH($B383,'FX Rates'!$A$1:$BQ$1,-1,1),0)=0,"No Exch Rate Data",IF($G383=0,"",$G383/VLOOKUP($H383,'FX Rates'!$A$1:$BQ$152,_xlfn.XMATCH($B383,'FX Rates'!$A$1:$BQ$1,-1,1),0))))</f>
        <v/>
      </c>
    </row>
    <row r="384" spans="2:10" x14ac:dyDescent="0.25">
      <c r="B384" s="87"/>
      <c r="I384" s="111" t="str">
        <f t="shared" si="8"/>
        <v/>
      </c>
      <c r="J384" s="89" t="str">
        <f>IF(ISBLANK($H384),"",IF(VLOOKUP($H384,'FX Rates'!$A$1:$BQ$152,_xlfn.XMATCH($B384,'FX Rates'!$A$1:$BQ$1,-1,1),0)=0,"No Exch Rate Data",IF($G384=0,"",$G384/VLOOKUP($H384,'FX Rates'!$A$1:$BQ$152,_xlfn.XMATCH($B384,'FX Rates'!$A$1:$BQ$1,-1,1),0))))</f>
        <v/>
      </c>
    </row>
    <row r="385" spans="2:10" x14ac:dyDescent="0.25">
      <c r="B385" s="87"/>
      <c r="I385" s="111" t="str">
        <f t="shared" si="8"/>
        <v/>
      </c>
      <c r="J385" s="89" t="str">
        <f>IF(ISBLANK($H385),"",IF(VLOOKUP($H385,'FX Rates'!$A$1:$BQ$152,_xlfn.XMATCH($B385,'FX Rates'!$A$1:$BQ$1,-1,1),0)=0,"No Exch Rate Data",IF($G385=0,"",$G385/VLOOKUP($H385,'FX Rates'!$A$1:$BQ$152,_xlfn.XMATCH($B385,'FX Rates'!$A$1:$BQ$1,-1,1),0))))</f>
        <v/>
      </c>
    </row>
    <row r="386" spans="2:10" x14ac:dyDescent="0.25">
      <c r="B386" s="87"/>
      <c r="I386" s="111" t="str">
        <f t="shared" si="8"/>
        <v/>
      </c>
      <c r="J386" s="89" t="str">
        <f>IF(ISBLANK($H386),"",IF(VLOOKUP($H386,'FX Rates'!$A$1:$BQ$152,_xlfn.XMATCH($B386,'FX Rates'!$A$1:$BQ$1,-1,1),0)=0,"No Exch Rate Data",IF($G386=0,"",$G386/VLOOKUP($H386,'FX Rates'!$A$1:$BQ$152,_xlfn.XMATCH($B386,'FX Rates'!$A$1:$BQ$1,-1,1),0))))</f>
        <v/>
      </c>
    </row>
    <row r="387" spans="2:10" x14ac:dyDescent="0.25">
      <c r="B387" s="87"/>
      <c r="I387" s="111" t="str">
        <f t="shared" si="8"/>
        <v/>
      </c>
      <c r="J387" s="89" t="str">
        <f>IF(ISBLANK($H387),"",IF(VLOOKUP($H387,'FX Rates'!$A$1:$BQ$152,_xlfn.XMATCH($B387,'FX Rates'!$A$1:$BQ$1,-1,1),0)=0,"No Exch Rate Data",IF($G387=0,"",$G387/VLOOKUP($H387,'FX Rates'!$A$1:$BQ$152,_xlfn.XMATCH($B387,'FX Rates'!$A$1:$BQ$1,-1,1),0))))</f>
        <v/>
      </c>
    </row>
    <row r="388" spans="2:10" x14ac:dyDescent="0.25">
      <c r="B388" s="87"/>
      <c r="I388" s="111" t="str">
        <f t="shared" si="8"/>
        <v/>
      </c>
      <c r="J388" s="89" t="str">
        <f>IF(ISBLANK($H388),"",IF(VLOOKUP($H388,'FX Rates'!$A$1:$BQ$152,_xlfn.XMATCH($B388,'FX Rates'!$A$1:$BQ$1,-1,1),0)=0,"No Exch Rate Data",IF($G388=0,"",$G388/VLOOKUP($H388,'FX Rates'!$A$1:$BQ$152,_xlfn.XMATCH($B388,'FX Rates'!$A$1:$BQ$1,-1,1),0))))</f>
        <v/>
      </c>
    </row>
    <row r="389" spans="2:10" x14ac:dyDescent="0.25">
      <c r="B389" s="87"/>
      <c r="I389" s="111" t="str">
        <f t="shared" si="8"/>
        <v/>
      </c>
      <c r="J389" s="89" t="str">
        <f>IF(ISBLANK($H389),"",IF(VLOOKUP($H389,'FX Rates'!$A$1:$BQ$152,_xlfn.XMATCH($B389,'FX Rates'!$A$1:$BQ$1,-1,1),0)=0,"No Exch Rate Data",IF($G389=0,"",$G389/VLOOKUP($H389,'FX Rates'!$A$1:$BQ$152,_xlfn.XMATCH($B389,'FX Rates'!$A$1:$BQ$1,-1,1),0))))</f>
        <v/>
      </c>
    </row>
    <row r="390" spans="2:10" x14ac:dyDescent="0.25">
      <c r="B390" s="87"/>
      <c r="I390" s="111" t="str">
        <f t="shared" si="8"/>
        <v/>
      </c>
      <c r="J390" s="89" t="str">
        <f>IF(ISBLANK($H390),"",IF(VLOOKUP($H390,'FX Rates'!$A$1:$BQ$152,_xlfn.XMATCH($B390,'FX Rates'!$A$1:$BQ$1,-1,1),0)=0,"No Exch Rate Data",IF($G390=0,"",$G390/VLOOKUP($H390,'FX Rates'!$A$1:$BQ$152,_xlfn.XMATCH($B390,'FX Rates'!$A$1:$BQ$1,-1,1),0))))</f>
        <v/>
      </c>
    </row>
    <row r="391" spans="2:10" x14ac:dyDescent="0.25">
      <c r="B391" s="87"/>
      <c r="I391" s="111" t="str">
        <f t="shared" si="8"/>
        <v/>
      </c>
      <c r="J391" s="89" t="str">
        <f>IF(ISBLANK($H391),"",IF(VLOOKUP($H391,'FX Rates'!$A$1:$BQ$152,_xlfn.XMATCH($B391,'FX Rates'!$A$1:$BQ$1,-1,1),0)=0,"No Exch Rate Data",IF($G391=0,"",$G391/VLOOKUP($H391,'FX Rates'!$A$1:$BQ$152,_xlfn.XMATCH($B391,'FX Rates'!$A$1:$BQ$1,-1,1),0))))</f>
        <v/>
      </c>
    </row>
    <row r="392" spans="2:10" x14ac:dyDescent="0.25">
      <c r="B392" s="87"/>
      <c r="I392" s="111" t="str">
        <f t="shared" si="8"/>
        <v/>
      </c>
      <c r="J392" s="89" t="str">
        <f>IF(ISBLANK($H392),"",IF(VLOOKUP($H392,'FX Rates'!$A$1:$BQ$152,_xlfn.XMATCH($B392,'FX Rates'!$A$1:$BQ$1,-1,1),0)=0,"No Exch Rate Data",IF($G392=0,"",$G392/VLOOKUP($H392,'FX Rates'!$A$1:$BQ$152,_xlfn.XMATCH($B392,'FX Rates'!$A$1:$BQ$1,-1,1),0))))</f>
        <v/>
      </c>
    </row>
    <row r="393" spans="2:10" x14ac:dyDescent="0.25">
      <c r="B393" s="87"/>
      <c r="I393" s="111" t="str">
        <f t="shared" si="8"/>
        <v/>
      </c>
      <c r="J393" s="89" t="str">
        <f>IF(ISBLANK($H393),"",IF(VLOOKUP($H393,'FX Rates'!$A$1:$BQ$152,_xlfn.XMATCH($B393,'FX Rates'!$A$1:$BQ$1,-1,1),0)=0,"No Exch Rate Data",IF($G393=0,"",$G393/VLOOKUP($H393,'FX Rates'!$A$1:$BQ$152,_xlfn.XMATCH($B393,'FX Rates'!$A$1:$BQ$1,-1,1),0))))</f>
        <v/>
      </c>
    </row>
    <row r="394" spans="2:10" x14ac:dyDescent="0.25">
      <c r="B394" s="87"/>
      <c r="I394" s="111" t="str">
        <f t="shared" si="8"/>
        <v/>
      </c>
      <c r="J394" s="89" t="str">
        <f>IF(ISBLANK($H394),"",IF(VLOOKUP($H394,'FX Rates'!$A$1:$BQ$152,_xlfn.XMATCH($B394,'FX Rates'!$A$1:$BQ$1,-1,1),0)=0,"No Exch Rate Data",IF($G394=0,"",$G394/VLOOKUP($H394,'FX Rates'!$A$1:$BQ$152,_xlfn.XMATCH($B394,'FX Rates'!$A$1:$BQ$1,-1,1),0))))</f>
        <v/>
      </c>
    </row>
    <row r="395" spans="2:10" x14ac:dyDescent="0.25">
      <c r="B395" s="87"/>
      <c r="I395" s="111" t="str">
        <f t="shared" si="8"/>
        <v/>
      </c>
      <c r="J395" s="89" t="str">
        <f>IF(ISBLANK($H395),"",IF(VLOOKUP($H395,'FX Rates'!$A$1:$BQ$152,_xlfn.XMATCH($B395,'FX Rates'!$A$1:$BQ$1,-1,1),0)=0,"No Exch Rate Data",IF($G395=0,"",$G395/VLOOKUP($H395,'FX Rates'!$A$1:$BQ$152,_xlfn.XMATCH($B395,'FX Rates'!$A$1:$BQ$1,-1,1),0))))</f>
        <v/>
      </c>
    </row>
    <row r="396" spans="2:10" x14ac:dyDescent="0.25">
      <c r="B396" s="87"/>
      <c r="I396" s="111" t="str">
        <f t="shared" si="8"/>
        <v/>
      </c>
      <c r="J396" s="89" t="str">
        <f>IF(ISBLANK($H396),"",IF(VLOOKUP($H396,'FX Rates'!$A$1:$BQ$152,_xlfn.XMATCH($B396,'FX Rates'!$A$1:$BQ$1,-1,1),0)=0,"No Exch Rate Data",IF($G396=0,"",$G396/VLOOKUP($H396,'FX Rates'!$A$1:$BQ$152,_xlfn.XMATCH($B396,'FX Rates'!$A$1:$BQ$1,-1,1),0))))</f>
        <v/>
      </c>
    </row>
    <row r="397" spans="2:10" x14ac:dyDescent="0.25">
      <c r="B397" s="87"/>
      <c r="I397" s="111" t="str">
        <f t="shared" si="8"/>
        <v/>
      </c>
      <c r="J397" s="89" t="str">
        <f>IF(ISBLANK($H397),"",IF(VLOOKUP($H397,'FX Rates'!$A$1:$BQ$152,_xlfn.XMATCH($B397,'FX Rates'!$A$1:$BQ$1,-1,1),0)=0,"No Exch Rate Data",IF($G397=0,"",$G397/VLOOKUP($H397,'FX Rates'!$A$1:$BQ$152,_xlfn.XMATCH($B397,'FX Rates'!$A$1:$BQ$1,-1,1),0))))</f>
        <v/>
      </c>
    </row>
    <row r="398" spans="2:10" x14ac:dyDescent="0.25">
      <c r="B398" s="87"/>
      <c r="I398" s="111" t="str">
        <f t="shared" si="8"/>
        <v/>
      </c>
      <c r="J398" s="89" t="str">
        <f>IF(ISBLANK($H398),"",IF(VLOOKUP($H398,'FX Rates'!$A$1:$BQ$152,_xlfn.XMATCH($B398,'FX Rates'!$A$1:$BQ$1,-1,1),0)=0,"No Exch Rate Data",IF($G398=0,"",$G398/VLOOKUP($H398,'FX Rates'!$A$1:$BQ$152,_xlfn.XMATCH($B398,'FX Rates'!$A$1:$BQ$1,-1,1),0))))</f>
        <v/>
      </c>
    </row>
    <row r="399" spans="2:10" x14ac:dyDescent="0.25">
      <c r="B399" s="87"/>
      <c r="I399" s="111" t="str">
        <f t="shared" si="8"/>
        <v/>
      </c>
      <c r="J399" s="89" t="str">
        <f>IF(ISBLANK($H399),"",IF(VLOOKUP($H399,'FX Rates'!$A$1:$BQ$152,_xlfn.XMATCH($B399,'FX Rates'!$A$1:$BQ$1,-1,1),0)=0,"No Exch Rate Data",IF($G399=0,"",$G399/VLOOKUP($H399,'FX Rates'!$A$1:$BQ$152,_xlfn.XMATCH($B399,'FX Rates'!$A$1:$BQ$1,-1,1),0))))</f>
        <v/>
      </c>
    </row>
    <row r="400" spans="2:10" x14ac:dyDescent="0.25">
      <c r="B400" s="87"/>
      <c r="I400" s="111" t="str">
        <f t="shared" si="8"/>
        <v/>
      </c>
      <c r="J400" s="89" t="str">
        <f>IF(ISBLANK($H400),"",IF(VLOOKUP($H400,'FX Rates'!$A$1:$BQ$152,_xlfn.XMATCH($B400,'FX Rates'!$A$1:$BQ$1,-1,1),0)=0,"No Exch Rate Data",IF($G400=0,"",$G400/VLOOKUP($H400,'FX Rates'!$A$1:$BQ$152,_xlfn.XMATCH($B400,'FX Rates'!$A$1:$BQ$1,-1,1),0))))</f>
        <v/>
      </c>
    </row>
    <row r="401" spans="2:10" x14ac:dyDescent="0.25">
      <c r="B401" s="87"/>
      <c r="I401" s="111" t="str">
        <f t="shared" si="8"/>
        <v/>
      </c>
      <c r="J401" s="89" t="str">
        <f>IF(ISBLANK($H401),"",IF(VLOOKUP($H401,'FX Rates'!$A$1:$BQ$152,_xlfn.XMATCH($B401,'FX Rates'!$A$1:$BQ$1,-1,1),0)=0,"No Exch Rate Data",IF($G401=0,"",$G401/VLOOKUP($H401,'FX Rates'!$A$1:$BQ$152,_xlfn.XMATCH($B401,'FX Rates'!$A$1:$BQ$1,-1,1),0))))</f>
        <v/>
      </c>
    </row>
    <row r="402" spans="2:10" x14ac:dyDescent="0.25">
      <c r="B402" s="87"/>
      <c r="I402" s="111" t="str">
        <f t="shared" si="8"/>
        <v/>
      </c>
      <c r="J402" s="89" t="str">
        <f>IF(ISBLANK($H402),"",IF(VLOOKUP($H402,'FX Rates'!$A$1:$BQ$152,_xlfn.XMATCH($B402,'FX Rates'!$A$1:$BQ$1,-1,1),0)=0,"No Exch Rate Data",IF($G402=0,"",$G402/VLOOKUP($H402,'FX Rates'!$A$1:$BQ$152,_xlfn.XMATCH($B402,'FX Rates'!$A$1:$BQ$1,-1,1),0))))</f>
        <v/>
      </c>
    </row>
    <row r="403" spans="2:10" x14ac:dyDescent="0.25">
      <c r="B403" s="87"/>
      <c r="I403" s="111" t="str">
        <f t="shared" si="8"/>
        <v/>
      </c>
      <c r="J403" s="89" t="str">
        <f>IF(ISBLANK($H403),"",IF(VLOOKUP($H403,'FX Rates'!$A$1:$BQ$152,_xlfn.XMATCH($B403,'FX Rates'!$A$1:$BQ$1,-1,1),0)=0,"No Exch Rate Data",IF($G403=0,"",$G403/VLOOKUP($H403,'FX Rates'!$A$1:$BQ$152,_xlfn.XMATCH($B403,'FX Rates'!$A$1:$BQ$1,-1,1),0))))</f>
        <v/>
      </c>
    </row>
    <row r="404" spans="2:10" x14ac:dyDescent="0.25">
      <c r="B404" s="87"/>
      <c r="I404" s="111" t="str">
        <f t="shared" si="8"/>
        <v/>
      </c>
      <c r="J404" s="89" t="str">
        <f>IF(ISBLANK($H404),"",IF(VLOOKUP($H404,'FX Rates'!$A$1:$BQ$152,_xlfn.XMATCH($B404,'FX Rates'!$A$1:$BQ$1,-1,1),0)=0,"No Exch Rate Data",IF($G404=0,"",$G404/VLOOKUP($H404,'FX Rates'!$A$1:$BQ$152,_xlfn.XMATCH($B404,'FX Rates'!$A$1:$BQ$1,-1,1),0))))</f>
        <v/>
      </c>
    </row>
    <row r="405" spans="2:10" x14ac:dyDescent="0.25">
      <c r="B405" s="87"/>
      <c r="I405" s="111" t="str">
        <f t="shared" si="8"/>
        <v/>
      </c>
      <c r="J405" s="89" t="str">
        <f>IF(ISBLANK($H405),"",IF(VLOOKUP($H405,'FX Rates'!$A$1:$BQ$152,_xlfn.XMATCH($B405,'FX Rates'!$A$1:$BQ$1,-1,1),0)=0,"No Exch Rate Data",IF($G405=0,"",$G405/VLOOKUP($H405,'FX Rates'!$A$1:$BQ$152,_xlfn.XMATCH($B405,'FX Rates'!$A$1:$BQ$1,-1,1),0))))</f>
        <v/>
      </c>
    </row>
    <row r="406" spans="2:10" x14ac:dyDescent="0.25">
      <c r="B406" s="87"/>
      <c r="I406" s="111" t="str">
        <f t="shared" si="8"/>
        <v/>
      </c>
      <c r="J406" s="89" t="str">
        <f>IF(ISBLANK($H406),"",IF(VLOOKUP($H406,'FX Rates'!$A$1:$BQ$152,_xlfn.XMATCH($B406,'FX Rates'!$A$1:$BQ$1,-1,1),0)=0,"No Exch Rate Data",IF($G406=0,"",$G406/VLOOKUP($H406,'FX Rates'!$A$1:$BQ$152,_xlfn.XMATCH($B406,'FX Rates'!$A$1:$BQ$1,-1,1),0))))</f>
        <v/>
      </c>
    </row>
    <row r="407" spans="2:10" x14ac:dyDescent="0.25">
      <c r="B407" s="87"/>
      <c r="I407" s="111" t="str">
        <f t="shared" si="8"/>
        <v/>
      </c>
      <c r="J407" s="89" t="str">
        <f>IF(ISBLANK($H407),"",IF(VLOOKUP($H407,'FX Rates'!$A$1:$BQ$152,_xlfn.XMATCH($B407,'FX Rates'!$A$1:$BQ$1,-1,1),0)=0,"No Exch Rate Data",IF($G407=0,"",$G407/VLOOKUP($H407,'FX Rates'!$A$1:$BQ$152,_xlfn.XMATCH($B407,'FX Rates'!$A$1:$BQ$1,-1,1),0))))</f>
        <v/>
      </c>
    </row>
    <row r="408" spans="2:10" x14ac:dyDescent="0.25">
      <c r="B408" s="87"/>
      <c r="I408" s="111" t="str">
        <f t="shared" si="8"/>
        <v/>
      </c>
      <c r="J408" s="89" t="str">
        <f>IF(ISBLANK($H408),"",IF(VLOOKUP($H408,'FX Rates'!$A$1:$BQ$152,_xlfn.XMATCH($B408,'FX Rates'!$A$1:$BQ$1,-1,1),0)=0,"No Exch Rate Data",IF($G408=0,"",$G408/VLOOKUP($H408,'FX Rates'!$A$1:$BQ$152,_xlfn.XMATCH($B408,'FX Rates'!$A$1:$BQ$1,-1,1),0))))</f>
        <v/>
      </c>
    </row>
    <row r="409" spans="2:10" x14ac:dyDescent="0.25">
      <c r="B409" s="87"/>
      <c r="I409" s="111" t="str">
        <f t="shared" si="8"/>
        <v/>
      </c>
      <c r="J409" s="89" t="str">
        <f>IF(ISBLANK($H409),"",IF(VLOOKUP($H409,'FX Rates'!$A$1:$BQ$152,_xlfn.XMATCH($B409,'FX Rates'!$A$1:$BQ$1,-1,1),0)=0,"No Exch Rate Data",IF($G409=0,"",$G409/VLOOKUP($H409,'FX Rates'!$A$1:$BQ$152,_xlfn.XMATCH($B409,'FX Rates'!$A$1:$BQ$1,-1,1),0))))</f>
        <v/>
      </c>
    </row>
    <row r="410" spans="2:10" x14ac:dyDescent="0.25">
      <c r="B410" s="87"/>
      <c r="I410" s="111" t="str">
        <f t="shared" si="8"/>
        <v/>
      </c>
      <c r="J410" s="89" t="str">
        <f>IF(ISBLANK($H410),"",IF(VLOOKUP($H410,'FX Rates'!$A$1:$BQ$152,_xlfn.XMATCH($B410,'FX Rates'!$A$1:$BQ$1,-1,1),0)=0,"No Exch Rate Data",IF($G410=0,"",$G410/VLOOKUP($H410,'FX Rates'!$A$1:$BQ$152,_xlfn.XMATCH($B410,'FX Rates'!$A$1:$BQ$1,-1,1),0))))</f>
        <v/>
      </c>
    </row>
    <row r="411" spans="2:10" x14ac:dyDescent="0.25">
      <c r="B411" s="87"/>
      <c r="I411" s="111" t="str">
        <f t="shared" si="8"/>
        <v/>
      </c>
      <c r="J411" s="89" t="str">
        <f>IF(ISBLANK($H411),"",IF(VLOOKUP($H411,'FX Rates'!$A$1:$BQ$152,_xlfn.XMATCH($B411,'FX Rates'!$A$1:$BQ$1,-1,1),0)=0,"No Exch Rate Data",IF($G411=0,"",$G411/VLOOKUP($H411,'FX Rates'!$A$1:$BQ$152,_xlfn.XMATCH($B411,'FX Rates'!$A$1:$BQ$1,-1,1),0))))</f>
        <v/>
      </c>
    </row>
    <row r="412" spans="2:10" x14ac:dyDescent="0.25">
      <c r="B412" s="87"/>
      <c r="I412" s="111" t="str">
        <f t="shared" si="8"/>
        <v/>
      </c>
      <c r="J412" s="89" t="str">
        <f>IF(ISBLANK($H412),"",IF(VLOOKUP($H412,'FX Rates'!$A$1:$BQ$152,_xlfn.XMATCH($B412,'FX Rates'!$A$1:$BQ$1,-1,1),0)=0,"No Exch Rate Data",IF($G412=0,"",$G412/VLOOKUP($H412,'FX Rates'!$A$1:$BQ$152,_xlfn.XMATCH($B412,'FX Rates'!$A$1:$BQ$1,-1,1),0))))</f>
        <v/>
      </c>
    </row>
    <row r="413" spans="2:10" x14ac:dyDescent="0.25">
      <c r="B413" s="87"/>
      <c r="I413" s="111" t="str">
        <f t="shared" si="8"/>
        <v/>
      </c>
      <c r="J413" s="89" t="str">
        <f>IF(ISBLANK($H413),"",IF(VLOOKUP($H413,'FX Rates'!$A$1:$BQ$152,_xlfn.XMATCH($B413,'FX Rates'!$A$1:$BQ$1,-1,1),0)=0,"No Exch Rate Data",IF($G413=0,"",$G413/VLOOKUP($H413,'FX Rates'!$A$1:$BQ$152,_xlfn.XMATCH($B413,'FX Rates'!$A$1:$BQ$1,-1,1),0))))</f>
        <v/>
      </c>
    </row>
    <row r="414" spans="2:10" x14ac:dyDescent="0.25">
      <c r="B414" s="87"/>
      <c r="I414" s="111" t="str">
        <f t="shared" si="8"/>
        <v/>
      </c>
      <c r="J414" s="89" t="str">
        <f>IF(ISBLANK($H414),"",IF(VLOOKUP($H414,'FX Rates'!$A$1:$BQ$152,_xlfn.XMATCH($B414,'FX Rates'!$A$1:$BQ$1,-1,1),0)=0,"No Exch Rate Data",IF($G414=0,"",$G414/VLOOKUP($H414,'FX Rates'!$A$1:$BQ$152,_xlfn.XMATCH($B414,'FX Rates'!$A$1:$BQ$1,-1,1),0))))</f>
        <v/>
      </c>
    </row>
    <row r="415" spans="2:10" x14ac:dyDescent="0.25">
      <c r="B415" s="87"/>
      <c r="I415" s="111" t="str">
        <f t="shared" si="8"/>
        <v/>
      </c>
      <c r="J415" s="89" t="str">
        <f>IF(ISBLANK($H415),"",IF(VLOOKUP($H415,'FX Rates'!$A$1:$BQ$152,_xlfn.XMATCH($B415,'FX Rates'!$A$1:$BQ$1,-1,1),0)=0,"No Exch Rate Data",IF($G415=0,"",$G415/VLOOKUP($H415,'FX Rates'!$A$1:$BQ$152,_xlfn.XMATCH($B415,'FX Rates'!$A$1:$BQ$1,-1,1),0))))</f>
        <v/>
      </c>
    </row>
    <row r="416" spans="2:10" x14ac:dyDescent="0.25">
      <c r="B416" s="87"/>
      <c r="I416" s="111" t="str">
        <f t="shared" si="8"/>
        <v/>
      </c>
      <c r="J416" s="89" t="str">
        <f>IF(ISBLANK($H416),"",IF(VLOOKUP($H416,'FX Rates'!$A$1:$BQ$152,_xlfn.XMATCH($B416,'FX Rates'!$A$1:$BQ$1,-1,1),0)=0,"No Exch Rate Data",IF($G416=0,"",$G416/VLOOKUP($H416,'FX Rates'!$A$1:$BQ$152,_xlfn.XMATCH($B416,'FX Rates'!$A$1:$BQ$1,-1,1),0))))</f>
        <v/>
      </c>
    </row>
    <row r="417" spans="2:10" x14ac:dyDescent="0.25">
      <c r="B417" s="87"/>
      <c r="I417" s="111" t="str">
        <f t="shared" si="8"/>
        <v/>
      </c>
      <c r="J417" s="89" t="str">
        <f>IF(ISBLANK($H417),"",IF(VLOOKUP($H417,'FX Rates'!$A$1:$BQ$152,_xlfn.XMATCH($B417,'FX Rates'!$A$1:$BQ$1,-1,1),0)=0,"No Exch Rate Data",IF($G417=0,"",$G417/VLOOKUP($H417,'FX Rates'!$A$1:$BQ$152,_xlfn.XMATCH($B417,'FX Rates'!$A$1:$BQ$1,-1,1),0))))</f>
        <v/>
      </c>
    </row>
    <row r="418" spans="2:10" x14ac:dyDescent="0.25">
      <c r="B418" s="87"/>
      <c r="I418" s="111" t="str">
        <f t="shared" si="8"/>
        <v/>
      </c>
      <c r="J418" s="89" t="str">
        <f>IF(ISBLANK($H418),"",IF(VLOOKUP($H418,'FX Rates'!$A$1:$BQ$152,_xlfn.XMATCH($B418,'FX Rates'!$A$1:$BQ$1,-1,1),0)=0,"No Exch Rate Data",IF($G418=0,"",$G418/VLOOKUP($H418,'FX Rates'!$A$1:$BQ$152,_xlfn.XMATCH($B418,'FX Rates'!$A$1:$BQ$1,-1,1),0))))</f>
        <v/>
      </c>
    </row>
    <row r="419" spans="2:10" x14ac:dyDescent="0.25">
      <c r="B419" s="87"/>
      <c r="I419" s="111" t="str">
        <f t="shared" si="8"/>
        <v/>
      </c>
      <c r="J419" s="89" t="str">
        <f>IF(ISBLANK($H419),"",IF(VLOOKUP($H419,'FX Rates'!$A$1:$BQ$152,_xlfn.XMATCH($B419,'FX Rates'!$A$1:$BQ$1,-1,1),0)=0,"No Exch Rate Data",IF($G419=0,"",$G419/VLOOKUP($H419,'FX Rates'!$A$1:$BQ$152,_xlfn.XMATCH($B419,'FX Rates'!$A$1:$BQ$1,-1,1),0))))</f>
        <v/>
      </c>
    </row>
    <row r="420" spans="2:10" x14ac:dyDescent="0.25">
      <c r="B420" s="87"/>
      <c r="I420" s="111" t="str">
        <f t="shared" si="8"/>
        <v/>
      </c>
      <c r="J420" s="89" t="str">
        <f>IF(ISBLANK($H420),"",IF(VLOOKUP($H420,'FX Rates'!$A$1:$BQ$152,_xlfn.XMATCH($B420,'FX Rates'!$A$1:$BQ$1,-1,1),0)=0,"No Exch Rate Data",IF($G420=0,"",$G420/VLOOKUP($H420,'FX Rates'!$A$1:$BQ$152,_xlfn.XMATCH($B420,'FX Rates'!$A$1:$BQ$1,-1,1),0))))</f>
        <v/>
      </c>
    </row>
    <row r="421" spans="2:10" x14ac:dyDescent="0.25">
      <c r="B421" s="87"/>
      <c r="I421" s="111" t="str">
        <f t="shared" si="8"/>
        <v/>
      </c>
      <c r="J421" s="89" t="str">
        <f>IF(ISBLANK($H421),"",IF(VLOOKUP($H421,'FX Rates'!$A$1:$BQ$152,_xlfn.XMATCH($B421,'FX Rates'!$A$1:$BQ$1,-1,1),0)=0,"No Exch Rate Data",IF($G421=0,"",$G421/VLOOKUP($H421,'FX Rates'!$A$1:$BQ$152,_xlfn.XMATCH($B421,'FX Rates'!$A$1:$BQ$1,-1,1),0))))</f>
        <v/>
      </c>
    </row>
    <row r="422" spans="2:10" x14ac:dyDescent="0.25">
      <c r="B422" s="87"/>
      <c r="I422" s="111" t="str">
        <f t="shared" si="8"/>
        <v/>
      </c>
      <c r="J422" s="89" t="str">
        <f>IF(ISBLANK($H422),"",IF(VLOOKUP($H422,'FX Rates'!$A$1:$BQ$152,_xlfn.XMATCH($B422,'FX Rates'!$A$1:$BQ$1,-1,1),0)=0,"No Exch Rate Data",IF($G422=0,"",$G422/VLOOKUP($H422,'FX Rates'!$A$1:$BQ$152,_xlfn.XMATCH($B422,'FX Rates'!$A$1:$BQ$1,-1,1),0))))</f>
        <v/>
      </c>
    </row>
    <row r="423" spans="2:10" x14ac:dyDescent="0.25">
      <c r="B423" s="87"/>
      <c r="I423" s="111" t="str">
        <f t="shared" si="8"/>
        <v/>
      </c>
      <c r="J423" s="89" t="str">
        <f>IF(ISBLANK($H423),"",IF(VLOOKUP($H423,'FX Rates'!$A$1:$BQ$152,_xlfn.XMATCH($B423,'FX Rates'!$A$1:$BQ$1,-1,1),0)=0,"No Exch Rate Data",IF($G423=0,"",$G423/VLOOKUP($H423,'FX Rates'!$A$1:$BQ$152,_xlfn.XMATCH($B423,'FX Rates'!$A$1:$BQ$1,-1,1),0))))</f>
        <v/>
      </c>
    </row>
    <row r="424" spans="2:10" x14ac:dyDescent="0.25">
      <c r="B424" s="87"/>
      <c r="I424" s="111" t="str">
        <f t="shared" si="8"/>
        <v/>
      </c>
      <c r="J424" s="89" t="str">
        <f>IF(ISBLANK($H424),"",IF(VLOOKUP($H424,'FX Rates'!$A$1:$BQ$152,_xlfn.XMATCH($B424,'FX Rates'!$A$1:$BQ$1,-1,1),0)=0,"No Exch Rate Data",IF($G424=0,"",$G424/VLOOKUP($H424,'FX Rates'!$A$1:$BQ$152,_xlfn.XMATCH($B424,'FX Rates'!$A$1:$BQ$1,-1,1),0))))</f>
        <v/>
      </c>
    </row>
    <row r="425" spans="2:10" x14ac:dyDescent="0.25">
      <c r="B425" s="87"/>
      <c r="I425" s="111" t="str">
        <f t="shared" si="8"/>
        <v/>
      </c>
      <c r="J425" s="89" t="str">
        <f>IF(ISBLANK($H425),"",IF(VLOOKUP($H425,'FX Rates'!$A$1:$BQ$152,_xlfn.XMATCH($B425,'FX Rates'!$A$1:$BQ$1,-1,1),0)=0,"No Exch Rate Data",IF($G425=0,"",$G425/VLOOKUP($H425,'FX Rates'!$A$1:$BQ$152,_xlfn.XMATCH($B425,'FX Rates'!$A$1:$BQ$1,-1,1),0))))</f>
        <v/>
      </c>
    </row>
    <row r="426" spans="2:10" x14ac:dyDescent="0.25">
      <c r="B426" s="87"/>
      <c r="I426" s="111" t="str">
        <f t="shared" ref="I426:I489" si="9">IF(ISBLANK($D426),"",_xlfn.XLOOKUP($D426,Item_List,Time_Span,"",0))</f>
        <v/>
      </c>
      <c r="J426" s="89" t="str">
        <f>IF(ISBLANK($H426),"",IF(VLOOKUP($H426,'FX Rates'!$A$1:$BQ$152,_xlfn.XMATCH($B426,'FX Rates'!$A$1:$BQ$1,-1,1),0)=0,"No Exch Rate Data",IF($G426=0,"",$G426/VLOOKUP($H426,'FX Rates'!$A$1:$BQ$152,_xlfn.XMATCH($B426,'FX Rates'!$A$1:$BQ$1,-1,1),0))))</f>
        <v/>
      </c>
    </row>
    <row r="427" spans="2:10" x14ac:dyDescent="0.25">
      <c r="B427" s="87"/>
      <c r="I427" s="111" t="str">
        <f t="shared" si="9"/>
        <v/>
      </c>
      <c r="J427" s="89" t="str">
        <f>IF(ISBLANK($H427),"",IF(VLOOKUP($H427,'FX Rates'!$A$1:$BQ$152,_xlfn.XMATCH($B427,'FX Rates'!$A$1:$BQ$1,-1,1),0)=0,"No Exch Rate Data",IF($G427=0,"",$G427/VLOOKUP($H427,'FX Rates'!$A$1:$BQ$152,_xlfn.XMATCH($B427,'FX Rates'!$A$1:$BQ$1,-1,1),0))))</f>
        <v/>
      </c>
    </row>
    <row r="428" spans="2:10" x14ac:dyDescent="0.25">
      <c r="B428" s="87"/>
      <c r="I428" s="111" t="str">
        <f t="shared" si="9"/>
        <v/>
      </c>
      <c r="J428" s="89" t="str">
        <f>IF(ISBLANK($H428),"",IF(VLOOKUP($H428,'FX Rates'!$A$1:$BQ$152,_xlfn.XMATCH($B428,'FX Rates'!$A$1:$BQ$1,-1,1),0)=0,"No Exch Rate Data",IF($G428=0,"",$G428/VLOOKUP($H428,'FX Rates'!$A$1:$BQ$152,_xlfn.XMATCH($B428,'FX Rates'!$A$1:$BQ$1,-1,1),0))))</f>
        <v/>
      </c>
    </row>
    <row r="429" spans="2:10" x14ac:dyDescent="0.25">
      <c r="B429" s="87"/>
      <c r="I429" s="111" t="str">
        <f t="shared" si="9"/>
        <v/>
      </c>
      <c r="J429" s="89" t="str">
        <f>IF(ISBLANK($H429),"",IF(VLOOKUP($H429,'FX Rates'!$A$1:$BQ$152,_xlfn.XMATCH($B429,'FX Rates'!$A$1:$BQ$1,-1,1),0)=0,"No Exch Rate Data",IF($G429=0,"",$G429/VLOOKUP($H429,'FX Rates'!$A$1:$BQ$152,_xlfn.XMATCH($B429,'FX Rates'!$A$1:$BQ$1,-1,1),0))))</f>
        <v/>
      </c>
    </row>
    <row r="430" spans="2:10" x14ac:dyDescent="0.25">
      <c r="B430" s="87"/>
      <c r="I430" s="111" t="str">
        <f t="shared" si="9"/>
        <v/>
      </c>
      <c r="J430" s="89" t="str">
        <f>IF(ISBLANK($H430),"",IF(VLOOKUP($H430,'FX Rates'!$A$1:$BQ$152,_xlfn.XMATCH($B430,'FX Rates'!$A$1:$BQ$1,-1,1),0)=0,"No Exch Rate Data",IF($G430=0,"",$G430/VLOOKUP($H430,'FX Rates'!$A$1:$BQ$152,_xlfn.XMATCH($B430,'FX Rates'!$A$1:$BQ$1,-1,1),0))))</f>
        <v/>
      </c>
    </row>
    <row r="431" spans="2:10" x14ac:dyDescent="0.25">
      <c r="B431" s="87"/>
      <c r="I431" s="111" t="str">
        <f t="shared" si="9"/>
        <v/>
      </c>
      <c r="J431" s="89" t="str">
        <f>IF(ISBLANK($H431),"",IF(VLOOKUP($H431,'FX Rates'!$A$1:$BQ$152,_xlfn.XMATCH($B431,'FX Rates'!$A$1:$BQ$1,-1,1),0)=0,"No Exch Rate Data",IF($G431=0,"",$G431/VLOOKUP($H431,'FX Rates'!$A$1:$BQ$152,_xlfn.XMATCH($B431,'FX Rates'!$A$1:$BQ$1,-1,1),0))))</f>
        <v/>
      </c>
    </row>
    <row r="432" spans="2:10" x14ac:dyDescent="0.25">
      <c r="B432" s="87"/>
      <c r="I432" s="111" t="str">
        <f t="shared" si="9"/>
        <v/>
      </c>
      <c r="J432" s="89" t="str">
        <f>IF(ISBLANK($H432),"",IF(VLOOKUP($H432,'FX Rates'!$A$1:$BQ$152,_xlfn.XMATCH($B432,'FX Rates'!$A$1:$BQ$1,-1,1),0)=0,"No Exch Rate Data",IF($G432=0,"",$G432/VLOOKUP($H432,'FX Rates'!$A$1:$BQ$152,_xlfn.XMATCH($B432,'FX Rates'!$A$1:$BQ$1,-1,1),0))))</f>
        <v/>
      </c>
    </row>
    <row r="433" spans="2:10" x14ac:dyDescent="0.25">
      <c r="B433" s="87"/>
      <c r="I433" s="111" t="str">
        <f t="shared" si="9"/>
        <v/>
      </c>
      <c r="J433" s="89" t="str">
        <f>IF(ISBLANK($H433),"",IF(VLOOKUP($H433,'FX Rates'!$A$1:$BQ$152,_xlfn.XMATCH($B433,'FX Rates'!$A$1:$BQ$1,-1,1),0)=0,"No Exch Rate Data",IF($G433=0,"",$G433/VLOOKUP($H433,'FX Rates'!$A$1:$BQ$152,_xlfn.XMATCH($B433,'FX Rates'!$A$1:$BQ$1,-1,1),0))))</f>
        <v/>
      </c>
    </row>
    <row r="434" spans="2:10" x14ac:dyDescent="0.25">
      <c r="B434" s="87"/>
      <c r="I434" s="111" t="str">
        <f t="shared" si="9"/>
        <v/>
      </c>
      <c r="J434" s="89" t="str">
        <f>IF(ISBLANK($H434),"",IF(VLOOKUP($H434,'FX Rates'!$A$1:$BQ$152,_xlfn.XMATCH($B434,'FX Rates'!$A$1:$BQ$1,-1,1),0)=0,"No Exch Rate Data",IF($G434=0,"",$G434/VLOOKUP($H434,'FX Rates'!$A$1:$BQ$152,_xlfn.XMATCH($B434,'FX Rates'!$A$1:$BQ$1,-1,1),0))))</f>
        <v/>
      </c>
    </row>
    <row r="435" spans="2:10" x14ac:dyDescent="0.25">
      <c r="B435" s="87"/>
      <c r="I435" s="111" t="str">
        <f t="shared" si="9"/>
        <v/>
      </c>
      <c r="J435" s="89" t="str">
        <f>IF(ISBLANK($H435),"",IF(VLOOKUP($H435,'FX Rates'!$A$1:$BQ$152,_xlfn.XMATCH($B435,'FX Rates'!$A$1:$BQ$1,-1,1),0)=0,"No Exch Rate Data",IF($G435=0,"",$G435/VLOOKUP($H435,'FX Rates'!$A$1:$BQ$152,_xlfn.XMATCH($B435,'FX Rates'!$A$1:$BQ$1,-1,1),0))))</f>
        <v/>
      </c>
    </row>
    <row r="436" spans="2:10" x14ac:dyDescent="0.25">
      <c r="B436" s="87"/>
      <c r="I436" s="111" t="str">
        <f t="shared" si="9"/>
        <v/>
      </c>
      <c r="J436" s="89" t="str">
        <f>IF(ISBLANK($H436),"",IF(VLOOKUP($H436,'FX Rates'!$A$1:$BQ$152,_xlfn.XMATCH($B436,'FX Rates'!$A$1:$BQ$1,-1,1),0)=0,"No Exch Rate Data",IF($G436=0,"",$G436/VLOOKUP($H436,'FX Rates'!$A$1:$BQ$152,_xlfn.XMATCH($B436,'FX Rates'!$A$1:$BQ$1,-1,1),0))))</f>
        <v/>
      </c>
    </row>
    <row r="437" spans="2:10" x14ac:dyDescent="0.25">
      <c r="B437" s="87"/>
      <c r="I437" s="111" t="str">
        <f t="shared" si="9"/>
        <v/>
      </c>
      <c r="J437" s="89" t="str">
        <f>IF(ISBLANK($H437),"",IF(VLOOKUP($H437,'FX Rates'!$A$1:$BQ$152,_xlfn.XMATCH($B437,'FX Rates'!$A$1:$BQ$1,-1,1),0)=0,"No Exch Rate Data",IF($G437=0,"",$G437/VLOOKUP($H437,'FX Rates'!$A$1:$BQ$152,_xlfn.XMATCH($B437,'FX Rates'!$A$1:$BQ$1,-1,1),0))))</f>
        <v/>
      </c>
    </row>
    <row r="438" spans="2:10" x14ac:dyDescent="0.25">
      <c r="B438" s="87"/>
      <c r="I438" s="111" t="str">
        <f t="shared" si="9"/>
        <v/>
      </c>
      <c r="J438" s="89" t="str">
        <f>IF(ISBLANK($H438),"",IF(VLOOKUP($H438,'FX Rates'!$A$1:$BQ$152,_xlfn.XMATCH($B438,'FX Rates'!$A$1:$BQ$1,-1,1),0)=0,"No Exch Rate Data",IF($G438=0,"",$G438/VLOOKUP($H438,'FX Rates'!$A$1:$BQ$152,_xlfn.XMATCH($B438,'FX Rates'!$A$1:$BQ$1,-1,1),0))))</f>
        <v/>
      </c>
    </row>
    <row r="439" spans="2:10" x14ac:dyDescent="0.25">
      <c r="B439" s="87"/>
      <c r="I439" s="111" t="str">
        <f t="shared" si="9"/>
        <v/>
      </c>
      <c r="J439" s="89" t="str">
        <f>IF(ISBLANK($H439),"",IF(VLOOKUP($H439,'FX Rates'!$A$1:$BQ$152,_xlfn.XMATCH($B439,'FX Rates'!$A$1:$BQ$1,-1,1),0)=0,"No Exch Rate Data",IF($G439=0,"",$G439/VLOOKUP($H439,'FX Rates'!$A$1:$BQ$152,_xlfn.XMATCH($B439,'FX Rates'!$A$1:$BQ$1,-1,1),0))))</f>
        <v/>
      </c>
    </row>
    <row r="440" spans="2:10" x14ac:dyDescent="0.25">
      <c r="B440" s="87"/>
      <c r="I440" s="111" t="str">
        <f t="shared" si="9"/>
        <v/>
      </c>
      <c r="J440" s="89" t="str">
        <f>IF(ISBLANK($H440),"",IF(VLOOKUP($H440,'FX Rates'!$A$1:$BQ$152,_xlfn.XMATCH($B440,'FX Rates'!$A$1:$BQ$1,-1,1),0)=0,"No Exch Rate Data",IF($G440=0,"",$G440/VLOOKUP($H440,'FX Rates'!$A$1:$BQ$152,_xlfn.XMATCH($B440,'FX Rates'!$A$1:$BQ$1,-1,1),0))))</f>
        <v/>
      </c>
    </row>
    <row r="441" spans="2:10" x14ac:dyDescent="0.25">
      <c r="B441" s="87"/>
      <c r="I441" s="111" t="str">
        <f t="shared" si="9"/>
        <v/>
      </c>
      <c r="J441" s="89" t="str">
        <f>IF(ISBLANK($H441),"",IF(VLOOKUP($H441,'FX Rates'!$A$1:$BQ$152,_xlfn.XMATCH($B441,'FX Rates'!$A$1:$BQ$1,-1,1),0)=0,"No Exch Rate Data",IF($G441=0,"",$G441/VLOOKUP($H441,'FX Rates'!$A$1:$BQ$152,_xlfn.XMATCH($B441,'FX Rates'!$A$1:$BQ$1,-1,1),0))))</f>
        <v/>
      </c>
    </row>
    <row r="442" spans="2:10" x14ac:dyDescent="0.25">
      <c r="B442" s="87"/>
      <c r="I442" s="111" t="str">
        <f t="shared" si="9"/>
        <v/>
      </c>
      <c r="J442" s="89" t="str">
        <f>IF(ISBLANK($H442),"",IF(VLOOKUP($H442,'FX Rates'!$A$1:$BQ$152,_xlfn.XMATCH($B442,'FX Rates'!$A$1:$BQ$1,-1,1),0)=0,"No Exch Rate Data",IF($G442=0,"",$G442/VLOOKUP($H442,'FX Rates'!$A$1:$BQ$152,_xlfn.XMATCH($B442,'FX Rates'!$A$1:$BQ$1,-1,1),0))))</f>
        <v/>
      </c>
    </row>
    <row r="443" spans="2:10" x14ac:dyDescent="0.25">
      <c r="B443" s="87"/>
      <c r="I443" s="111" t="str">
        <f t="shared" si="9"/>
        <v/>
      </c>
      <c r="J443" s="89" t="str">
        <f>IF(ISBLANK($H443),"",IF(VLOOKUP($H443,'FX Rates'!$A$1:$BQ$152,_xlfn.XMATCH($B443,'FX Rates'!$A$1:$BQ$1,-1,1),0)=0,"No Exch Rate Data",IF($G443=0,"",$G443/VLOOKUP($H443,'FX Rates'!$A$1:$BQ$152,_xlfn.XMATCH($B443,'FX Rates'!$A$1:$BQ$1,-1,1),0))))</f>
        <v/>
      </c>
    </row>
    <row r="444" spans="2:10" x14ac:dyDescent="0.25">
      <c r="B444" s="87"/>
      <c r="I444" s="111" t="str">
        <f t="shared" si="9"/>
        <v/>
      </c>
      <c r="J444" s="89" t="str">
        <f>IF(ISBLANK($H444),"",IF(VLOOKUP($H444,'FX Rates'!$A$1:$BQ$152,_xlfn.XMATCH($B444,'FX Rates'!$A$1:$BQ$1,-1,1),0)=0,"No Exch Rate Data",IF($G444=0,"",$G444/VLOOKUP($H444,'FX Rates'!$A$1:$BQ$152,_xlfn.XMATCH($B444,'FX Rates'!$A$1:$BQ$1,-1,1),0))))</f>
        <v/>
      </c>
    </row>
    <row r="445" spans="2:10" x14ac:dyDescent="0.25">
      <c r="B445" s="87"/>
      <c r="I445" s="111" t="str">
        <f t="shared" si="9"/>
        <v/>
      </c>
      <c r="J445" s="89" t="str">
        <f>IF(ISBLANK($H445),"",IF(VLOOKUP($H445,'FX Rates'!$A$1:$BQ$152,_xlfn.XMATCH($B445,'FX Rates'!$A$1:$BQ$1,-1,1),0)=0,"No Exch Rate Data",IF($G445=0,"",$G445/VLOOKUP($H445,'FX Rates'!$A$1:$BQ$152,_xlfn.XMATCH($B445,'FX Rates'!$A$1:$BQ$1,-1,1),0))))</f>
        <v/>
      </c>
    </row>
    <row r="446" spans="2:10" x14ac:dyDescent="0.25">
      <c r="B446" s="87"/>
      <c r="I446" s="111" t="str">
        <f t="shared" si="9"/>
        <v/>
      </c>
      <c r="J446" s="89" t="str">
        <f>IF(ISBLANK($H446),"",IF(VLOOKUP($H446,'FX Rates'!$A$1:$BQ$152,_xlfn.XMATCH($B446,'FX Rates'!$A$1:$BQ$1,-1,1),0)=0,"No Exch Rate Data",IF($G446=0,"",$G446/VLOOKUP($H446,'FX Rates'!$A$1:$BQ$152,_xlfn.XMATCH($B446,'FX Rates'!$A$1:$BQ$1,-1,1),0))))</f>
        <v/>
      </c>
    </row>
    <row r="447" spans="2:10" x14ac:dyDescent="0.25">
      <c r="B447" s="87"/>
      <c r="I447" s="111" t="str">
        <f t="shared" si="9"/>
        <v/>
      </c>
      <c r="J447" s="89" t="str">
        <f>IF(ISBLANK($H447),"",IF(VLOOKUP($H447,'FX Rates'!$A$1:$BQ$152,_xlfn.XMATCH($B447,'FX Rates'!$A$1:$BQ$1,-1,1),0)=0,"No Exch Rate Data",IF($G447=0,"",$G447/VLOOKUP($H447,'FX Rates'!$A$1:$BQ$152,_xlfn.XMATCH($B447,'FX Rates'!$A$1:$BQ$1,-1,1),0))))</f>
        <v/>
      </c>
    </row>
    <row r="448" spans="2:10" x14ac:dyDescent="0.25">
      <c r="B448" s="87"/>
      <c r="I448" s="111" t="str">
        <f t="shared" si="9"/>
        <v/>
      </c>
      <c r="J448" s="89" t="str">
        <f>IF(ISBLANK($H448),"",IF(VLOOKUP($H448,'FX Rates'!$A$1:$BQ$152,_xlfn.XMATCH($B448,'FX Rates'!$A$1:$BQ$1,-1,1),0)=0,"No Exch Rate Data",IF($G448=0,"",$G448/VLOOKUP($H448,'FX Rates'!$A$1:$BQ$152,_xlfn.XMATCH($B448,'FX Rates'!$A$1:$BQ$1,-1,1),0))))</f>
        <v/>
      </c>
    </row>
    <row r="449" spans="2:10" x14ac:dyDescent="0.25">
      <c r="B449" s="87"/>
      <c r="I449" s="111" t="str">
        <f t="shared" si="9"/>
        <v/>
      </c>
      <c r="J449" s="89" t="str">
        <f>IF(ISBLANK($H449),"",IF(VLOOKUP($H449,'FX Rates'!$A$1:$BQ$152,_xlfn.XMATCH($B449,'FX Rates'!$A$1:$BQ$1,-1,1),0)=0,"No Exch Rate Data",IF($G449=0,"",$G449/VLOOKUP($H449,'FX Rates'!$A$1:$BQ$152,_xlfn.XMATCH($B449,'FX Rates'!$A$1:$BQ$1,-1,1),0))))</f>
        <v/>
      </c>
    </row>
    <row r="450" spans="2:10" x14ac:dyDescent="0.25">
      <c r="B450" s="87"/>
      <c r="I450" s="111" t="str">
        <f t="shared" si="9"/>
        <v/>
      </c>
      <c r="J450" s="89" t="str">
        <f>IF(ISBLANK($H450),"",IF(VLOOKUP($H450,'FX Rates'!$A$1:$BQ$152,_xlfn.XMATCH($B450,'FX Rates'!$A$1:$BQ$1,-1,1),0)=0,"No Exch Rate Data",IF($G450=0,"",$G450/VLOOKUP($H450,'FX Rates'!$A$1:$BQ$152,_xlfn.XMATCH($B450,'FX Rates'!$A$1:$BQ$1,-1,1),0))))</f>
        <v/>
      </c>
    </row>
    <row r="451" spans="2:10" x14ac:dyDescent="0.25">
      <c r="B451" s="87"/>
      <c r="I451" s="111" t="str">
        <f t="shared" si="9"/>
        <v/>
      </c>
      <c r="J451" s="89" t="str">
        <f>IF(ISBLANK($H451),"",IF(VLOOKUP($H451,'FX Rates'!$A$1:$BQ$152,_xlfn.XMATCH($B451,'FX Rates'!$A$1:$BQ$1,-1,1),0)=0,"No Exch Rate Data",IF($G451=0,"",$G451/VLOOKUP($H451,'FX Rates'!$A$1:$BQ$152,_xlfn.XMATCH($B451,'FX Rates'!$A$1:$BQ$1,-1,1),0))))</f>
        <v/>
      </c>
    </row>
    <row r="452" spans="2:10" x14ac:dyDescent="0.25">
      <c r="B452" s="87"/>
      <c r="I452" s="111" t="str">
        <f t="shared" si="9"/>
        <v/>
      </c>
      <c r="J452" s="89" t="str">
        <f>IF(ISBLANK($H452),"",IF(VLOOKUP($H452,'FX Rates'!$A$1:$BQ$152,_xlfn.XMATCH($B452,'FX Rates'!$A$1:$BQ$1,-1,1),0)=0,"No Exch Rate Data",IF($G452=0,"",$G452/VLOOKUP($H452,'FX Rates'!$A$1:$BQ$152,_xlfn.XMATCH($B452,'FX Rates'!$A$1:$BQ$1,-1,1),0))))</f>
        <v/>
      </c>
    </row>
    <row r="453" spans="2:10" x14ac:dyDescent="0.25">
      <c r="B453" s="87"/>
      <c r="I453" s="111" t="str">
        <f t="shared" si="9"/>
        <v/>
      </c>
      <c r="J453" s="89" t="str">
        <f>IF(ISBLANK($H453),"",IF(VLOOKUP($H453,'FX Rates'!$A$1:$BQ$152,_xlfn.XMATCH($B453,'FX Rates'!$A$1:$BQ$1,-1,1),0)=0,"No Exch Rate Data",IF($G453=0,"",$G453/VLOOKUP($H453,'FX Rates'!$A$1:$BQ$152,_xlfn.XMATCH($B453,'FX Rates'!$A$1:$BQ$1,-1,1),0))))</f>
        <v/>
      </c>
    </row>
    <row r="454" spans="2:10" x14ac:dyDescent="0.25">
      <c r="B454" s="87"/>
      <c r="I454" s="111" t="str">
        <f t="shared" si="9"/>
        <v/>
      </c>
      <c r="J454" s="89" t="str">
        <f>IF(ISBLANK($H454),"",IF(VLOOKUP($H454,'FX Rates'!$A$1:$BQ$152,_xlfn.XMATCH($B454,'FX Rates'!$A$1:$BQ$1,-1,1),0)=0,"No Exch Rate Data",IF($G454=0,"",$G454/VLOOKUP($H454,'FX Rates'!$A$1:$BQ$152,_xlfn.XMATCH($B454,'FX Rates'!$A$1:$BQ$1,-1,1),0))))</f>
        <v/>
      </c>
    </row>
    <row r="455" spans="2:10" x14ac:dyDescent="0.25">
      <c r="B455" s="87"/>
      <c r="I455" s="111" t="str">
        <f t="shared" si="9"/>
        <v/>
      </c>
      <c r="J455" s="89" t="str">
        <f>IF(ISBLANK($H455),"",IF(VLOOKUP($H455,'FX Rates'!$A$1:$BQ$152,_xlfn.XMATCH($B455,'FX Rates'!$A$1:$BQ$1,-1,1),0)=0,"No Exch Rate Data",IF($G455=0,"",$G455/VLOOKUP($H455,'FX Rates'!$A$1:$BQ$152,_xlfn.XMATCH($B455,'FX Rates'!$A$1:$BQ$1,-1,1),0))))</f>
        <v/>
      </c>
    </row>
    <row r="456" spans="2:10" x14ac:dyDescent="0.25">
      <c r="B456" s="87"/>
      <c r="I456" s="111" t="str">
        <f t="shared" si="9"/>
        <v/>
      </c>
      <c r="J456" s="89" t="str">
        <f>IF(ISBLANK($H456),"",IF(VLOOKUP($H456,'FX Rates'!$A$1:$BQ$152,_xlfn.XMATCH($B456,'FX Rates'!$A$1:$BQ$1,-1,1),0)=0,"No Exch Rate Data",IF($G456=0,"",$G456/VLOOKUP($H456,'FX Rates'!$A$1:$BQ$152,_xlfn.XMATCH($B456,'FX Rates'!$A$1:$BQ$1,-1,1),0))))</f>
        <v/>
      </c>
    </row>
    <row r="457" spans="2:10" x14ac:dyDescent="0.25">
      <c r="B457" s="87"/>
      <c r="I457" s="111" t="str">
        <f t="shared" si="9"/>
        <v/>
      </c>
      <c r="J457" s="89" t="str">
        <f>IF(ISBLANK($H457),"",IF(VLOOKUP($H457,'FX Rates'!$A$1:$BQ$152,_xlfn.XMATCH($B457,'FX Rates'!$A$1:$BQ$1,-1,1),0)=0,"No Exch Rate Data",IF($G457=0,"",$G457/VLOOKUP($H457,'FX Rates'!$A$1:$BQ$152,_xlfn.XMATCH($B457,'FX Rates'!$A$1:$BQ$1,-1,1),0))))</f>
        <v/>
      </c>
    </row>
    <row r="458" spans="2:10" x14ac:dyDescent="0.25">
      <c r="B458" s="87"/>
      <c r="I458" s="111" t="str">
        <f t="shared" si="9"/>
        <v/>
      </c>
      <c r="J458" s="89" t="str">
        <f>IF(ISBLANK($H458),"",IF(VLOOKUP($H458,'FX Rates'!$A$1:$BQ$152,_xlfn.XMATCH($B458,'FX Rates'!$A$1:$BQ$1,-1,1),0)=0,"No Exch Rate Data",IF($G458=0,"",$G458/VLOOKUP($H458,'FX Rates'!$A$1:$BQ$152,_xlfn.XMATCH($B458,'FX Rates'!$A$1:$BQ$1,-1,1),0))))</f>
        <v/>
      </c>
    </row>
    <row r="459" spans="2:10" x14ac:dyDescent="0.25">
      <c r="B459" s="87"/>
      <c r="I459" s="111" t="str">
        <f t="shared" si="9"/>
        <v/>
      </c>
      <c r="J459" s="89" t="str">
        <f>IF(ISBLANK($H459),"",IF(VLOOKUP($H459,'FX Rates'!$A$1:$BQ$152,_xlfn.XMATCH($B459,'FX Rates'!$A$1:$BQ$1,-1,1),0)=0,"No Exch Rate Data",IF($G459=0,"",$G459/VLOOKUP($H459,'FX Rates'!$A$1:$BQ$152,_xlfn.XMATCH($B459,'FX Rates'!$A$1:$BQ$1,-1,1),0))))</f>
        <v/>
      </c>
    </row>
    <row r="460" spans="2:10" x14ac:dyDescent="0.25">
      <c r="B460" s="87"/>
      <c r="I460" s="111" t="str">
        <f t="shared" si="9"/>
        <v/>
      </c>
      <c r="J460" s="89" t="str">
        <f>IF(ISBLANK($H460),"",IF(VLOOKUP($H460,'FX Rates'!$A$1:$BQ$152,_xlfn.XMATCH($B460,'FX Rates'!$A$1:$BQ$1,-1,1),0)=0,"No Exch Rate Data",IF($G460=0,"",$G460/VLOOKUP($H460,'FX Rates'!$A$1:$BQ$152,_xlfn.XMATCH($B460,'FX Rates'!$A$1:$BQ$1,-1,1),0))))</f>
        <v/>
      </c>
    </row>
    <row r="461" spans="2:10" x14ac:dyDescent="0.25">
      <c r="B461" s="87"/>
      <c r="I461" s="111" t="str">
        <f t="shared" si="9"/>
        <v/>
      </c>
      <c r="J461" s="89" t="str">
        <f>IF(ISBLANK($H461),"",IF(VLOOKUP($H461,'FX Rates'!$A$1:$BQ$152,_xlfn.XMATCH($B461,'FX Rates'!$A$1:$BQ$1,-1,1),0)=0,"No Exch Rate Data",IF($G461=0,"",$G461/VLOOKUP($H461,'FX Rates'!$A$1:$BQ$152,_xlfn.XMATCH($B461,'FX Rates'!$A$1:$BQ$1,-1,1),0))))</f>
        <v/>
      </c>
    </row>
    <row r="462" spans="2:10" x14ac:dyDescent="0.25">
      <c r="B462" s="87"/>
      <c r="I462" s="111" t="str">
        <f t="shared" si="9"/>
        <v/>
      </c>
      <c r="J462" s="89" t="str">
        <f>IF(ISBLANK($H462),"",IF(VLOOKUP($H462,'FX Rates'!$A$1:$BQ$152,_xlfn.XMATCH($B462,'FX Rates'!$A$1:$BQ$1,-1,1),0)=0,"No Exch Rate Data",IF($G462=0,"",$G462/VLOOKUP($H462,'FX Rates'!$A$1:$BQ$152,_xlfn.XMATCH($B462,'FX Rates'!$A$1:$BQ$1,-1,1),0))))</f>
        <v/>
      </c>
    </row>
    <row r="463" spans="2:10" x14ac:dyDescent="0.25">
      <c r="B463" s="87"/>
      <c r="I463" s="111" t="str">
        <f t="shared" si="9"/>
        <v/>
      </c>
      <c r="J463" s="89" t="str">
        <f>IF(ISBLANK($H463),"",IF(VLOOKUP($H463,'FX Rates'!$A$1:$BQ$152,_xlfn.XMATCH($B463,'FX Rates'!$A$1:$BQ$1,-1,1),0)=0,"No Exch Rate Data",IF($G463=0,"",$G463/VLOOKUP($H463,'FX Rates'!$A$1:$BQ$152,_xlfn.XMATCH($B463,'FX Rates'!$A$1:$BQ$1,-1,1),0))))</f>
        <v/>
      </c>
    </row>
    <row r="464" spans="2:10" x14ac:dyDescent="0.25">
      <c r="B464" s="87"/>
      <c r="I464" s="111" t="str">
        <f t="shared" si="9"/>
        <v/>
      </c>
      <c r="J464" s="89" t="str">
        <f>IF(ISBLANK($H464),"",IF(VLOOKUP($H464,'FX Rates'!$A$1:$BQ$152,_xlfn.XMATCH($B464,'FX Rates'!$A$1:$BQ$1,-1,1),0)=0,"No Exch Rate Data",IF($G464=0,"",$G464/VLOOKUP($H464,'FX Rates'!$A$1:$BQ$152,_xlfn.XMATCH($B464,'FX Rates'!$A$1:$BQ$1,-1,1),0))))</f>
        <v/>
      </c>
    </row>
    <row r="465" spans="2:10" x14ac:dyDescent="0.25">
      <c r="B465" s="87"/>
      <c r="I465" s="111" t="str">
        <f t="shared" si="9"/>
        <v/>
      </c>
      <c r="J465" s="89" t="str">
        <f>IF(ISBLANK($H465),"",IF(VLOOKUP($H465,'FX Rates'!$A$1:$BQ$152,_xlfn.XMATCH($B465,'FX Rates'!$A$1:$BQ$1,-1,1),0)=0,"No Exch Rate Data",IF($G465=0,"",$G465/VLOOKUP($H465,'FX Rates'!$A$1:$BQ$152,_xlfn.XMATCH($B465,'FX Rates'!$A$1:$BQ$1,-1,1),0))))</f>
        <v/>
      </c>
    </row>
    <row r="466" spans="2:10" x14ac:dyDescent="0.25">
      <c r="B466" s="87"/>
      <c r="I466" s="111" t="str">
        <f t="shared" si="9"/>
        <v/>
      </c>
      <c r="J466" s="89" t="str">
        <f>IF(ISBLANK($H466),"",IF(VLOOKUP($H466,'FX Rates'!$A$1:$BQ$152,_xlfn.XMATCH($B466,'FX Rates'!$A$1:$BQ$1,-1,1),0)=0,"No Exch Rate Data",IF($G466=0,"",$G466/VLOOKUP($H466,'FX Rates'!$A$1:$BQ$152,_xlfn.XMATCH($B466,'FX Rates'!$A$1:$BQ$1,-1,1),0))))</f>
        <v/>
      </c>
    </row>
    <row r="467" spans="2:10" x14ac:dyDescent="0.25">
      <c r="B467" s="87"/>
      <c r="I467" s="111" t="str">
        <f t="shared" si="9"/>
        <v/>
      </c>
      <c r="J467" s="89" t="str">
        <f>IF(ISBLANK($H467),"",IF(VLOOKUP($H467,'FX Rates'!$A$1:$BQ$152,_xlfn.XMATCH($B467,'FX Rates'!$A$1:$BQ$1,-1,1),0)=0,"No Exch Rate Data",IF($G467=0,"",$G467/VLOOKUP($H467,'FX Rates'!$A$1:$BQ$152,_xlfn.XMATCH($B467,'FX Rates'!$A$1:$BQ$1,-1,1),0))))</f>
        <v/>
      </c>
    </row>
    <row r="468" spans="2:10" x14ac:dyDescent="0.25">
      <c r="B468" s="87"/>
      <c r="I468" s="111" t="str">
        <f t="shared" si="9"/>
        <v/>
      </c>
      <c r="J468" s="89" t="str">
        <f>IF(ISBLANK($H468),"",IF(VLOOKUP($H468,'FX Rates'!$A$1:$BQ$152,_xlfn.XMATCH($B468,'FX Rates'!$A$1:$BQ$1,-1,1),0)=0,"No Exch Rate Data",IF($G468=0,"",$G468/VLOOKUP($H468,'FX Rates'!$A$1:$BQ$152,_xlfn.XMATCH($B468,'FX Rates'!$A$1:$BQ$1,-1,1),0))))</f>
        <v/>
      </c>
    </row>
    <row r="469" spans="2:10" x14ac:dyDescent="0.25">
      <c r="B469" s="87"/>
      <c r="I469" s="111" t="str">
        <f t="shared" si="9"/>
        <v/>
      </c>
      <c r="J469" s="89" t="str">
        <f>IF(ISBLANK($H469),"",IF(VLOOKUP($H469,'FX Rates'!$A$1:$BQ$152,_xlfn.XMATCH($B469,'FX Rates'!$A$1:$BQ$1,-1,1),0)=0,"No Exch Rate Data",IF($G469=0,"",$G469/VLOOKUP($H469,'FX Rates'!$A$1:$BQ$152,_xlfn.XMATCH($B469,'FX Rates'!$A$1:$BQ$1,-1,1),0))))</f>
        <v/>
      </c>
    </row>
    <row r="470" spans="2:10" x14ac:dyDescent="0.25">
      <c r="B470" s="87"/>
      <c r="I470" s="111" t="str">
        <f t="shared" si="9"/>
        <v/>
      </c>
      <c r="J470" s="89" t="str">
        <f>IF(ISBLANK($H470),"",IF(VLOOKUP($H470,'FX Rates'!$A$1:$BQ$152,_xlfn.XMATCH($B470,'FX Rates'!$A$1:$BQ$1,-1,1),0)=0,"No Exch Rate Data",IF($G470=0,"",$G470/VLOOKUP($H470,'FX Rates'!$A$1:$BQ$152,_xlfn.XMATCH($B470,'FX Rates'!$A$1:$BQ$1,-1,1),0))))</f>
        <v/>
      </c>
    </row>
    <row r="471" spans="2:10" x14ac:dyDescent="0.25">
      <c r="B471" s="87"/>
      <c r="I471" s="111" t="str">
        <f t="shared" si="9"/>
        <v/>
      </c>
      <c r="J471" s="89" t="str">
        <f>IF(ISBLANK($H471),"",IF(VLOOKUP($H471,'FX Rates'!$A$1:$BQ$152,_xlfn.XMATCH($B471,'FX Rates'!$A$1:$BQ$1,-1,1),0)=0,"No Exch Rate Data",IF($G471=0,"",$G471/VLOOKUP($H471,'FX Rates'!$A$1:$BQ$152,_xlfn.XMATCH($B471,'FX Rates'!$A$1:$BQ$1,-1,1),0))))</f>
        <v/>
      </c>
    </row>
    <row r="472" spans="2:10" x14ac:dyDescent="0.25">
      <c r="B472" s="87"/>
      <c r="I472" s="111" t="str">
        <f t="shared" si="9"/>
        <v/>
      </c>
      <c r="J472" s="89" t="str">
        <f>IF(ISBLANK($H472),"",IF(VLOOKUP($H472,'FX Rates'!$A$1:$BQ$152,_xlfn.XMATCH($B472,'FX Rates'!$A$1:$BQ$1,-1,1),0)=0,"No Exch Rate Data",IF($G472=0,"",$G472/VLOOKUP($H472,'FX Rates'!$A$1:$BQ$152,_xlfn.XMATCH($B472,'FX Rates'!$A$1:$BQ$1,-1,1),0))))</f>
        <v/>
      </c>
    </row>
    <row r="473" spans="2:10" x14ac:dyDescent="0.25">
      <c r="B473" s="87"/>
      <c r="I473" s="111" t="str">
        <f t="shared" si="9"/>
        <v/>
      </c>
      <c r="J473" s="89" t="str">
        <f>IF(ISBLANK($H473),"",IF(VLOOKUP($H473,'FX Rates'!$A$1:$BQ$152,_xlfn.XMATCH($B473,'FX Rates'!$A$1:$BQ$1,-1,1),0)=0,"No Exch Rate Data",IF($G473=0,"",$G473/VLOOKUP($H473,'FX Rates'!$A$1:$BQ$152,_xlfn.XMATCH($B473,'FX Rates'!$A$1:$BQ$1,-1,1),0))))</f>
        <v/>
      </c>
    </row>
    <row r="474" spans="2:10" x14ac:dyDescent="0.25">
      <c r="B474" s="87"/>
      <c r="I474" s="111" t="str">
        <f t="shared" si="9"/>
        <v/>
      </c>
      <c r="J474" s="89" t="str">
        <f>IF(ISBLANK($H474),"",IF(VLOOKUP($H474,'FX Rates'!$A$1:$BQ$152,_xlfn.XMATCH($B474,'FX Rates'!$A$1:$BQ$1,-1,1),0)=0,"No Exch Rate Data",IF($G474=0,"",$G474/VLOOKUP($H474,'FX Rates'!$A$1:$BQ$152,_xlfn.XMATCH($B474,'FX Rates'!$A$1:$BQ$1,-1,1),0))))</f>
        <v/>
      </c>
    </row>
    <row r="475" spans="2:10" x14ac:dyDescent="0.25">
      <c r="B475" s="87"/>
      <c r="I475" s="111" t="str">
        <f t="shared" si="9"/>
        <v/>
      </c>
      <c r="J475" s="89" t="str">
        <f>IF(ISBLANK($H475),"",IF(VLOOKUP($H475,'FX Rates'!$A$1:$BQ$152,_xlfn.XMATCH($B475,'FX Rates'!$A$1:$BQ$1,-1,1),0)=0,"No Exch Rate Data",IF($G475=0,"",$G475/VLOOKUP($H475,'FX Rates'!$A$1:$BQ$152,_xlfn.XMATCH($B475,'FX Rates'!$A$1:$BQ$1,-1,1),0))))</f>
        <v/>
      </c>
    </row>
    <row r="476" spans="2:10" x14ac:dyDescent="0.25">
      <c r="B476" s="87"/>
      <c r="I476" s="111" t="str">
        <f t="shared" si="9"/>
        <v/>
      </c>
      <c r="J476" s="89" t="str">
        <f>IF(ISBLANK($H476),"",IF(VLOOKUP($H476,'FX Rates'!$A$1:$BQ$152,_xlfn.XMATCH($B476,'FX Rates'!$A$1:$BQ$1,-1,1),0)=0,"No Exch Rate Data",IF($G476=0,"",$G476/VLOOKUP($H476,'FX Rates'!$A$1:$BQ$152,_xlfn.XMATCH($B476,'FX Rates'!$A$1:$BQ$1,-1,1),0))))</f>
        <v/>
      </c>
    </row>
    <row r="477" spans="2:10" x14ac:dyDescent="0.25">
      <c r="B477" s="87"/>
      <c r="I477" s="111" t="str">
        <f t="shared" si="9"/>
        <v/>
      </c>
      <c r="J477" s="89" t="str">
        <f>IF(ISBLANK($H477),"",IF(VLOOKUP($H477,'FX Rates'!$A$1:$BQ$152,_xlfn.XMATCH($B477,'FX Rates'!$A$1:$BQ$1,-1,1),0)=0,"No Exch Rate Data",IF($G477=0,"",$G477/VLOOKUP($H477,'FX Rates'!$A$1:$BQ$152,_xlfn.XMATCH($B477,'FX Rates'!$A$1:$BQ$1,-1,1),0))))</f>
        <v/>
      </c>
    </row>
    <row r="478" spans="2:10" x14ac:dyDescent="0.25">
      <c r="B478" s="87"/>
      <c r="I478" s="111" t="str">
        <f t="shared" si="9"/>
        <v/>
      </c>
      <c r="J478" s="89" t="str">
        <f>IF(ISBLANK($H478),"",IF(VLOOKUP($H478,'FX Rates'!$A$1:$BQ$152,_xlfn.XMATCH($B478,'FX Rates'!$A$1:$BQ$1,-1,1),0)=0,"No Exch Rate Data",IF($G478=0,"",$G478/VLOOKUP($H478,'FX Rates'!$A$1:$BQ$152,_xlfn.XMATCH($B478,'FX Rates'!$A$1:$BQ$1,-1,1),0))))</f>
        <v/>
      </c>
    </row>
    <row r="479" spans="2:10" x14ac:dyDescent="0.25">
      <c r="B479" s="87"/>
      <c r="I479" s="111" t="str">
        <f t="shared" si="9"/>
        <v/>
      </c>
      <c r="J479" s="89" t="str">
        <f>IF(ISBLANK($H479),"",IF(VLOOKUP($H479,'FX Rates'!$A$1:$BQ$152,_xlfn.XMATCH($B479,'FX Rates'!$A$1:$BQ$1,-1,1),0)=0,"No Exch Rate Data",IF($G479=0,"",$G479/VLOOKUP($H479,'FX Rates'!$A$1:$BQ$152,_xlfn.XMATCH($B479,'FX Rates'!$A$1:$BQ$1,-1,1),0))))</f>
        <v/>
      </c>
    </row>
    <row r="480" spans="2:10" x14ac:dyDescent="0.25">
      <c r="B480" s="87"/>
      <c r="I480" s="111" t="str">
        <f t="shared" si="9"/>
        <v/>
      </c>
      <c r="J480" s="89" t="str">
        <f>IF(ISBLANK($H480),"",IF(VLOOKUP($H480,'FX Rates'!$A$1:$BQ$152,_xlfn.XMATCH($B480,'FX Rates'!$A$1:$BQ$1,-1,1),0)=0,"No Exch Rate Data",IF($G480=0,"",$G480/VLOOKUP($H480,'FX Rates'!$A$1:$BQ$152,_xlfn.XMATCH($B480,'FX Rates'!$A$1:$BQ$1,-1,1),0))))</f>
        <v/>
      </c>
    </row>
    <row r="481" spans="2:10" x14ac:dyDescent="0.25">
      <c r="B481" s="87"/>
      <c r="I481" s="111" t="str">
        <f t="shared" si="9"/>
        <v/>
      </c>
      <c r="J481" s="89" t="str">
        <f>IF(ISBLANK($H481),"",IF(VLOOKUP($H481,'FX Rates'!$A$1:$BQ$152,_xlfn.XMATCH($B481,'FX Rates'!$A$1:$BQ$1,-1,1),0)=0,"No Exch Rate Data",IF($G481=0,"",$G481/VLOOKUP($H481,'FX Rates'!$A$1:$BQ$152,_xlfn.XMATCH($B481,'FX Rates'!$A$1:$BQ$1,-1,1),0))))</f>
        <v/>
      </c>
    </row>
    <row r="482" spans="2:10" x14ac:dyDescent="0.25">
      <c r="B482" s="87"/>
      <c r="I482" s="111" t="str">
        <f t="shared" si="9"/>
        <v/>
      </c>
      <c r="J482" s="89" t="str">
        <f>IF(ISBLANK($H482),"",IF(VLOOKUP($H482,'FX Rates'!$A$1:$BQ$152,_xlfn.XMATCH($B482,'FX Rates'!$A$1:$BQ$1,-1,1),0)=0,"No Exch Rate Data",IF($G482=0,"",$G482/VLOOKUP($H482,'FX Rates'!$A$1:$BQ$152,_xlfn.XMATCH($B482,'FX Rates'!$A$1:$BQ$1,-1,1),0))))</f>
        <v/>
      </c>
    </row>
    <row r="483" spans="2:10" x14ac:dyDescent="0.25">
      <c r="B483" s="87"/>
      <c r="I483" s="111" t="str">
        <f t="shared" si="9"/>
        <v/>
      </c>
      <c r="J483" s="89" t="str">
        <f>IF(ISBLANK($H483),"",IF(VLOOKUP($H483,'FX Rates'!$A$1:$BQ$152,_xlfn.XMATCH($B483,'FX Rates'!$A$1:$BQ$1,-1,1),0)=0,"No Exch Rate Data",IF($G483=0,"",$G483/VLOOKUP($H483,'FX Rates'!$A$1:$BQ$152,_xlfn.XMATCH($B483,'FX Rates'!$A$1:$BQ$1,-1,1),0))))</f>
        <v/>
      </c>
    </row>
    <row r="484" spans="2:10" x14ac:dyDescent="0.25">
      <c r="B484" s="87"/>
      <c r="I484" s="111" t="str">
        <f t="shared" si="9"/>
        <v/>
      </c>
      <c r="J484" s="89" t="str">
        <f>IF(ISBLANK($H484),"",IF(VLOOKUP($H484,'FX Rates'!$A$1:$BQ$152,_xlfn.XMATCH($B484,'FX Rates'!$A$1:$BQ$1,-1,1),0)=0,"No Exch Rate Data",IF($G484=0,"",$G484/VLOOKUP($H484,'FX Rates'!$A$1:$BQ$152,_xlfn.XMATCH($B484,'FX Rates'!$A$1:$BQ$1,-1,1),0))))</f>
        <v/>
      </c>
    </row>
    <row r="485" spans="2:10" x14ac:dyDescent="0.25">
      <c r="B485" s="87"/>
      <c r="I485" s="111" t="str">
        <f t="shared" si="9"/>
        <v/>
      </c>
      <c r="J485" s="89" t="str">
        <f>IF(ISBLANK($H485),"",IF(VLOOKUP($H485,'FX Rates'!$A$1:$BQ$152,_xlfn.XMATCH($B485,'FX Rates'!$A$1:$BQ$1,-1,1),0)=0,"No Exch Rate Data",IF($G485=0,"",$G485/VLOOKUP($H485,'FX Rates'!$A$1:$BQ$152,_xlfn.XMATCH($B485,'FX Rates'!$A$1:$BQ$1,-1,1),0))))</f>
        <v/>
      </c>
    </row>
    <row r="486" spans="2:10" x14ac:dyDescent="0.25">
      <c r="B486" s="87"/>
      <c r="I486" s="111" t="str">
        <f t="shared" si="9"/>
        <v/>
      </c>
      <c r="J486" s="89" t="str">
        <f>IF(ISBLANK($H486),"",IF(VLOOKUP($H486,'FX Rates'!$A$1:$BQ$152,_xlfn.XMATCH($B486,'FX Rates'!$A$1:$BQ$1,-1,1),0)=0,"No Exch Rate Data",IF($G486=0,"",$G486/VLOOKUP($H486,'FX Rates'!$A$1:$BQ$152,_xlfn.XMATCH($B486,'FX Rates'!$A$1:$BQ$1,-1,1),0))))</f>
        <v/>
      </c>
    </row>
    <row r="487" spans="2:10" x14ac:dyDescent="0.25">
      <c r="B487" s="87"/>
      <c r="I487" s="111" t="str">
        <f t="shared" si="9"/>
        <v/>
      </c>
      <c r="J487" s="89" t="str">
        <f>IF(ISBLANK($H487),"",IF(VLOOKUP($H487,'FX Rates'!$A$1:$BQ$152,_xlfn.XMATCH($B487,'FX Rates'!$A$1:$BQ$1,-1,1),0)=0,"No Exch Rate Data",IF($G487=0,"",$G487/VLOOKUP($H487,'FX Rates'!$A$1:$BQ$152,_xlfn.XMATCH($B487,'FX Rates'!$A$1:$BQ$1,-1,1),0))))</f>
        <v/>
      </c>
    </row>
    <row r="488" spans="2:10" x14ac:dyDescent="0.25">
      <c r="B488" s="87"/>
      <c r="I488" s="111" t="str">
        <f t="shared" si="9"/>
        <v/>
      </c>
      <c r="J488" s="89" t="str">
        <f>IF(ISBLANK($H488),"",IF(VLOOKUP($H488,'FX Rates'!$A$1:$BQ$152,_xlfn.XMATCH($B488,'FX Rates'!$A$1:$BQ$1,-1,1),0)=0,"No Exch Rate Data",IF($G488=0,"",$G488/VLOOKUP($H488,'FX Rates'!$A$1:$BQ$152,_xlfn.XMATCH($B488,'FX Rates'!$A$1:$BQ$1,-1,1),0))))</f>
        <v/>
      </c>
    </row>
    <row r="489" spans="2:10" x14ac:dyDescent="0.25">
      <c r="B489" s="87"/>
      <c r="I489" s="111" t="str">
        <f t="shared" si="9"/>
        <v/>
      </c>
      <c r="J489" s="89" t="str">
        <f>IF(ISBLANK($H489),"",IF(VLOOKUP($H489,'FX Rates'!$A$1:$BQ$152,_xlfn.XMATCH($B489,'FX Rates'!$A$1:$BQ$1,-1,1),0)=0,"No Exch Rate Data",IF($G489=0,"",$G489/VLOOKUP($H489,'FX Rates'!$A$1:$BQ$152,_xlfn.XMATCH($B489,'FX Rates'!$A$1:$BQ$1,-1,1),0))))</f>
        <v/>
      </c>
    </row>
    <row r="490" spans="2:10" x14ac:dyDescent="0.25">
      <c r="B490" s="87"/>
      <c r="I490" s="111" t="str">
        <f t="shared" ref="I490:I553" si="10">IF(ISBLANK($D490),"",_xlfn.XLOOKUP($D490,Item_List,Time_Span,"",0))</f>
        <v/>
      </c>
      <c r="J490" s="89" t="str">
        <f>IF(ISBLANK($H490),"",IF(VLOOKUP($H490,'FX Rates'!$A$1:$BQ$152,_xlfn.XMATCH($B490,'FX Rates'!$A$1:$BQ$1,-1,1),0)=0,"No Exch Rate Data",IF($G490=0,"",$G490/VLOOKUP($H490,'FX Rates'!$A$1:$BQ$152,_xlfn.XMATCH($B490,'FX Rates'!$A$1:$BQ$1,-1,1),0))))</f>
        <v/>
      </c>
    </row>
    <row r="491" spans="2:10" x14ac:dyDescent="0.25">
      <c r="B491" s="87"/>
      <c r="I491" s="111" t="str">
        <f t="shared" si="10"/>
        <v/>
      </c>
      <c r="J491" s="89" t="str">
        <f>IF(ISBLANK($H491),"",IF(VLOOKUP($H491,'FX Rates'!$A$1:$BQ$152,_xlfn.XMATCH($B491,'FX Rates'!$A$1:$BQ$1,-1,1),0)=0,"No Exch Rate Data",IF($G491=0,"",$G491/VLOOKUP($H491,'FX Rates'!$A$1:$BQ$152,_xlfn.XMATCH($B491,'FX Rates'!$A$1:$BQ$1,-1,1),0))))</f>
        <v/>
      </c>
    </row>
    <row r="492" spans="2:10" x14ac:dyDescent="0.25">
      <c r="B492" s="87"/>
      <c r="I492" s="111" t="str">
        <f t="shared" si="10"/>
        <v/>
      </c>
      <c r="J492" s="89" t="str">
        <f>IF(ISBLANK($H492),"",IF(VLOOKUP($H492,'FX Rates'!$A$1:$BQ$152,_xlfn.XMATCH($B492,'FX Rates'!$A$1:$BQ$1,-1,1),0)=0,"No Exch Rate Data",IF($G492=0,"",$G492/VLOOKUP($H492,'FX Rates'!$A$1:$BQ$152,_xlfn.XMATCH($B492,'FX Rates'!$A$1:$BQ$1,-1,1),0))))</f>
        <v/>
      </c>
    </row>
    <row r="493" spans="2:10" x14ac:dyDescent="0.25">
      <c r="B493" s="87"/>
      <c r="I493" s="111" t="str">
        <f t="shared" si="10"/>
        <v/>
      </c>
      <c r="J493" s="89" t="str">
        <f>IF(ISBLANK($H493),"",IF(VLOOKUP($H493,'FX Rates'!$A$1:$BQ$152,_xlfn.XMATCH($B493,'FX Rates'!$A$1:$BQ$1,-1,1),0)=0,"No Exch Rate Data",IF($G493=0,"",$G493/VLOOKUP($H493,'FX Rates'!$A$1:$BQ$152,_xlfn.XMATCH($B493,'FX Rates'!$A$1:$BQ$1,-1,1),0))))</f>
        <v/>
      </c>
    </row>
    <row r="494" spans="2:10" x14ac:dyDescent="0.25">
      <c r="B494" s="87"/>
      <c r="I494" s="111" t="str">
        <f t="shared" si="10"/>
        <v/>
      </c>
      <c r="J494" s="89" t="str">
        <f>IF(ISBLANK($H494),"",IF(VLOOKUP($H494,'FX Rates'!$A$1:$BQ$152,_xlfn.XMATCH($B494,'FX Rates'!$A$1:$BQ$1,-1,1),0)=0,"No Exch Rate Data",IF($G494=0,"",$G494/VLOOKUP($H494,'FX Rates'!$A$1:$BQ$152,_xlfn.XMATCH($B494,'FX Rates'!$A$1:$BQ$1,-1,1),0))))</f>
        <v/>
      </c>
    </row>
    <row r="495" spans="2:10" x14ac:dyDescent="0.25">
      <c r="B495" s="87"/>
      <c r="I495" s="111" t="str">
        <f t="shared" si="10"/>
        <v/>
      </c>
      <c r="J495" s="89" t="str">
        <f>IF(ISBLANK($H495),"",IF(VLOOKUP($H495,'FX Rates'!$A$1:$BQ$152,_xlfn.XMATCH($B495,'FX Rates'!$A$1:$BQ$1,-1,1),0)=0,"No Exch Rate Data",IF($G495=0,"",$G495/VLOOKUP($H495,'FX Rates'!$A$1:$BQ$152,_xlfn.XMATCH($B495,'FX Rates'!$A$1:$BQ$1,-1,1),0))))</f>
        <v/>
      </c>
    </row>
    <row r="496" spans="2:10" x14ac:dyDescent="0.25">
      <c r="B496" s="87"/>
      <c r="I496" s="111" t="str">
        <f t="shared" si="10"/>
        <v/>
      </c>
      <c r="J496" s="89" t="str">
        <f>IF(ISBLANK($H496),"",IF(VLOOKUP($H496,'FX Rates'!$A$1:$BQ$152,_xlfn.XMATCH($B496,'FX Rates'!$A$1:$BQ$1,-1,1),0)=0,"No Exch Rate Data",IF($G496=0,"",$G496/VLOOKUP($H496,'FX Rates'!$A$1:$BQ$152,_xlfn.XMATCH($B496,'FX Rates'!$A$1:$BQ$1,-1,1),0))))</f>
        <v/>
      </c>
    </row>
    <row r="497" spans="2:10" x14ac:dyDescent="0.25">
      <c r="B497" s="87"/>
      <c r="I497" s="111" t="str">
        <f t="shared" si="10"/>
        <v/>
      </c>
      <c r="J497" s="89" t="str">
        <f>IF(ISBLANK($H497),"",IF(VLOOKUP($H497,'FX Rates'!$A$1:$BQ$152,_xlfn.XMATCH($B497,'FX Rates'!$A$1:$BQ$1,-1,1),0)=0,"No Exch Rate Data",IF($G497=0,"",$G497/VLOOKUP($H497,'FX Rates'!$A$1:$BQ$152,_xlfn.XMATCH($B497,'FX Rates'!$A$1:$BQ$1,-1,1),0))))</f>
        <v/>
      </c>
    </row>
    <row r="498" spans="2:10" x14ac:dyDescent="0.25">
      <c r="B498" s="87"/>
      <c r="I498" s="111" t="str">
        <f t="shared" si="10"/>
        <v/>
      </c>
      <c r="J498" s="89" t="str">
        <f>IF(ISBLANK($H498),"",IF(VLOOKUP($H498,'FX Rates'!$A$1:$BQ$152,_xlfn.XMATCH($B498,'FX Rates'!$A$1:$BQ$1,-1,1),0)=0,"No Exch Rate Data",IF($G498=0,"",$G498/VLOOKUP($H498,'FX Rates'!$A$1:$BQ$152,_xlfn.XMATCH($B498,'FX Rates'!$A$1:$BQ$1,-1,1),0))))</f>
        <v/>
      </c>
    </row>
    <row r="499" spans="2:10" x14ac:dyDescent="0.25">
      <c r="B499" s="87"/>
      <c r="I499" s="111" t="str">
        <f t="shared" si="10"/>
        <v/>
      </c>
      <c r="J499" s="89" t="str">
        <f>IF(ISBLANK($H499),"",IF(VLOOKUP($H499,'FX Rates'!$A$1:$BQ$152,_xlfn.XMATCH($B499,'FX Rates'!$A$1:$BQ$1,-1,1),0)=0,"No Exch Rate Data",IF($G499=0,"",$G499/VLOOKUP($H499,'FX Rates'!$A$1:$BQ$152,_xlfn.XMATCH($B499,'FX Rates'!$A$1:$BQ$1,-1,1),0))))</f>
        <v/>
      </c>
    </row>
    <row r="500" spans="2:10" x14ac:dyDescent="0.25">
      <c r="B500" s="87"/>
      <c r="I500" s="111" t="str">
        <f t="shared" si="10"/>
        <v/>
      </c>
      <c r="J500" s="89" t="str">
        <f>IF(ISBLANK($H500),"",IF(VLOOKUP($H500,'FX Rates'!$A$1:$BQ$152,_xlfn.XMATCH($B500,'FX Rates'!$A$1:$BQ$1,-1,1),0)=0,"No Exch Rate Data",IF($G500=0,"",$G500/VLOOKUP($H500,'FX Rates'!$A$1:$BQ$152,_xlfn.XMATCH($B500,'FX Rates'!$A$1:$BQ$1,-1,1),0))))</f>
        <v/>
      </c>
    </row>
    <row r="501" spans="2:10" x14ac:dyDescent="0.25">
      <c r="B501" s="87"/>
      <c r="I501" s="111" t="str">
        <f t="shared" si="10"/>
        <v/>
      </c>
      <c r="J501" s="89" t="str">
        <f>IF(ISBLANK($H501),"",IF(VLOOKUP($H501,'FX Rates'!$A$1:$BQ$152,_xlfn.XMATCH($B501,'FX Rates'!$A$1:$BQ$1,-1,1),0)=0,"No Exch Rate Data",IF($G501=0,"",$G501/VLOOKUP($H501,'FX Rates'!$A$1:$BQ$152,_xlfn.XMATCH($B501,'FX Rates'!$A$1:$BQ$1,-1,1),0))))</f>
        <v/>
      </c>
    </row>
    <row r="502" spans="2:10" x14ac:dyDescent="0.25">
      <c r="B502" s="87"/>
      <c r="I502" s="111" t="str">
        <f t="shared" si="10"/>
        <v/>
      </c>
      <c r="J502" s="89" t="str">
        <f>IF(ISBLANK($H502),"",IF(VLOOKUP($H502,'FX Rates'!$A$1:$BQ$152,_xlfn.XMATCH($B502,'FX Rates'!$A$1:$BQ$1,-1,1),0)=0,"No Exch Rate Data",IF($G502=0,"",$G502/VLOOKUP($H502,'FX Rates'!$A$1:$BQ$152,_xlfn.XMATCH($B502,'FX Rates'!$A$1:$BQ$1,-1,1),0))))</f>
        <v/>
      </c>
    </row>
    <row r="503" spans="2:10" x14ac:dyDescent="0.25">
      <c r="B503" s="87"/>
      <c r="I503" s="111" t="str">
        <f t="shared" si="10"/>
        <v/>
      </c>
      <c r="J503" s="89" t="str">
        <f>IF(ISBLANK($H503),"",IF(VLOOKUP($H503,'FX Rates'!$A$1:$BQ$152,_xlfn.XMATCH($B503,'FX Rates'!$A$1:$BQ$1,-1,1),0)=0,"No Exch Rate Data",IF($G503=0,"",$G503/VLOOKUP($H503,'FX Rates'!$A$1:$BQ$152,_xlfn.XMATCH($B503,'FX Rates'!$A$1:$BQ$1,-1,1),0))))</f>
        <v/>
      </c>
    </row>
    <row r="504" spans="2:10" x14ac:dyDescent="0.25">
      <c r="B504" s="87"/>
      <c r="I504" s="111" t="str">
        <f t="shared" si="10"/>
        <v/>
      </c>
      <c r="J504" s="89" t="str">
        <f>IF(ISBLANK($H504),"",IF(VLOOKUP($H504,'FX Rates'!$A$1:$BQ$152,_xlfn.XMATCH($B504,'FX Rates'!$A$1:$BQ$1,-1,1),0)=0,"No Exch Rate Data",IF($G504=0,"",$G504/VLOOKUP($H504,'FX Rates'!$A$1:$BQ$152,_xlfn.XMATCH($B504,'FX Rates'!$A$1:$BQ$1,-1,1),0))))</f>
        <v/>
      </c>
    </row>
    <row r="505" spans="2:10" x14ac:dyDescent="0.25">
      <c r="B505" s="87"/>
      <c r="I505" s="111" t="str">
        <f t="shared" si="10"/>
        <v/>
      </c>
      <c r="J505" s="89" t="str">
        <f>IF(ISBLANK($H505),"",IF(VLOOKUP($H505,'FX Rates'!$A$1:$BQ$152,_xlfn.XMATCH($B505,'FX Rates'!$A$1:$BQ$1,-1,1),0)=0,"No Exch Rate Data",IF($G505=0,"",$G505/VLOOKUP($H505,'FX Rates'!$A$1:$BQ$152,_xlfn.XMATCH($B505,'FX Rates'!$A$1:$BQ$1,-1,1),0))))</f>
        <v/>
      </c>
    </row>
    <row r="506" spans="2:10" x14ac:dyDescent="0.25">
      <c r="B506" s="87"/>
      <c r="I506" s="111" t="str">
        <f t="shared" si="10"/>
        <v/>
      </c>
      <c r="J506" s="89" t="str">
        <f>IF(ISBLANK($H506),"",IF(VLOOKUP($H506,'FX Rates'!$A$1:$BQ$152,_xlfn.XMATCH($B506,'FX Rates'!$A$1:$BQ$1,-1,1),0)=0,"No Exch Rate Data",IF($G506=0,"",$G506/VLOOKUP($H506,'FX Rates'!$A$1:$BQ$152,_xlfn.XMATCH($B506,'FX Rates'!$A$1:$BQ$1,-1,1),0))))</f>
        <v/>
      </c>
    </row>
    <row r="507" spans="2:10" x14ac:dyDescent="0.25">
      <c r="B507" s="87"/>
      <c r="I507" s="111" t="str">
        <f t="shared" si="10"/>
        <v/>
      </c>
      <c r="J507" s="89" t="str">
        <f>IF(ISBLANK($H507),"",IF(VLOOKUP($H507,'FX Rates'!$A$1:$BQ$152,_xlfn.XMATCH($B507,'FX Rates'!$A$1:$BQ$1,-1,1),0)=0,"No Exch Rate Data",IF($G507=0,"",$G507/VLOOKUP($H507,'FX Rates'!$A$1:$BQ$152,_xlfn.XMATCH($B507,'FX Rates'!$A$1:$BQ$1,-1,1),0))))</f>
        <v/>
      </c>
    </row>
    <row r="508" spans="2:10" x14ac:dyDescent="0.25">
      <c r="B508" s="87"/>
      <c r="I508" s="111" t="str">
        <f t="shared" si="10"/>
        <v/>
      </c>
      <c r="J508" s="89" t="str">
        <f>IF(ISBLANK($H508),"",IF(VLOOKUP($H508,'FX Rates'!$A$1:$BQ$152,_xlfn.XMATCH($B508,'FX Rates'!$A$1:$BQ$1,-1,1),0)=0,"No Exch Rate Data",IF($G508=0,"",$G508/VLOOKUP($H508,'FX Rates'!$A$1:$BQ$152,_xlfn.XMATCH($B508,'FX Rates'!$A$1:$BQ$1,-1,1),0))))</f>
        <v/>
      </c>
    </row>
    <row r="509" spans="2:10" x14ac:dyDescent="0.25">
      <c r="B509" s="87"/>
      <c r="I509" s="111" t="str">
        <f t="shared" si="10"/>
        <v/>
      </c>
      <c r="J509" s="89" t="str">
        <f>IF(ISBLANK($H509),"",IF(VLOOKUP($H509,'FX Rates'!$A$1:$BQ$152,_xlfn.XMATCH($B509,'FX Rates'!$A$1:$BQ$1,-1,1),0)=0,"No Exch Rate Data",IF($G509=0,"",$G509/VLOOKUP($H509,'FX Rates'!$A$1:$BQ$152,_xlfn.XMATCH($B509,'FX Rates'!$A$1:$BQ$1,-1,1),0))))</f>
        <v/>
      </c>
    </row>
    <row r="510" spans="2:10" x14ac:dyDescent="0.25">
      <c r="B510" s="87"/>
      <c r="I510" s="111" t="str">
        <f t="shared" si="10"/>
        <v/>
      </c>
      <c r="J510" s="89" t="str">
        <f>IF(ISBLANK($H510),"",IF(VLOOKUP($H510,'FX Rates'!$A$1:$BQ$152,_xlfn.XMATCH($B510,'FX Rates'!$A$1:$BQ$1,-1,1),0)=0,"No Exch Rate Data",IF($G510=0,"",$G510/VLOOKUP($H510,'FX Rates'!$A$1:$BQ$152,_xlfn.XMATCH($B510,'FX Rates'!$A$1:$BQ$1,-1,1),0))))</f>
        <v/>
      </c>
    </row>
    <row r="511" spans="2:10" x14ac:dyDescent="0.25">
      <c r="B511" s="87"/>
      <c r="I511" s="111" t="str">
        <f t="shared" si="10"/>
        <v/>
      </c>
      <c r="J511" s="89" t="str">
        <f>IF(ISBLANK($H511),"",IF(VLOOKUP($H511,'FX Rates'!$A$1:$BQ$152,_xlfn.XMATCH($B511,'FX Rates'!$A$1:$BQ$1,-1,1),0)=0,"No Exch Rate Data",IF($G511=0,"",$G511/VLOOKUP($H511,'FX Rates'!$A$1:$BQ$152,_xlfn.XMATCH($B511,'FX Rates'!$A$1:$BQ$1,-1,1),0))))</f>
        <v/>
      </c>
    </row>
    <row r="512" spans="2:10" x14ac:dyDescent="0.25">
      <c r="B512" s="87"/>
      <c r="I512" s="111" t="str">
        <f t="shared" si="10"/>
        <v/>
      </c>
      <c r="J512" s="89" t="str">
        <f>IF(ISBLANK($H512),"",IF(VLOOKUP($H512,'FX Rates'!$A$1:$BQ$152,_xlfn.XMATCH($B512,'FX Rates'!$A$1:$BQ$1,-1,1),0)=0,"No Exch Rate Data",IF($G512=0,"",$G512/VLOOKUP($H512,'FX Rates'!$A$1:$BQ$152,_xlfn.XMATCH($B512,'FX Rates'!$A$1:$BQ$1,-1,1),0))))</f>
        <v/>
      </c>
    </row>
    <row r="513" spans="2:10" x14ac:dyDescent="0.25">
      <c r="B513" s="87"/>
      <c r="I513" s="111" t="str">
        <f t="shared" si="10"/>
        <v/>
      </c>
      <c r="J513" s="89" t="str">
        <f>IF(ISBLANK($H513),"",IF(VLOOKUP($H513,'FX Rates'!$A$1:$BQ$152,_xlfn.XMATCH($B513,'FX Rates'!$A$1:$BQ$1,-1,1),0)=0,"No Exch Rate Data",IF($G513=0,"",$G513/VLOOKUP($H513,'FX Rates'!$A$1:$BQ$152,_xlfn.XMATCH($B513,'FX Rates'!$A$1:$BQ$1,-1,1),0))))</f>
        <v/>
      </c>
    </row>
    <row r="514" spans="2:10" x14ac:dyDescent="0.25">
      <c r="B514" s="87"/>
      <c r="I514" s="111" t="str">
        <f t="shared" si="10"/>
        <v/>
      </c>
      <c r="J514" s="89" t="str">
        <f>IF(ISBLANK($H514),"",IF(VLOOKUP($H514,'FX Rates'!$A$1:$BQ$152,_xlfn.XMATCH($B514,'FX Rates'!$A$1:$BQ$1,-1,1),0)=0,"No Exch Rate Data",IF($G514=0,"",$G514/VLOOKUP($H514,'FX Rates'!$A$1:$BQ$152,_xlfn.XMATCH($B514,'FX Rates'!$A$1:$BQ$1,-1,1),0))))</f>
        <v/>
      </c>
    </row>
    <row r="515" spans="2:10" x14ac:dyDescent="0.25">
      <c r="B515" s="87"/>
      <c r="I515" s="111" t="str">
        <f t="shared" si="10"/>
        <v/>
      </c>
      <c r="J515" s="89" t="str">
        <f>IF(ISBLANK($H515),"",IF(VLOOKUP($H515,'FX Rates'!$A$1:$BQ$152,_xlfn.XMATCH($B515,'FX Rates'!$A$1:$BQ$1,-1,1),0)=0,"No Exch Rate Data",IF($G515=0,"",$G515/VLOOKUP($H515,'FX Rates'!$A$1:$BQ$152,_xlfn.XMATCH($B515,'FX Rates'!$A$1:$BQ$1,-1,1),0))))</f>
        <v/>
      </c>
    </row>
    <row r="516" spans="2:10" x14ac:dyDescent="0.25">
      <c r="B516" s="87"/>
      <c r="I516" s="111" t="str">
        <f t="shared" si="10"/>
        <v/>
      </c>
      <c r="J516" s="89" t="str">
        <f>IF(ISBLANK($H516),"",IF(VLOOKUP($H516,'FX Rates'!$A$1:$BQ$152,_xlfn.XMATCH($B516,'FX Rates'!$A$1:$BQ$1,-1,1),0)=0,"No Exch Rate Data",IF($G516=0,"",$G516/VLOOKUP($H516,'FX Rates'!$A$1:$BQ$152,_xlfn.XMATCH($B516,'FX Rates'!$A$1:$BQ$1,-1,1),0))))</f>
        <v/>
      </c>
    </row>
    <row r="517" spans="2:10" x14ac:dyDescent="0.25">
      <c r="B517" s="87"/>
      <c r="I517" s="111" t="str">
        <f t="shared" si="10"/>
        <v/>
      </c>
      <c r="J517" s="89" t="str">
        <f>IF(ISBLANK($H517),"",IF(VLOOKUP($H517,'FX Rates'!$A$1:$BQ$152,_xlfn.XMATCH($B517,'FX Rates'!$A$1:$BQ$1,-1,1),0)=0,"No Exch Rate Data",IF($G517=0,"",$G517/VLOOKUP($H517,'FX Rates'!$A$1:$BQ$152,_xlfn.XMATCH($B517,'FX Rates'!$A$1:$BQ$1,-1,1),0))))</f>
        <v/>
      </c>
    </row>
    <row r="518" spans="2:10" x14ac:dyDescent="0.25">
      <c r="B518" s="87"/>
      <c r="I518" s="111" t="str">
        <f t="shared" si="10"/>
        <v/>
      </c>
      <c r="J518" s="89" t="str">
        <f>IF(ISBLANK($H518),"",IF(VLOOKUP($H518,'FX Rates'!$A$1:$BQ$152,_xlfn.XMATCH($B518,'FX Rates'!$A$1:$BQ$1,-1,1),0)=0,"No Exch Rate Data",IF($G518=0,"",$G518/VLOOKUP($H518,'FX Rates'!$A$1:$BQ$152,_xlfn.XMATCH($B518,'FX Rates'!$A$1:$BQ$1,-1,1),0))))</f>
        <v/>
      </c>
    </row>
    <row r="519" spans="2:10" x14ac:dyDescent="0.25">
      <c r="B519" s="87"/>
      <c r="I519" s="111" t="str">
        <f t="shared" si="10"/>
        <v/>
      </c>
      <c r="J519" s="89" t="str">
        <f>IF(ISBLANK($H519),"",IF(VLOOKUP($H519,'FX Rates'!$A$1:$BQ$152,_xlfn.XMATCH($B519,'FX Rates'!$A$1:$BQ$1,-1,1),0)=0,"No Exch Rate Data",IF($G519=0,"",$G519/VLOOKUP($H519,'FX Rates'!$A$1:$BQ$152,_xlfn.XMATCH($B519,'FX Rates'!$A$1:$BQ$1,-1,1),0))))</f>
        <v/>
      </c>
    </row>
    <row r="520" spans="2:10" x14ac:dyDescent="0.25">
      <c r="B520" s="87"/>
      <c r="I520" s="111" t="str">
        <f t="shared" si="10"/>
        <v/>
      </c>
      <c r="J520" s="89" t="str">
        <f>IF(ISBLANK($H520),"",IF(VLOOKUP($H520,'FX Rates'!$A$1:$BQ$152,_xlfn.XMATCH($B520,'FX Rates'!$A$1:$BQ$1,-1,1),0)=0,"No Exch Rate Data",IF($G520=0,"",$G520/VLOOKUP($H520,'FX Rates'!$A$1:$BQ$152,_xlfn.XMATCH($B520,'FX Rates'!$A$1:$BQ$1,-1,1),0))))</f>
        <v/>
      </c>
    </row>
    <row r="521" spans="2:10" x14ac:dyDescent="0.25">
      <c r="B521" s="87"/>
      <c r="I521" s="111" t="str">
        <f t="shared" si="10"/>
        <v/>
      </c>
      <c r="J521" s="89" t="str">
        <f>IF(ISBLANK($H521),"",IF(VLOOKUP($H521,'FX Rates'!$A$1:$BQ$152,_xlfn.XMATCH($B521,'FX Rates'!$A$1:$BQ$1,-1,1),0)=0,"No Exch Rate Data",IF($G521=0,"",$G521/VLOOKUP($H521,'FX Rates'!$A$1:$BQ$152,_xlfn.XMATCH($B521,'FX Rates'!$A$1:$BQ$1,-1,1),0))))</f>
        <v/>
      </c>
    </row>
    <row r="522" spans="2:10" x14ac:dyDescent="0.25">
      <c r="B522" s="87"/>
      <c r="I522" s="111" t="str">
        <f t="shared" si="10"/>
        <v/>
      </c>
      <c r="J522" s="89" t="str">
        <f>IF(ISBLANK($H522),"",IF(VLOOKUP($H522,'FX Rates'!$A$1:$BQ$152,_xlfn.XMATCH($B522,'FX Rates'!$A$1:$BQ$1,-1,1),0)=0,"No Exch Rate Data",IF($G522=0,"",$G522/VLOOKUP($H522,'FX Rates'!$A$1:$BQ$152,_xlfn.XMATCH($B522,'FX Rates'!$A$1:$BQ$1,-1,1),0))))</f>
        <v/>
      </c>
    </row>
    <row r="523" spans="2:10" x14ac:dyDescent="0.25">
      <c r="B523" s="87"/>
      <c r="I523" s="111" t="str">
        <f t="shared" si="10"/>
        <v/>
      </c>
      <c r="J523" s="89" t="str">
        <f>IF(ISBLANK($H523),"",IF(VLOOKUP($H523,'FX Rates'!$A$1:$BQ$152,_xlfn.XMATCH($B523,'FX Rates'!$A$1:$BQ$1,-1,1),0)=0,"No Exch Rate Data",IF($G523=0,"",$G523/VLOOKUP($H523,'FX Rates'!$A$1:$BQ$152,_xlfn.XMATCH($B523,'FX Rates'!$A$1:$BQ$1,-1,1),0))))</f>
        <v/>
      </c>
    </row>
    <row r="524" spans="2:10" x14ac:dyDescent="0.25">
      <c r="B524" s="87"/>
      <c r="I524" s="111" t="str">
        <f t="shared" si="10"/>
        <v/>
      </c>
      <c r="J524" s="89" t="str">
        <f>IF(ISBLANK($H524),"",IF(VLOOKUP($H524,'FX Rates'!$A$1:$BQ$152,_xlfn.XMATCH($B524,'FX Rates'!$A$1:$BQ$1,-1,1),0)=0,"No Exch Rate Data",IF($G524=0,"",$G524/VLOOKUP($H524,'FX Rates'!$A$1:$BQ$152,_xlfn.XMATCH($B524,'FX Rates'!$A$1:$BQ$1,-1,1),0))))</f>
        <v/>
      </c>
    </row>
    <row r="525" spans="2:10" x14ac:dyDescent="0.25">
      <c r="B525" s="87"/>
      <c r="I525" s="111" t="str">
        <f t="shared" si="10"/>
        <v/>
      </c>
      <c r="J525" s="89" t="str">
        <f>IF(ISBLANK($H525),"",IF(VLOOKUP($H525,'FX Rates'!$A$1:$BQ$152,_xlfn.XMATCH($B525,'FX Rates'!$A$1:$BQ$1,-1,1),0)=0,"No Exch Rate Data",IF($G525=0,"",$G525/VLOOKUP($H525,'FX Rates'!$A$1:$BQ$152,_xlfn.XMATCH($B525,'FX Rates'!$A$1:$BQ$1,-1,1),0))))</f>
        <v/>
      </c>
    </row>
    <row r="526" spans="2:10" x14ac:dyDescent="0.25">
      <c r="B526" s="87"/>
      <c r="I526" s="111" t="str">
        <f t="shared" si="10"/>
        <v/>
      </c>
      <c r="J526" s="89" t="str">
        <f>IF(ISBLANK($H526),"",IF(VLOOKUP($H526,'FX Rates'!$A$1:$BQ$152,_xlfn.XMATCH($B526,'FX Rates'!$A$1:$BQ$1,-1,1),0)=0,"No Exch Rate Data",IF($G526=0,"",$G526/VLOOKUP($H526,'FX Rates'!$A$1:$BQ$152,_xlfn.XMATCH($B526,'FX Rates'!$A$1:$BQ$1,-1,1),0))))</f>
        <v/>
      </c>
    </row>
    <row r="527" spans="2:10" x14ac:dyDescent="0.25">
      <c r="B527" s="87"/>
      <c r="I527" s="111" t="str">
        <f t="shared" si="10"/>
        <v/>
      </c>
      <c r="J527" s="89" t="str">
        <f>IF(ISBLANK($H527),"",IF(VLOOKUP($H527,'FX Rates'!$A$1:$BQ$152,_xlfn.XMATCH($B527,'FX Rates'!$A$1:$BQ$1,-1,1),0)=0,"No Exch Rate Data",IF($G527=0,"",$G527/VLOOKUP($H527,'FX Rates'!$A$1:$BQ$152,_xlfn.XMATCH($B527,'FX Rates'!$A$1:$BQ$1,-1,1),0))))</f>
        <v/>
      </c>
    </row>
    <row r="528" spans="2:10" x14ac:dyDescent="0.25">
      <c r="B528" s="87"/>
      <c r="I528" s="111" t="str">
        <f t="shared" si="10"/>
        <v/>
      </c>
      <c r="J528" s="89" t="str">
        <f>IF(ISBLANK($H528),"",IF(VLOOKUP($H528,'FX Rates'!$A$1:$BQ$152,_xlfn.XMATCH($B528,'FX Rates'!$A$1:$BQ$1,-1,1),0)=0,"No Exch Rate Data",IF($G528=0,"",$G528/VLOOKUP($H528,'FX Rates'!$A$1:$BQ$152,_xlfn.XMATCH($B528,'FX Rates'!$A$1:$BQ$1,-1,1),0))))</f>
        <v/>
      </c>
    </row>
    <row r="529" spans="2:10" x14ac:dyDescent="0.25">
      <c r="B529" s="87"/>
      <c r="I529" s="111" t="str">
        <f t="shared" si="10"/>
        <v/>
      </c>
      <c r="J529" s="89" t="str">
        <f>IF(ISBLANK($H529),"",IF(VLOOKUP($H529,'FX Rates'!$A$1:$BQ$152,_xlfn.XMATCH($B529,'FX Rates'!$A$1:$BQ$1,-1,1),0)=0,"No Exch Rate Data",IF($G529=0,"",$G529/VLOOKUP($H529,'FX Rates'!$A$1:$BQ$152,_xlfn.XMATCH($B529,'FX Rates'!$A$1:$BQ$1,-1,1),0))))</f>
        <v/>
      </c>
    </row>
    <row r="530" spans="2:10" x14ac:dyDescent="0.25">
      <c r="B530" s="87"/>
      <c r="I530" s="111" t="str">
        <f t="shared" si="10"/>
        <v/>
      </c>
      <c r="J530" s="89" t="str">
        <f>IF(ISBLANK($H530),"",IF(VLOOKUP($H530,'FX Rates'!$A$1:$BQ$152,_xlfn.XMATCH($B530,'FX Rates'!$A$1:$BQ$1,-1,1),0)=0,"No Exch Rate Data",IF($G530=0,"",$G530/VLOOKUP($H530,'FX Rates'!$A$1:$BQ$152,_xlfn.XMATCH($B530,'FX Rates'!$A$1:$BQ$1,-1,1),0))))</f>
        <v/>
      </c>
    </row>
    <row r="531" spans="2:10" x14ac:dyDescent="0.25">
      <c r="B531" s="87"/>
      <c r="I531" s="111" t="str">
        <f t="shared" si="10"/>
        <v/>
      </c>
      <c r="J531" s="89" t="str">
        <f>IF(ISBLANK($H531),"",IF(VLOOKUP($H531,'FX Rates'!$A$1:$BQ$152,_xlfn.XMATCH($B531,'FX Rates'!$A$1:$BQ$1,-1,1),0)=0,"No Exch Rate Data",IF($G531=0,"",$G531/VLOOKUP($H531,'FX Rates'!$A$1:$BQ$152,_xlfn.XMATCH($B531,'FX Rates'!$A$1:$BQ$1,-1,1),0))))</f>
        <v/>
      </c>
    </row>
    <row r="532" spans="2:10" x14ac:dyDescent="0.25">
      <c r="B532" s="87"/>
      <c r="I532" s="111" t="str">
        <f t="shared" si="10"/>
        <v/>
      </c>
      <c r="J532" s="89" t="str">
        <f>IF(ISBLANK($H532),"",IF(VLOOKUP($H532,'FX Rates'!$A$1:$BQ$152,_xlfn.XMATCH($B532,'FX Rates'!$A$1:$BQ$1,-1,1),0)=0,"No Exch Rate Data",IF($G532=0,"",$G532/VLOOKUP($H532,'FX Rates'!$A$1:$BQ$152,_xlfn.XMATCH($B532,'FX Rates'!$A$1:$BQ$1,-1,1),0))))</f>
        <v/>
      </c>
    </row>
    <row r="533" spans="2:10" x14ac:dyDescent="0.25">
      <c r="B533" s="87"/>
      <c r="I533" s="111" t="str">
        <f t="shared" si="10"/>
        <v/>
      </c>
      <c r="J533" s="89" t="str">
        <f>IF(ISBLANK($H533),"",IF(VLOOKUP($H533,'FX Rates'!$A$1:$BQ$152,_xlfn.XMATCH($B533,'FX Rates'!$A$1:$BQ$1,-1,1),0)=0,"No Exch Rate Data",IF($G533=0,"",$G533/VLOOKUP($H533,'FX Rates'!$A$1:$BQ$152,_xlfn.XMATCH($B533,'FX Rates'!$A$1:$BQ$1,-1,1),0))))</f>
        <v/>
      </c>
    </row>
    <row r="534" spans="2:10" x14ac:dyDescent="0.25">
      <c r="B534" s="87"/>
      <c r="I534" s="111" t="str">
        <f t="shared" si="10"/>
        <v/>
      </c>
      <c r="J534" s="89" t="str">
        <f>IF(ISBLANK($H534),"",IF(VLOOKUP($H534,'FX Rates'!$A$1:$BQ$152,_xlfn.XMATCH($B534,'FX Rates'!$A$1:$BQ$1,-1,1),0)=0,"No Exch Rate Data",IF($G534=0,"",$G534/VLOOKUP($H534,'FX Rates'!$A$1:$BQ$152,_xlfn.XMATCH($B534,'FX Rates'!$A$1:$BQ$1,-1,1),0))))</f>
        <v/>
      </c>
    </row>
    <row r="535" spans="2:10" x14ac:dyDescent="0.25">
      <c r="B535" s="87"/>
      <c r="I535" s="111" t="str">
        <f t="shared" si="10"/>
        <v/>
      </c>
      <c r="J535" s="89" t="str">
        <f>IF(ISBLANK($H535),"",IF(VLOOKUP($H535,'FX Rates'!$A$1:$BQ$152,_xlfn.XMATCH($B535,'FX Rates'!$A$1:$BQ$1,-1,1),0)=0,"No Exch Rate Data",IF($G535=0,"",$G535/VLOOKUP($H535,'FX Rates'!$A$1:$BQ$152,_xlfn.XMATCH($B535,'FX Rates'!$A$1:$BQ$1,-1,1),0))))</f>
        <v/>
      </c>
    </row>
    <row r="536" spans="2:10" x14ac:dyDescent="0.25">
      <c r="B536" s="87"/>
      <c r="I536" s="111" t="str">
        <f t="shared" si="10"/>
        <v/>
      </c>
      <c r="J536" s="89" t="str">
        <f>IF(ISBLANK($H536),"",IF(VLOOKUP($H536,'FX Rates'!$A$1:$BQ$152,_xlfn.XMATCH($B536,'FX Rates'!$A$1:$BQ$1,-1,1),0)=0,"No Exch Rate Data",IF($G536=0,"",$G536/VLOOKUP($H536,'FX Rates'!$A$1:$BQ$152,_xlfn.XMATCH($B536,'FX Rates'!$A$1:$BQ$1,-1,1),0))))</f>
        <v/>
      </c>
    </row>
    <row r="537" spans="2:10" x14ac:dyDescent="0.25">
      <c r="B537" s="87"/>
      <c r="I537" s="111" t="str">
        <f t="shared" si="10"/>
        <v/>
      </c>
      <c r="J537" s="89" t="str">
        <f>IF(ISBLANK($H537),"",IF(VLOOKUP($H537,'FX Rates'!$A$1:$BQ$152,_xlfn.XMATCH($B537,'FX Rates'!$A$1:$BQ$1,-1,1),0)=0,"No Exch Rate Data",IF($G537=0,"",$G537/VLOOKUP($H537,'FX Rates'!$A$1:$BQ$152,_xlfn.XMATCH($B537,'FX Rates'!$A$1:$BQ$1,-1,1),0))))</f>
        <v/>
      </c>
    </row>
    <row r="538" spans="2:10" x14ac:dyDescent="0.25">
      <c r="B538" s="87"/>
      <c r="I538" s="111" t="str">
        <f t="shared" si="10"/>
        <v/>
      </c>
      <c r="J538" s="89" t="str">
        <f>IF(ISBLANK($H538),"",IF(VLOOKUP($H538,'FX Rates'!$A$1:$BQ$152,_xlfn.XMATCH($B538,'FX Rates'!$A$1:$BQ$1,-1,1),0)=0,"No Exch Rate Data",IF($G538=0,"",$G538/VLOOKUP($H538,'FX Rates'!$A$1:$BQ$152,_xlfn.XMATCH($B538,'FX Rates'!$A$1:$BQ$1,-1,1),0))))</f>
        <v/>
      </c>
    </row>
    <row r="539" spans="2:10" x14ac:dyDescent="0.25">
      <c r="B539" s="87"/>
      <c r="I539" s="111" t="str">
        <f t="shared" si="10"/>
        <v/>
      </c>
      <c r="J539" s="89" t="str">
        <f>IF(ISBLANK($H539),"",IF(VLOOKUP($H539,'FX Rates'!$A$1:$BQ$152,_xlfn.XMATCH($B539,'FX Rates'!$A$1:$BQ$1,-1,1),0)=0,"No Exch Rate Data",IF($G539=0,"",$G539/VLOOKUP($H539,'FX Rates'!$A$1:$BQ$152,_xlfn.XMATCH($B539,'FX Rates'!$A$1:$BQ$1,-1,1),0))))</f>
        <v/>
      </c>
    </row>
    <row r="540" spans="2:10" x14ac:dyDescent="0.25">
      <c r="B540" s="87"/>
      <c r="I540" s="111" t="str">
        <f t="shared" si="10"/>
        <v/>
      </c>
      <c r="J540" s="89" t="str">
        <f>IF(ISBLANK($H540),"",IF(VLOOKUP($H540,'FX Rates'!$A$1:$BQ$152,_xlfn.XMATCH($B540,'FX Rates'!$A$1:$BQ$1,-1,1),0)=0,"No Exch Rate Data",IF($G540=0,"",$G540/VLOOKUP($H540,'FX Rates'!$A$1:$BQ$152,_xlfn.XMATCH($B540,'FX Rates'!$A$1:$BQ$1,-1,1),0))))</f>
        <v/>
      </c>
    </row>
    <row r="541" spans="2:10" x14ac:dyDescent="0.25">
      <c r="B541" s="87"/>
      <c r="I541" s="111" t="str">
        <f t="shared" si="10"/>
        <v/>
      </c>
      <c r="J541" s="89" t="str">
        <f>IF(ISBLANK($H541),"",IF(VLOOKUP($H541,'FX Rates'!$A$1:$BQ$152,_xlfn.XMATCH($B541,'FX Rates'!$A$1:$BQ$1,-1,1),0)=0,"No Exch Rate Data",IF($G541=0,"",$G541/VLOOKUP($H541,'FX Rates'!$A$1:$BQ$152,_xlfn.XMATCH($B541,'FX Rates'!$A$1:$BQ$1,-1,1),0))))</f>
        <v/>
      </c>
    </row>
    <row r="542" spans="2:10" x14ac:dyDescent="0.25">
      <c r="B542" s="87"/>
      <c r="I542" s="111" t="str">
        <f t="shared" si="10"/>
        <v/>
      </c>
      <c r="J542" s="89" t="str">
        <f>IF(ISBLANK($H542),"",IF(VLOOKUP($H542,'FX Rates'!$A$1:$BQ$152,_xlfn.XMATCH($B542,'FX Rates'!$A$1:$BQ$1,-1,1),0)=0,"No Exch Rate Data",IF($G542=0,"",$G542/VLOOKUP($H542,'FX Rates'!$A$1:$BQ$152,_xlfn.XMATCH($B542,'FX Rates'!$A$1:$BQ$1,-1,1),0))))</f>
        <v/>
      </c>
    </row>
    <row r="543" spans="2:10" x14ac:dyDescent="0.25">
      <c r="B543" s="87"/>
      <c r="I543" s="111" t="str">
        <f t="shared" si="10"/>
        <v/>
      </c>
      <c r="J543" s="89" t="str">
        <f>IF(ISBLANK($H543),"",IF(VLOOKUP($H543,'FX Rates'!$A$1:$BQ$152,_xlfn.XMATCH($B543,'FX Rates'!$A$1:$BQ$1,-1,1),0)=0,"No Exch Rate Data",IF($G543=0,"",$G543/VLOOKUP($H543,'FX Rates'!$A$1:$BQ$152,_xlfn.XMATCH($B543,'FX Rates'!$A$1:$BQ$1,-1,1),0))))</f>
        <v/>
      </c>
    </row>
    <row r="544" spans="2:10" x14ac:dyDescent="0.25">
      <c r="B544" s="87"/>
      <c r="I544" s="111" t="str">
        <f t="shared" si="10"/>
        <v/>
      </c>
      <c r="J544" s="89" t="str">
        <f>IF(ISBLANK($H544),"",IF(VLOOKUP($H544,'FX Rates'!$A$1:$BQ$152,_xlfn.XMATCH($B544,'FX Rates'!$A$1:$BQ$1,-1,1),0)=0,"No Exch Rate Data",IF($G544=0,"",$G544/VLOOKUP($H544,'FX Rates'!$A$1:$BQ$152,_xlfn.XMATCH($B544,'FX Rates'!$A$1:$BQ$1,-1,1),0))))</f>
        <v/>
      </c>
    </row>
    <row r="545" spans="2:10" x14ac:dyDescent="0.25">
      <c r="B545" s="87"/>
      <c r="I545" s="111" t="str">
        <f t="shared" si="10"/>
        <v/>
      </c>
      <c r="J545" s="89" t="str">
        <f>IF(ISBLANK($H545),"",IF(VLOOKUP($H545,'FX Rates'!$A$1:$BQ$152,_xlfn.XMATCH($B545,'FX Rates'!$A$1:$BQ$1,-1,1),0)=0,"No Exch Rate Data",IF($G545=0,"",$G545/VLOOKUP($H545,'FX Rates'!$A$1:$BQ$152,_xlfn.XMATCH($B545,'FX Rates'!$A$1:$BQ$1,-1,1),0))))</f>
        <v/>
      </c>
    </row>
    <row r="546" spans="2:10" x14ac:dyDescent="0.25">
      <c r="B546" s="87"/>
      <c r="I546" s="111" t="str">
        <f t="shared" si="10"/>
        <v/>
      </c>
      <c r="J546" s="89" t="str">
        <f>IF(ISBLANK($H546),"",IF(VLOOKUP($H546,'FX Rates'!$A$1:$BQ$152,_xlfn.XMATCH($B546,'FX Rates'!$A$1:$BQ$1,-1,1),0)=0,"No Exch Rate Data",IF($G546=0,"",$G546/VLOOKUP($H546,'FX Rates'!$A$1:$BQ$152,_xlfn.XMATCH($B546,'FX Rates'!$A$1:$BQ$1,-1,1),0))))</f>
        <v/>
      </c>
    </row>
    <row r="547" spans="2:10" x14ac:dyDescent="0.25">
      <c r="B547" s="87"/>
      <c r="I547" s="111" t="str">
        <f t="shared" si="10"/>
        <v/>
      </c>
      <c r="J547" s="89" t="str">
        <f>IF(ISBLANK($H547),"",IF(VLOOKUP($H547,'FX Rates'!$A$1:$BQ$152,_xlfn.XMATCH($B547,'FX Rates'!$A$1:$BQ$1,-1,1),0)=0,"No Exch Rate Data",IF($G547=0,"",$G547/VLOOKUP($H547,'FX Rates'!$A$1:$BQ$152,_xlfn.XMATCH($B547,'FX Rates'!$A$1:$BQ$1,-1,1),0))))</f>
        <v/>
      </c>
    </row>
    <row r="548" spans="2:10" x14ac:dyDescent="0.25">
      <c r="B548" s="87"/>
      <c r="I548" s="111" t="str">
        <f t="shared" si="10"/>
        <v/>
      </c>
      <c r="J548" s="89" t="str">
        <f>IF(ISBLANK($H548),"",IF(VLOOKUP($H548,'FX Rates'!$A$1:$BQ$152,_xlfn.XMATCH($B548,'FX Rates'!$A$1:$BQ$1,-1,1),0)=0,"No Exch Rate Data",IF($G548=0,"",$G548/VLOOKUP($H548,'FX Rates'!$A$1:$BQ$152,_xlfn.XMATCH($B548,'FX Rates'!$A$1:$BQ$1,-1,1),0))))</f>
        <v/>
      </c>
    </row>
    <row r="549" spans="2:10" x14ac:dyDescent="0.25">
      <c r="B549" s="87"/>
      <c r="I549" s="111" t="str">
        <f t="shared" si="10"/>
        <v/>
      </c>
      <c r="J549" s="89" t="str">
        <f>IF(ISBLANK($H549),"",IF(VLOOKUP($H549,'FX Rates'!$A$1:$BQ$152,_xlfn.XMATCH($B549,'FX Rates'!$A$1:$BQ$1,-1,1),0)=0,"No Exch Rate Data",IF($G549=0,"",$G549/VLOOKUP($H549,'FX Rates'!$A$1:$BQ$152,_xlfn.XMATCH($B549,'FX Rates'!$A$1:$BQ$1,-1,1),0))))</f>
        <v/>
      </c>
    </row>
    <row r="550" spans="2:10" x14ac:dyDescent="0.25">
      <c r="B550" s="87"/>
      <c r="I550" s="111" t="str">
        <f t="shared" si="10"/>
        <v/>
      </c>
      <c r="J550" s="89" t="str">
        <f>IF(ISBLANK($H550),"",IF(VLOOKUP($H550,'FX Rates'!$A$1:$BQ$152,_xlfn.XMATCH($B550,'FX Rates'!$A$1:$BQ$1,-1,1),0)=0,"No Exch Rate Data",IF($G550=0,"",$G550/VLOOKUP($H550,'FX Rates'!$A$1:$BQ$152,_xlfn.XMATCH($B550,'FX Rates'!$A$1:$BQ$1,-1,1),0))))</f>
        <v/>
      </c>
    </row>
    <row r="551" spans="2:10" x14ac:dyDescent="0.25">
      <c r="B551" s="87"/>
      <c r="I551" s="111" t="str">
        <f t="shared" si="10"/>
        <v/>
      </c>
      <c r="J551" s="89" t="str">
        <f>IF(ISBLANK($H551),"",IF(VLOOKUP($H551,'FX Rates'!$A$1:$BQ$152,_xlfn.XMATCH($B551,'FX Rates'!$A$1:$BQ$1,-1,1),0)=0,"No Exch Rate Data",IF($G551=0,"",$G551/VLOOKUP($H551,'FX Rates'!$A$1:$BQ$152,_xlfn.XMATCH($B551,'FX Rates'!$A$1:$BQ$1,-1,1),0))))</f>
        <v/>
      </c>
    </row>
    <row r="552" spans="2:10" x14ac:dyDescent="0.25">
      <c r="B552" s="87"/>
      <c r="I552" s="111" t="str">
        <f t="shared" si="10"/>
        <v/>
      </c>
      <c r="J552" s="89" t="str">
        <f>IF(ISBLANK($H552),"",IF(VLOOKUP($H552,'FX Rates'!$A$1:$BQ$152,_xlfn.XMATCH($B552,'FX Rates'!$A$1:$BQ$1,-1,1),0)=0,"No Exch Rate Data",IF($G552=0,"",$G552/VLOOKUP($H552,'FX Rates'!$A$1:$BQ$152,_xlfn.XMATCH($B552,'FX Rates'!$A$1:$BQ$1,-1,1),0))))</f>
        <v/>
      </c>
    </row>
    <row r="553" spans="2:10" x14ac:dyDescent="0.25">
      <c r="B553" s="87"/>
      <c r="I553" s="111" t="str">
        <f t="shared" si="10"/>
        <v/>
      </c>
      <c r="J553" s="89" t="str">
        <f>IF(ISBLANK($H553),"",IF(VLOOKUP($H553,'FX Rates'!$A$1:$BQ$152,_xlfn.XMATCH($B553,'FX Rates'!$A$1:$BQ$1,-1,1),0)=0,"No Exch Rate Data",IF($G553=0,"",$G553/VLOOKUP($H553,'FX Rates'!$A$1:$BQ$152,_xlfn.XMATCH($B553,'FX Rates'!$A$1:$BQ$1,-1,1),0))))</f>
        <v/>
      </c>
    </row>
    <row r="554" spans="2:10" x14ac:dyDescent="0.25">
      <c r="B554" s="87"/>
      <c r="I554" s="111" t="str">
        <f t="shared" ref="I554:I617" si="11">IF(ISBLANK($D554),"",_xlfn.XLOOKUP($D554,Item_List,Time_Span,"",0))</f>
        <v/>
      </c>
      <c r="J554" s="89" t="str">
        <f>IF(ISBLANK($H554),"",IF(VLOOKUP($H554,'FX Rates'!$A$1:$BQ$152,_xlfn.XMATCH($B554,'FX Rates'!$A$1:$BQ$1,-1,1),0)=0,"No Exch Rate Data",IF($G554=0,"",$G554/VLOOKUP($H554,'FX Rates'!$A$1:$BQ$152,_xlfn.XMATCH($B554,'FX Rates'!$A$1:$BQ$1,-1,1),0))))</f>
        <v/>
      </c>
    </row>
    <row r="555" spans="2:10" x14ac:dyDescent="0.25">
      <c r="B555" s="87"/>
      <c r="I555" s="111" t="str">
        <f t="shared" si="11"/>
        <v/>
      </c>
      <c r="J555" s="89" t="str">
        <f>IF(ISBLANK($H555),"",IF(VLOOKUP($H555,'FX Rates'!$A$1:$BQ$152,_xlfn.XMATCH($B555,'FX Rates'!$A$1:$BQ$1,-1,1),0)=0,"No Exch Rate Data",IF($G555=0,"",$G555/VLOOKUP($H555,'FX Rates'!$A$1:$BQ$152,_xlfn.XMATCH($B555,'FX Rates'!$A$1:$BQ$1,-1,1),0))))</f>
        <v/>
      </c>
    </row>
    <row r="556" spans="2:10" x14ac:dyDescent="0.25">
      <c r="B556" s="87"/>
      <c r="I556" s="111" t="str">
        <f t="shared" si="11"/>
        <v/>
      </c>
      <c r="J556" s="89" t="str">
        <f>IF(ISBLANK($H556),"",IF(VLOOKUP($H556,'FX Rates'!$A$1:$BQ$152,_xlfn.XMATCH($B556,'FX Rates'!$A$1:$BQ$1,-1,1),0)=0,"No Exch Rate Data",IF($G556=0,"",$G556/VLOOKUP($H556,'FX Rates'!$A$1:$BQ$152,_xlfn.XMATCH($B556,'FX Rates'!$A$1:$BQ$1,-1,1),0))))</f>
        <v/>
      </c>
    </row>
    <row r="557" spans="2:10" x14ac:dyDescent="0.25">
      <c r="B557" s="87"/>
      <c r="I557" s="111" t="str">
        <f t="shared" si="11"/>
        <v/>
      </c>
      <c r="J557" s="89" t="str">
        <f>IF(ISBLANK($H557),"",IF(VLOOKUP($H557,'FX Rates'!$A$1:$BQ$152,_xlfn.XMATCH($B557,'FX Rates'!$A$1:$BQ$1,-1,1),0)=0,"No Exch Rate Data",IF($G557=0,"",$G557/VLOOKUP($H557,'FX Rates'!$A$1:$BQ$152,_xlfn.XMATCH($B557,'FX Rates'!$A$1:$BQ$1,-1,1),0))))</f>
        <v/>
      </c>
    </row>
    <row r="558" spans="2:10" x14ac:dyDescent="0.25">
      <c r="B558" s="87"/>
      <c r="I558" s="111" t="str">
        <f t="shared" si="11"/>
        <v/>
      </c>
      <c r="J558" s="89" t="str">
        <f>IF(ISBLANK($H558),"",IF(VLOOKUP($H558,'FX Rates'!$A$1:$BQ$152,_xlfn.XMATCH($B558,'FX Rates'!$A$1:$BQ$1,-1,1),0)=0,"No Exch Rate Data",IF($G558=0,"",$G558/VLOOKUP($H558,'FX Rates'!$A$1:$BQ$152,_xlfn.XMATCH($B558,'FX Rates'!$A$1:$BQ$1,-1,1),0))))</f>
        <v/>
      </c>
    </row>
    <row r="559" spans="2:10" x14ac:dyDescent="0.25">
      <c r="B559" s="87"/>
      <c r="I559" s="111" t="str">
        <f t="shared" si="11"/>
        <v/>
      </c>
      <c r="J559" s="89" t="str">
        <f>IF(ISBLANK($H559),"",IF(VLOOKUP($H559,'FX Rates'!$A$1:$BQ$152,_xlfn.XMATCH($B559,'FX Rates'!$A$1:$BQ$1,-1,1),0)=0,"No Exch Rate Data",IF($G559=0,"",$G559/VLOOKUP($H559,'FX Rates'!$A$1:$BQ$152,_xlfn.XMATCH($B559,'FX Rates'!$A$1:$BQ$1,-1,1),0))))</f>
        <v/>
      </c>
    </row>
    <row r="560" spans="2:10" x14ac:dyDescent="0.25">
      <c r="B560" s="87"/>
      <c r="I560" s="111" t="str">
        <f t="shared" si="11"/>
        <v/>
      </c>
      <c r="J560" s="89" t="str">
        <f>IF(ISBLANK($H560),"",IF(VLOOKUP($H560,'FX Rates'!$A$1:$BQ$152,_xlfn.XMATCH($B560,'FX Rates'!$A$1:$BQ$1,-1,1),0)=0,"No Exch Rate Data",IF($G560=0,"",$G560/VLOOKUP($H560,'FX Rates'!$A$1:$BQ$152,_xlfn.XMATCH($B560,'FX Rates'!$A$1:$BQ$1,-1,1),0))))</f>
        <v/>
      </c>
    </row>
    <row r="561" spans="2:10" x14ac:dyDescent="0.25">
      <c r="B561" s="87"/>
      <c r="I561" s="111" t="str">
        <f t="shared" si="11"/>
        <v/>
      </c>
      <c r="J561" s="89" t="str">
        <f>IF(ISBLANK($H561),"",IF(VLOOKUP($H561,'FX Rates'!$A$1:$BQ$152,_xlfn.XMATCH($B561,'FX Rates'!$A$1:$BQ$1,-1,1),0)=0,"No Exch Rate Data",IF($G561=0,"",$G561/VLOOKUP($H561,'FX Rates'!$A$1:$BQ$152,_xlfn.XMATCH($B561,'FX Rates'!$A$1:$BQ$1,-1,1),0))))</f>
        <v/>
      </c>
    </row>
    <row r="562" spans="2:10" x14ac:dyDescent="0.25">
      <c r="B562" s="87"/>
      <c r="I562" s="111" t="str">
        <f t="shared" si="11"/>
        <v/>
      </c>
      <c r="J562" s="89" t="str">
        <f>IF(ISBLANK($H562),"",IF(VLOOKUP($H562,'FX Rates'!$A$1:$BQ$152,_xlfn.XMATCH($B562,'FX Rates'!$A$1:$BQ$1,-1,1),0)=0,"No Exch Rate Data",IF($G562=0,"",$G562/VLOOKUP($H562,'FX Rates'!$A$1:$BQ$152,_xlfn.XMATCH($B562,'FX Rates'!$A$1:$BQ$1,-1,1),0))))</f>
        <v/>
      </c>
    </row>
    <row r="563" spans="2:10" x14ac:dyDescent="0.25">
      <c r="B563" s="87"/>
      <c r="I563" s="111" t="str">
        <f t="shared" si="11"/>
        <v/>
      </c>
      <c r="J563" s="89" t="str">
        <f>IF(ISBLANK($H563),"",IF(VLOOKUP($H563,'FX Rates'!$A$1:$BQ$152,_xlfn.XMATCH($B563,'FX Rates'!$A$1:$BQ$1,-1,1),0)=0,"No Exch Rate Data",IF($G563=0,"",$G563/VLOOKUP($H563,'FX Rates'!$A$1:$BQ$152,_xlfn.XMATCH($B563,'FX Rates'!$A$1:$BQ$1,-1,1),0))))</f>
        <v/>
      </c>
    </row>
    <row r="564" spans="2:10" x14ac:dyDescent="0.25">
      <c r="B564" s="87"/>
      <c r="I564" s="111" t="str">
        <f t="shared" si="11"/>
        <v/>
      </c>
      <c r="J564" s="89" t="str">
        <f>IF(ISBLANK($H564),"",IF(VLOOKUP($H564,'FX Rates'!$A$1:$BQ$152,_xlfn.XMATCH($B564,'FX Rates'!$A$1:$BQ$1,-1,1),0)=0,"No Exch Rate Data",IF($G564=0,"",$G564/VLOOKUP($H564,'FX Rates'!$A$1:$BQ$152,_xlfn.XMATCH($B564,'FX Rates'!$A$1:$BQ$1,-1,1),0))))</f>
        <v/>
      </c>
    </row>
    <row r="565" spans="2:10" x14ac:dyDescent="0.25">
      <c r="B565" s="87"/>
      <c r="I565" s="111" t="str">
        <f t="shared" si="11"/>
        <v/>
      </c>
      <c r="J565" s="89" t="str">
        <f>IF(ISBLANK($H565),"",IF(VLOOKUP($H565,'FX Rates'!$A$1:$BQ$152,_xlfn.XMATCH($B565,'FX Rates'!$A$1:$BQ$1,-1,1),0)=0,"No Exch Rate Data",IF($G565=0,"",$G565/VLOOKUP($H565,'FX Rates'!$A$1:$BQ$152,_xlfn.XMATCH($B565,'FX Rates'!$A$1:$BQ$1,-1,1),0))))</f>
        <v/>
      </c>
    </row>
    <row r="566" spans="2:10" x14ac:dyDescent="0.25">
      <c r="B566" s="87"/>
      <c r="I566" s="111" t="str">
        <f t="shared" si="11"/>
        <v/>
      </c>
      <c r="J566" s="89" t="str">
        <f>IF(ISBLANK($H566),"",IF(VLOOKUP($H566,'FX Rates'!$A$1:$BQ$152,_xlfn.XMATCH($B566,'FX Rates'!$A$1:$BQ$1,-1,1),0)=0,"No Exch Rate Data",IF($G566=0,"",$G566/VLOOKUP($H566,'FX Rates'!$A$1:$BQ$152,_xlfn.XMATCH($B566,'FX Rates'!$A$1:$BQ$1,-1,1),0))))</f>
        <v/>
      </c>
    </row>
    <row r="567" spans="2:10" x14ac:dyDescent="0.25">
      <c r="B567" s="87"/>
      <c r="I567" s="111" t="str">
        <f t="shared" si="11"/>
        <v/>
      </c>
      <c r="J567" s="89" t="str">
        <f>IF(ISBLANK($H567),"",IF(VLOOKUP($H567,'FX Rates'!$A$1:$BQ$152,_xlfn.XMATCH($B567,'FX Rates'!$A$1:$BQ$1,-1,1),0)=0,"No Exch Rate Data",IF($G567=0,"",$G567/VLOOKUP($H567,'FX Rates'!$A$1:$BQ$152,_xlfn.XMATCH($B567,'FX Rates'!$A$1:$BQ$1,-1,1),0))))</f>
        <v/>
      </c>
    </row>
    <row r="568" spans="2:10" x14ac:dyDescent="0.25">
      <c r="B568" s="87"/>
      <c r="I568" s="111" t="str">
        <f t="shared" si="11"/>
        <v/>
      </c>
      <c r="J568" s="89" t="str">
        <f>IF(ISBLANK($H568),"",IF(VLOOKUP($H568,'FX Rates'!$A$1:$BQ$152,_xlfn.XMATCH($B568,'FX Rates'!$A$1:$BQ$1,-1,1),0)=0,"No Exch Rate Data",IF($G568=0,"",$G568/VLOOKUP($H568,'FX Rates'!$A$1:$BQ$152,_xlfn.XMATCH($B568,'FX Rates'!$A$1:$BQ$1,-1,1),0))))</f>
        <v/>
      </c>
    </row>
    <row r="569" spans="2:10" x14ac:dyDescent="0.25">
      <c r="B569" s="87"/>
      <c r="I569" s="111" t="str">
        <f t="shared" si="11"/>
        <v/>
      </c>
      <c r="J569" s="89" t="str">
        <f>IF(ISBLANK($H569),"",IF(VLOOKUP($H569,'FX Rates'!$A$1:$BQ$152,_xlfn.XMATCH($B569,'FX Rates'!$A$1:$BQ$1,-1,1),0)=0,"No Exch Rate Data",IF($G569=0,"",$G569/VLOOKUP($H569,'FX Rates'!$A$1:$BQ$152,_xlfn.XMATCH($B569,'FX Rates'!$A$1:$BQ$1,-1,1),0))))</f>
        <v/>
      </c>
    </row>
    <row r="570" spans="2:10" x14ac:dyDescent="0.25">
      <c r="B570" s="87"/>
      <c r="I570" s="111" t="str">
        <f t="shared" si="11"/>
        <v/>
      </c>
      <c r="J570" s="89" t="str">
        <f>IF(ISBLANK($H570),"",IF(VLOOKUP($H570,'FX Rates'!$A$1:$BQ$152,_xlfn.XMATCH($B570,'FX Rates'!$A$1:$BQ$1,-1,1),0)=0,"No Exch Rate Data",IF($G570=0,"",$G570/VLOOKUP($H570,'FX Rates'!$A$1:$BQ$152,_xlfn.XMATCH($B570,'FX Rates'!$A$1:$BQ$1,-1,1),0))))</f>
        <v/>
      </c>
    </row>
    <row r="571" spans="2:10" x14ac:dyDescent="0.25">
      <c r="B571" s="87"/>
      <c r="I571" s="111" t="str">
        <f t="shared" si="11"/>
        <v/>
      </c>
      <c r="J571" s="89" t="str">
        <f>IF(ISBLANK($H571),"",IF(VLOOKUP($H571,'FX Rates'!$A$1:$BQ$152,_xlfn.XMATCH($B571,'FX Rates'!$A$1:$BQ$1,-1,1),0)=0,"No Exch Rate Data",IF($G571=0,"",$G571/VLOOKUP($H571,'FX Rates'!$A$1:$BQ$152,_xlfn.XMATCH($B571,'FX Rates'!$A$1:$BQ$1,-1,1),0))))</f>
        <v/>
      </c>
    </row>
    <row r="572" spans="2:10" x14ac:dyDescent="0.25">
      <c r="B572" s="87"/>
      <c r="I572" s="111" t="str">
        <f t="shared" si="11"/>
        <v/>
      </c>
      <c r="J572" s="89" t="str">
        <f>IF(ISBLANK($H572),"",IF(VLOOKUP($H572,'FX Rates'!$A$1:$BQ$152,_xlfn.XMATCH($B572,'FX Rates'!$A$1:$BQ$1,-1,1),0)=0,"No Exch Rate Data",IF($G572=0,"",$G572/VLOOKUP($H572,'FX Rates'!$A$1:$BQ$152,_xlfn.XMATCH($B572,'FX Rates'!$A$1:$BQ$1,-1,1),0))))</f>
        <v/>
      </c>
    </row>
    <row r="573" spans="2:10" x14ac:dyDescent="0.25">
      <c r="B573" s="87"/>
      <c r="I573" s="111" t="str">
        <f t="shared" si="11"/>
        <v/>
      </c>
      <c r="J573" s="89" t="str">
        <f>IF(ISBLANK($H573),"",IF(VLOOKUP($H573,'FX Rates'!$A$1:$BQ$152,_xlfn.XMATCH($B573,'FX Rates'!$A$1:$BQ$1,-1,1),0)=0,"No Exch Rate Data",IF($G573=0,"",$G573/VLOOKUP($H573,'FX Rates'!$A$1:$BQ$152,_xlfn.XMATCH($B573,'FX Rates'!$A$1:$BQ$1,-1,1),0))))</f>
        <v/>
      </c>
    </row>
    <row r="574" spans="2:10" x14ac:dyDescent="0.25">
      <c r="B574" s="87"/>
      <c r="I574" s="111" t="str">
        <f t="shared" si="11"/>
        <v/>
      </c>
      <c r="J574" s="89" t="str">
        <f>IF(ISBLANK($H574),"",IF(VLOOKUP($H574,'FX Rates'!$A$1:$BQ$152,_xlfn.XMATCH($B574,'FX Rates'!$A$1:$BQ$1,-1,1),0)=0,"No Exch Rate Data",IF($G574=0,"",$G574/VLOOKUP($H574,'FX Rates'!$A$1:$BQ$152,_xlfn.XMATCH($B574,'FX Rates'!$A$1:$BQ$1,-1,1),0))))</f>
        <v/>
      </c>
    </row>
    <row r="575" spans="2:10" x14ac:dyDescent="0.25">
      <c r="B575" s="87"/>
      <c r="I575" s="111" t="str">
        <f t="shared" si="11"/>
        <v/>
      </c>
      <c r="J575" s="89" t="str">
        <f>IF(ISBLANK($H575),"",IF(VLOOKUP($H575,'FX Rates'!$A$1:$BQ$152,_xlfn.XMATCH($B575,'FX Rates'!$A$1:$BQ$1,-1,1),0)=0,"No Exch Rate Data",IF($G575=0,"",$G575/VLOOKUP($H575,'FX Rates'!$A$1:$BQ$152,_xlfn.XMATCH($B575,'FX Rates'!$A$1:$BQ$1,-1,1),0))))</f>
        <v/>
      </c>
    </row>
    <row r="576" spans="2:10" x14ac:dyDescent="0.25">
      <c r="B576" s="87"/>
      <c r="I576" s="111" t="str">
        <f t="shared" si="11"/>
        <v/>
      </c>
      <c r="J576" s="89" t="str">
        <f>IF(ISBLANK($H576),"",IF(VLOOKUP($H576,'FX Rates'!$A$1:$BQ$152,_xlfn.XMATCH($B576,'FX Rates'!$A$1:$BQ$1,-1,1),0)=0,"No Exch Rate Data",IF($G576=0,"",$G576/VLOOKUP($H576,'FX Rates'!$A$1:$BQ$152,_xlfn.XMATCH($B576,'FX Rates'!$A$1:$BQ$1,-1,1),0))))</f>
        <v/>
      </c>
    </row>
    <row r="577" spans="2:10" x14ac:dyDescent="0.25">
      <c r="B577" s="87"/>
      <c r="I577" s="111" t="str">
        <f t="shared" si="11"/>
        <v/>
      </c>
      <c r="J577" s="89" t="str">
        <f>IF(ISBLANK($H577),"",IF(VLOOKUP($H577,'FX Rates'!$A$1:$BQ$152,_xlfn.XMATCH($B577,'FX Rates'!$A$1:$BQ$1,-1,1),0)=0,"No Exch Rate Data",IF($G577=0,"",$G577/VLOOKUP($H577,'FX Rates'!$A$1:$BQ$152,_xlfn.XMATCH($B577,'FX Rates'!$A$1:$BQ$1,-1,1),0))))</f>
        <v/>
      </c>
    </row>
    <row r="578" spans="2:10" x14ac:dyDescent="0.25">
      <c r="B578" s="87"/>
      <c r="I578" s="111" t="str">
        <f t="shared" si="11"/>
        <v/>
      </c>
      <c r="J578" s="89" t="str">
        <f>IF(ISBLANK($H578),"",IF(VLOOKUP($H578,'FX Rates'!$A$1:$BQ$152,_xlfn.XMATCH($B578,'FX Rates'!$A$1:$BQ$1,-1,1),0)=0,"No Exch Rate Data",IF($G578=0,"",$G578/VLOOKUP($H578,'FX Rates'!$A$1:$BQ$152,_xlfn.XMATCH($B578,'FX Rates'!$A$1:$BQ$1,-1,1),0))))</f>
        <v/>
      </c>
    </row>
    <row r="579" spans="2:10" x14ac:dyDescent="0.25">
      <c r="B579" s="87"/>
      <c r="I579" s="111" t="str">
        <f t="shared" si="11"/>
        <v/>
      </c>
      <c r="J579" s="89" t="str">
        <f>IF(ISBLANK($H579),"",IF(VLOOKUP($H579,'FX Rates'!$A$1:$BQ$152,_xlfn.XMATCH($B579,'FX Rates'!$A$1:$BQ$1,-1,1),0)=0,"No Exch Rate Data",IF($G579=0,"",$G579/VLOOKUP($H579,'FX Rates'!$A$1:$BQ$152,_xlfn.XMATCH($B579,'FX Rates'!$A$1:$BQ$1,-1,1),0))))</f>
        <v/>
      </c>
    </row>
    <row r="580" spans="2:10" x14ac:dyDescent="0.25">
      <c r="B580" s="87"/>
      <c r="I580" s="111" t="str">
        <f t="shared" si="11"/>
        <v/>
      </c>
      <c r="J580" s="89" t="str">
        <f>IF(ISBLANK($H580),"",IF(VLOOKUP($H580,'FX Rates'!$A$1:$BQ$152,_xlfn.XMATCH($B580,'FX Rates'!$A$1:$BQ$1,-1,1),0)=0,"No Exch Rate Data",IF($G580=0,"",$G580/VLOOKUP($H580,'FX Rates'!$A$1:$BQ$152,_xlfn.XMATCH($B580,'FX Rates'!$A$1:$BQ$1,-1,1),0))))</f>
        <v/>
      </c>
    </row>
    <row r="581" spans="2:10" x14ac:dyDescent="0.25">
      <c r="B581" s="87"/>
      <c r="I581" s="111" t="str">
        <f t="shared" si="11"/>
        <v/>
      </c>
      <c r="J581" s="89" t="str">
        <f>IF(ISBLANK($H581),"",IF(VLOOKUP($H581,'FX Rates'!$A$1:$BQ$152,_xlfn.XMATCH($B581,'FX Rates'!$A$1:$BQ$1,-1,1),0)=0,"No Exch Rate Data",IF($G581=0,"",$G581/VLOOKUP($H581,'FX Rates'!$A$1:$BQ$152,_xlfn.XMATCH($B581,'FX Rates'!$A$1:$BQ$1,-1,1),0))))</f>
        <v/>
      </c>
    </row>
    <row r="582" spans="2:10" x14ac:dyDescent="0.25">
      <c r="B582" s="87"/>
      <c r="I582" s="111" t="str">
        <f t="shared" si="11"/>
        <v/>
      </c>
      <c r="J582" s="89" t="str">
        <f>IF(ISBLANK($H582),"",IF(VLOOKUP($H582,'FX Rates'!$A$1:$BQ$152,_xlfn.XMATCH($B582,'FX Rates'!$A$1:$BQ$1,-1,1),0)=0,"No Exch Rate Data",IF($G582=0,"",$G582/VLOOKUP($H582,'FX Rates'!$A$1:$BQ$152,_xlfn.XMATCH($B582,'FX Rates'!$A$1:$BQ$1,-1,1),0))))</f>
        <v/>
      </c>
    </row>
    <row r="583" spans="2:10" x14ac:dyDescent="0.25">
      <c r="B583" s="87"/>
      <c r="I583" s="111" t="str">
        <f t="shared" si="11"/>
        <v/>
      </c>
      <c r="J583" s="89" t="str">
        <f>IF(ISBLANK($H583),"",IF(VLOOKUP($H583,'FX Rates'!$A$1:$BQ$152,_xlfn.XMATCH($B583,'FX Rates'!$A$1:$BQ$1,-1,1),0)=0,"No Exch Rate Data",IF($G583=0,"",$G583/VLOOKUP($H583,'FX Rates'!$A$1:$BQ$152,_xlfn.XMATCH($B583,'FX Rates'!$A$1:$BQ$1,-1,1),0))))</f>
        <v/>
      </c>
    </row>
    <row r="584" spans="2:10" x14ac:dyDescent="0.25">
      <c r="B584" s="87"/>
      <c r="I584" s="111" t="str">
        <f t="shared" si="11"/>
        <v/>
      </c>
      <c r="J584" s="89" t="str">
        <f>IF(ISBLANK($H584),"",IF(VLOOKUP($H584,'FX Rates'!$A$1:$BQ$152,_xlfn.XMATCH($B584,'FX Rates'!$A$1:$BQ$1,-1,1),0)=0,"No Exch Rate Data",IF($G584=0,"",$G584/VLOOKUP($H584,'FX Rates'!$A$1:$BQ$152,_xlfn.XMATCH($B584,'FX Rates'!$A$1:$BQ$1,-1,1),0))))</f>
        <v/>
      </c>
    </row>
    <row r="585" spans="2:10" x14ac:dyDescent="0.25">
      <c r="B585" s="87"/>
      <c r="I585" s="111" t="str">
        <f t="shared" si="11"/>
        <v/>
      </c>
      <c r="J585" s="89" t="str">
        <f>IF(ISBLANK($H585),"",IF(VLOOKUP($H585,'FX Rates'!$A$1:$BQ$152,_xlfn.XMATCH($B585,'FX Rates'!$A$1:$BQ$1,-1,1),0)=0,"No Exch Rate Data",IF($G585=0,"",$G585/VLOOKUP($H585,'FX Rates'!$A$1:$BQ$152,_xlfn.XMATCH($B585,'FX Rates'!$A$1:$BQ$1,-1,1),0))))</f>
        <v/>
      </c>
    </row>
    <row r="586" spans="2:10" x14ac:dyDescent="0.25">
      <c r="B586" s="87"/>
      <c r="I586" s="111" t="str">
        <f t="shared" si="11"/>
        <v/>
      </c>
      <c r="J586" s="89" t="str">
        <f>IF(ISBLANK($H586),"",IF(VLOOKUP($H586,'FX Rates'!$A$1:$BQ$152,_xlfn.XMATCH($B586,'FX Rates'!$A$1:$BQ$1,-1,1),0)=0,"No Exch Rate Data",IF($G586=0,"",$G586/VLOOKUP($H586,'FX Rates'!$A$1:$BQ$152,_xlfn.XMATCH($B586,'FX Rates'!$A$1:$BQ$1,-1,1),0))))</f>
        <v/>
      </c>
    </row>
    <row r="587" spans="2:10" x14ac:dyDescent="0.25">
      <c r="B587" s="87"/>
      <c r="I587" s="111" t="str">
        <f t="shared" si="11"/>
        <v/>
      </c>
      <c r="J587" s="89" t="str">
        <f>IF(ISBLANK($H587),"",IF(VLOOKUP($H587,'FX Rates'!$A$1:$BQ$152,_xlfn.XMATCH($B587,'FX Rates'!$A$1:$BQ$1,-1,1),0)=0,"No Exch Rate Data",IF($G587=0,"",$G587/VLOOKUP($H587,'FX Rates'!$A$1:$BQ$152,_xlfn.XMATCH($B587,'FX Rates'!$A$1:$BQ$1,-1,1),0))))</f>
        <v/>
      </c>
    </row>
    <row r="588" spans="2:10" x14ac:dyDescent="0.25">
      <c r="B588" s="87"/>
      <c r="I588" s="111" t="str">
        <f t="shared" si="11"/>
        <v/>
      </c>
      <c r="J588" s="89" t="str">
        <f>IF(ISBLANK($H588),"",IF(VLOOKUP($H588,'FX Rates'!$A$1:$BQ$152,_xlfn.XMATCH($B588,'FX Rates'!$A$1:$BQ$1,-1,1),0)=0,"No Exch Rate Data",IF($G588=0,"",$G588/VLOOKUP($H588,'FX Rates'!$A$1:$BQ$152,_xlfn.XMATCH($B588,'FX Rates'!$A$1:$BQ$1,-1,1),0))))</f>
        <v/>
      </c>
    </row>
    <row r="589" spans="2:10" x14ac:dyDescent="0.25">
      <c r="B589" s="87"/>
      <c r="I589" s="111" t="str">
        <f t="shared" si="11"/>
        <v/>
      </c>
      <c r="J589" s="89" t="str">
        <f>IF(ISBLANK($H589),"",IF(VLOOKUP($H589,'FX Rates'!$A$1:$BQ$152,_xlfn.XMATCH($B589,'FX Rates'!$A$1:$BQ$1,-1,1),0)=0,"No Exch Rate Data",IF($G589=0,"",$G589/VLOOKUP($H589,'FX Rates'!$A$1:$BQ$152,_xlfn.XMATCH($B589,'FX Rates'!$A$1:$BQ$1,-1,1),0))))</f>
        <v/>
      </c>
    </row>
    <row r="590" spans="2:10" x14ac:dyDescent="0.25">
      <c r="B590" s="87"/>
      <c r="I590" s="111" t="str">
        <f t="shared" si="11"/>
        <v/>
      </c>
      <c r="J590" s="89" t="str">
        <f>IF(ISBLANK($H590),"",IF(VLOOKUP($H590,'FX Rates'!$A$1:$BQ$152,_xlfn.XMATCH($B590,'FX Rates'!$A$1:$BQ$1,-1,1),0)=0,"No Exch Rate Data",IF($G590=0,"",$G590/VLOOKUP($H590,'FX Rates'!$A$1:$BQ$152,_xlfn.XMATCH($B590,'FX Rates'!$A$1:$BQ$1,-1,1),0))))</f>
        <v/>
      </c>
    </row>
    <row r="591" spans="2:10" x14ac:dyDescent="0.25">
      <c r="B591" s="87"/>
      <c r="I591" s="111" t="str">
        <f t="shared" si="11"/>
        <v/>
      </c>
      <c r="J591" s="89" t="str">
        <f>IF(ISBLANK($H591),"",IF(VLOOKUP($H591,'FX Rates'!$A$1:$BQ$152,_xlfn.XMATCH($B591,'FX Rates'!$A$1:$BQ$1,-1,1),0)=0,"No Exch Rate Data",IF($G591=0,"",$G591/VLOOKUP($H591,'FX Rates'!$A$1:$BQ$152,_xlfn.XMATCH($B591,'FX Rates'!$A$1:$BQ$1,-1,1),0))))</f>
        <v/>
      </c>
    </row>
    <row r="592" spans="2:10" x14ac:dyDescent="0.25">
      <c r="B592" s="87"/>
      <c r="I592" s="111" t="str">
        <f t="shared" si="11"/>
        <v/>
      </c>
      <c r="J592" s="89" t="str">
        <f>IF(ISBLANK($H592),"",IF(VLOOKUP($H592,'FX Rates'!$A$1:$BQ$152,_xlfn.XMATCH($B592,'FX Rates'!$A$1:$BQ$1,-1,1),0)=0,"No Exch Rate Data",IF($G592=0,"",$G592/VLOOKUP($H592,'FX Rates'!$A$1:$BQ$152,_xlfn.XMATCH($B592,'FX Rates'!$A$1:$BQ$1,-1,1),0))))</f>
        <v/>
      </c>
    </row>
    <row r="593" spans="2:10" x14ac:dyDescent="0.25">
      <c r="B593" s="87"/>
      <c r="I593" s="111" t="str">
        <f t="shared" si="11"/>
        <v/>
      </c>
      <c r="J593" s="89" t="str">
        <f>IF(ISBLANK($H593),"",IF(VLOOKUP($H593,'FX Rates'!$A$1:$BQ$152,_xlfn.XMATCH($B593,'FX Rates'!$A$1:$BQ$1,-1,1),0)=0,"No Exch Rate Data",IF($G593=0,"",$G593/VLOOKUP($H593,'FX Rates'!$A$1:$BQ$152,_xlfn.XMATCH($B593,'FX Rates'!$A$1:$BQ$1,-1,1),0))))</f>
        <v/>
      </c>
    </row>
    <row r="594" spans="2:10" x14ac:dyDescent="0.25">
      <c r="B594" s="87"/>
      <c r="I594" s="111" t="str">
        <f t="shared" si="11"/>
        <v/>
      </c>
      <c r="J594" s="89" t="str">
        <f>IF(ISBLANK($H594),"",IF(VLOOKUP($H594,'FX Rates'!$A$1:$BQ$152,_xlfn.XMATCH($B594,'FX Rates'!$A$1:$BQ$1,-1,1),0)=0,"No Exch Rate Data",IF($G594=0,"",$G594/VLOOKUP($H594,'FX Rates'!$A$1:$BQ$152,_xlfn.XMATCH($B594,'FX Rates'!$A$1:$BQ$1,-1,1),0))))</f>
        <v/>
      </c>
    </row>
    <row r="595" spans="2:10" x14ac:dyDescent="0.25">
      <c r="B595" s="87"/>
      <c r="I595" s="111" t="str">
        <f t="shared" si="11"/>
        <v/>
      </c>
      <c r="J595" s="89" t="str">
        <f>IF(ISBLANK($H595),"",IF(VLOOKUP($H595,'FX Rates'!$A$1:$BQ$152,_xlfn.XMATCH($B595,'FX Rates'!$A$1:$BQ$1,-1,1),0)=0,"No Exch Rate Data",IF($G595=0,"",$G595/VLOOKUP($H595,'FX Rates'!$A$1:$BQ$152,_xlfn.XMATCH($B595,'FX Rates'!$A$1:$BQ$1,-1,1),0))))</f>
        <v/>
      </c>
    </row>
    <row r="596" spans="2:10" x14ac:dyDescent="0.25">
      <c r="B596" s="87"/>
      <c r="I596" s="111" t="str">
        <f t="shared" si="11"/>
        <v/>
      </c>
      <c r="J596" s="89" t="str">
        <f>IF(ISBLANK($H596),"",IF(VLOOKUP($H596,'FX Rates'!$A$1:$BQ$152,_xlfn.XMATCH($B596,'FX Rates'!$A$1:$BQ$1,-1,1),0)=0,"No Exch Rate Data",IF($G596=0,"",$G596/VLOOKUP($H596,'FX Rates'!$A$1:$BQ$152,_xlfn.XMATCH($B596,'FX Rates'!$A$1:$BQ$1,-1,1),0))))</f>
        <v/>
      </c>
    </row>
    <row r="597" spans="2:10" x14ac:dyDescent="0.25">
      <c r="B597" s="87"/>
      <c r="I597" s="111" t="str">
        <f t="shared" si="11"/>
        <v/>
      </c>
      <c r="J597" s="89" t="str">
        <f>IF(ISBLANK($H597),"",IF(VLOOKUP($H597,'FX Rates'!$A$1:$BQ$152,_xlfn.XMATCH($B597,'FX Rates'!$A$1:$BQ$1,-1,1),0)=0,"No Exch Rate Data",IF($G597=0,"",$G597/VLOOKUP($H597,'FX Rates'!$A$1:$BQ$152,_xlfn.XMATCH($B597,'FX Rates'!$A$1:$BQ$1,-1,1),0))))</f>
        <v/>
      </c>
    </row>
    <row r="598" spans="2:10" x14ac:dyDescent="0.25">
      <c r="B598" s="87"/>
      <c r="I598" s="111" t="str">
        <f t="shared" si="11"/>
        <v/>
      </c>
      <c r="J598" s="89" t="str">
        <f>IF(ISBLANK($H598),"",IF(VLOOKUP($H598,'FX Rates'!$A$1:$BQ$152,_xlfn.XMATCH($B598,'FX Rates'!$A$1:$BQ$1,-1,1),0)=0,"No Exch Rate Data",IF($G598=0,"",$G598/VLOOKUP($H598,'FX Rates'!$A$1:$BQ$152,_xlfn.XMATCH($B598,'FX Rates'!$A$1:$BQ$1,-1,1),0))))</f>
        <v/>
      </c>
    </row>
    <row r="599" spans="2:10" x14ac:dyDescent="0.25">
      <c r="B599" s="87"/>
      <c r="I599" s="111" t="str">
        <f t="shared" si="11"/>
        <v/>
      </c>
      <c r="J599" s="89" t="str">
        <f>IF(ISBLANK($H599),"",IF(VLOOKUP($H599,'FX Rates'!$A$1:$BQ$152,_xlfn.XMATCH($B599,'FX Rates'!$A$1:$BQ$1,-1,1),0)=0,"No Exch Rate Data",IF($G599=0,"",$G599/VLOOKUP($H599,'FX Rates'!$A$1:$BQ$152,_xlfn.XMATCH($B599,'FX Rates'!$A$1:$BQ$1,-1,1),0))))</f>
        <v/>
      </c>
    </row>
    <row r="600" spans="2:10" x14ac:dyDescent="0.25">
      <c r="B600" s="87"/>
      <c r="I600" s="111" t="str">
        <f t="shared" si="11"/>
        <v/>
      </c>
      <c r="J600" s="89" t="str">
        <f>IF(ISBLANK($H600),"",IF(VLOOKUP($H600,'FX Rates'!$A$1:$BQ$152,_xlfn.XMATCH($B600,'FX Rates'!$A$1:$BQ$1,-1,1),0)=0,"No Exch Rate Data",IF($G600=0,"",$G600/VLOOKUP($H600,'FX Rates'!$A$1:$BQ$152,_xlfn.XMATCH($B600,'FX Rates'!$A$1:$BQ$1,-1,1),0))))</f>
        <v/>
      </c>
    </row>
    <row r="601" spans="2:10" x14ac:dyDescent="0.25">
      <c r="B601" s="87"/>
      <c r="I601" s="111" t="str">
        <f t="shared" si="11"/>
        <v/>
      </c>
      <c r="J601" s="89" t="str">
        <f>IF(ISBLANK($H601),"",IF(VLOOKUP($H601,'FX Rates'!$A$1:$BQ$152,_xlfn.XMATCH($B601,'FX Rates'!$A$1:$BQ$1,-1,1),0)=0,"No Exch Rate Data",IF($G601=0,"",$G601/VLOOKUP($H601,'FX Rates'!$A$1:$BQ$152,_xlfn.XMATCH($B601,'FX Rates'!$A$1:$BQ$1,-1,1),0))))</f>
        <v/>
      </c>
    </row>
    <row r="602" spans="2:10" x14ac:dyDescent="0.25">
      <c r="B602" s="87"/>
      <c r="I602" s="111" t="str">
        <f t="shared" si="11"/>
        <v/>
      </c>
      <c r="J602" s="89" t="str">
        <f>IF(ISBLANK($H602),"",IF(VLOOKUP($H602,'FX Rates'!$A$1:$BQ$152,_xlfn.XMATCH($B602,'FX Rates'!$A$1:$BQ$1,-1,1),0)=0,"No Exch Rate Data",IF($G602=0,"",$G602/VLOOKUP($H602,'FX Rates'!$A$1:$BQ$152,_xlfn.XMATCH($B602,'FX Rates'!$A$1:$BQ$1,-1,1),0))))</f>
        <v/>
      </c>
    </row>
    <row r="603" spans="2:10" x14ac:dyDescent="0.25">
      <c r="B603" s="87"/>
      <c r="I603" s="111" t="str">
        <f t="shared" si="11"/>
        <v/>
      </c>
      <c r="J603" s="89" t="str">
        <f>IF(ISBLANK($H603),"",IF(VLOOKUP($H603,'FX Rates'!$A$1:$BQ$152,_xlfn.XMATCH($B603,'FX Rates'!$A$1:$BQ$1,-1,1),0)=0,"No Exch Rate Data",IF($G603=0,"",$G603/VLOOKUP($H603,'FX Rates'!$A$1:$BQ$152,_xlfn.XMATCH($B603,'FX Rates'!$A$1:$BQ$1,-1,1),0))))</f>
        <v/>
      </c>
    </row>
    <row r="604" spans="2:10" x14ac:dyDescent="0.25">
      <c r="B604" s="87"/>
      <c r="I604" s="111" t="str">
        <f t="shared" si="11"/>
        <v/>
      </c>
      <c r="J604" s="89" t="str">
        <f>IF(ISBLANK($H604),"",IF(VLOOKUP($H604,'FX Rates'!$A$1:$BQ$152,_xlfn.XMATCH($B604,'FX Rates'!$A$1:$BQ$1,-1,1),0)=0,"No Exch Rate Data",IF($G604=0,"",$G604/VLOOKUP($H604,'FX Rates'!$A$1:$BQ$152,_xlfn.XMATCH($B604,'FX Rates'!$A$1:$BQ$1,-1,1),0))))</f>
        <v/>
      </c>
    </row>
    <row r="605" spans="2:10" x14ac:dyDescent="0.25">
      <c r="B605" s="87"/>
      <c r="I605" s="111" t="str">
        <f t="shared" si="11"/>
        <v/>
      </c>
      <c r="J605" s="89" t="str">
        <f>IF(ISBLANK($H605),"",IF(VLOOKUP($H605,'FX Rates'!$A$1:$BQ$152,_xlfn.XMATCH($B605,'FX Rates'!$A$1:$BQ$1,-1,1),0)=0,"No Exch Rate Data",IF($G605=0,"",$G605/VLOOKUP($H605,'FX Rates'!$A$1:$BQ$152,_xlfn.XMATCH($B605,'FX Rates'!$A$1:$BQ$1,-1,1),0))))</f>
        <v/>
      </c>
    </row>
    <row r="606" spans="2:10" x14ac:dyDescent="0.25">
      <c r="B606" s="87"/>
      <c r="I606" s="111" t="str">
        <f t="shared" si="11"/>
        <v/>
      </c>
      <c r="J606" s="89" t="str">
        <f>IF(ISBLANK($H606),"",IF(VLOOKUP($H606,'FX Rates'!$A$1:$BQ$152,_xlfn.XMATCH($B606,'FX Rates'!$A$1:$BQ$1,-1,1),0)=0,"No Exch Rate Data",IF($G606=0,"",$G606/VLOOKUP($H606,'FX Rates'!$A$1:$BQ$152,_xlfn.XMATCH($B606,'FX Rates'!$A$1:$BQ$1,-1,1),0))))</f>
        <v/>
      </c>
    </row>
    <row r="607" spans="2:10" x14ac:dyDescent="0.25">
      <c r="B607" s="87"/>
      <c r="I607" s="111" t="str">
        <f t="shared" si="11"/>
        <v/>
      </c>
      <c r="J607" s="89" t="str">
        <f>IF(ISBLANK($H607),"",IF(VLOOKUP($H607,'FX Rates'!$A$1:$BQ$152,_xlfn.XMATCH($B607,'FX Rates'!$A$1:$BQ$1,-1,1),0)=0,"No Exch Rate Data",IF($G607=0,"",$G607/VLOOKUP($H607,'FX Rates'!$A$1:$BQ$152,_xlfn.XMATCH($B607,'FX Rates'!$A$1:$BQ$1,-1,1),0))))</f>
        <v/>
      </c>
    </row>
    <row r="608" spans="2:10" x14ac:dyDescent="0.25">
      <c r="B608" s="87"/>
      <c r="I608" s="111" t="str">
        <f t="shared" si="11"/>
        <v/>
      </c>
      <c r="J608" s="89" t="str">
        <f>IF(ISBLANK($H608),"",IF(VLOOKUP($H608,'FX Rates'!$A$1:$BQ$152,_xlfn.XMATCH($B608,'FX Rates'!$A$1:$BQ$1,-1,1),0)=0,"No Exch Rate Data",IF($G608=0,"",$G608/VLOOKUP($H608,'FX Rates'!$A$1:$BQ$152,_xlfn.XMATCH($B608,'FX Rates'!$A$1:$BQ$1,-1,1),0))))</f>
        <v/>
      </c>
    </row>
    <row r="609" spans="2:10" x14ac:dyDescent="0.25">
      <c r="B609" s="87"/>
      <c r="I609" s="111" t="str">
        <f t="shared" si="11"/>
        <v/>
      </c>
      <c r="J609" s="89" t="str">
        <f>IF(ISBLANK($H609),"",IF(VLOOKUP($H609,'FX Rates'!$A$1:$BQ$152,_xlfn.XMATCH($B609,'FX Rates'!$A$1:$BQ$1,-1,1),0)=0,"No Exch Rate Data",IF($G609=0,"",$G609/VLOOKUP($H609,'FX Rates'!$A$1:$BQ$152,_xlfn.XMATCH($B609,'FX Rates'!$A$1:$BQ$1,-1,1),0))))</f>
        <v/>
      </c>
    </row>
    <row r="610" spans="2:10" x14ac:dyDescent="0.25">
      <c r="B610" s="87"/>
      <c r="I610" s="111" t="str">
        <f t="shared" si="11"/>
        <v/>
      </c>
      <c r="J610" s="89" t="str">
        <f>IF(ISBLANK($H610),"",IF(VLOOKUP($H610,'FX Rates'!$A$1:$BQ$152,_xlfn.XMATCH($B610,'FX Rates'!$A$1:$BQ$1,-1,1),0)=0,"No Exch Rate Data",IF($G610=0,"",$G610/VLOOKUP($H610,'FX Rates'!$A$1:$BQ$152,_xlfn.XMATCH($B610,'FX Rates'!$A$1:$BQ$1,-1,1),0))))</f>
        <v/>
      </c>
    </row>
    <row r="611" spans="2:10" x14ac:dyDescent="0.25">
      <c r="B611" s="87"/>
      <c r="I611" s="111" t="str">
        <f t="shared" si="11"/>
        <v/>
      </c>
      <c r="J611" s="89" t="str">
        <f>IF(ISBLANK($H611),"",IF(VLOOKUP($H611,'FX Rates'!$A$1:$BQ$152,_xlfn.XMATCH($B611,'FX Rates'!$A$1:$BQ$1,-1,1),0)=0,"No Exch Rate Data",IF($G611=0,"",$G611/VLOOKUP($H611,'FX Rates'!$A$1:$BQ$152,_xlfn.XMATCH($B611,'FX Rates'!$A$1:$BQ$1,-1,1),0))))</f>
        <v/>
      </c>
    </row>
    <row r="612" spans="2:10" x14ac:dyDescent="0.25">
      <c r="B612" s="87"/>
      <c r="I612" s="111" t="str">
        <f t="shared" si="11"/>
        <v/>
      </c>
      <c r="J612" s="89" t="str">
        <f>IF(ISBLANK($H612),"",IF(VLOOKUP($H612,'FX Rates'!$A$1:$BQ$152,_xlfn.XMATCH($B612,'FX Rates'!$A$1:$BQ$1,-1,1),0)=0,"No Exch Rate Data",IF($G612=0,"",$G612/VLOOKUP($H612,'FX Rates'!$A$1:$BQ$152,_xlfn.XMATCH($B612,'FX Rates'!$A$1:$BQ$1,-1,1),0))))</f>
        <v/>
      </c>
    </row>
    <row r="613" spans="2:10" x14ac:dyDescent="0.25">
      <c r="B613" s="87"/>
      <c r="I613" s="111" t="str">
        <f t="shared" si="11"/>
        <v/>
      </c>
      <c r="J613" s="89" t="str">
        <f>IF(ISBLANK($H613),"",IF(VLOOKUP($H613,'FX Rates'!$A$1:$BQ$152,_xlfn.XMATCH($B613,'FX Rates'!$A$1:$BQ$1,-1,1),0)=0,"No Exch Rate Data",IF($G613=0,"",$G613/VLOOKUP($H613,'FX Rates'!$A$1:$BQ$152,_xlfn.XMATCH($B613,'FX Rates'!$A$1:$BQ$1,-1,1),0))))</f>
        <v/>
      </c>
    </row>
    <row r="614" spans="2:10" x14ac:dyDescent="0.25">
      <c r="B614" s="87"/>
      <c r="I614" s="111" t="str">
        <f t="shared" si="11"/>
        <v/>
      </c>
      <c r="J614" s="89" t="str">
        <f>IF(ISBLANK($H614),"",IF(VLOOKUP($H614,'FX Rates'!$A$1:$BQ$152,_xlfn.XMATCH($B614,'FX Rates'!$A$1:$BQ$1,-1,1),0)=0,"No Exch Rate Data",IF($G614=0,"",$G614/VLOOKUP($H614,'FX Rates'!$A$1:$BQ$152,_xlfn.XMATCH($B614,'FX Rates'!$A$1:$BQ$1,-1,1),0))))</f>
        <v/>
      </c>
    </row>
    <row r="615" spans="2:10" x14ac:dyDescent="0.25">
      <c r="B615" s="87"/>
      <c r="I615" s="111" t="str">
        <f t="shared" si="11"/>
        <v/>
      </c>
      <c r="J615" s="89" t="str">
        <f>IF(ISBLANK($H615),"",IF(VLOOKUP($H615,'FX Rates'!$A$1:$BQ$152,_xlfn.XMATCH($B615,'FX Rates'!$A$1:$BQ$1,-1,1),0)=0,"No Exch Rate Data",IF($G615=0,"",$G615/VLOOKUP($H615,'FX Rates'!$A$1:$BQ$152,_xlfn.XMATCH($B615,'FX Rates'!$A$1:$BQ$1,-1,1),0))))</f>
        <v/>
      </c>
    </row>
    <row r="616" spans="2:10" x14ac:dyDescent="0.25">
      <c r="B616" s="87"/>
      <c r="I616" s="111" t="str">
        <f t="shared" si="11"/>
        <v/>
      </c>
      <c r="J616" s="89" t="str">
        <f>IF(ISBLANK($H616),"",IF(VLOOKUP($H616,'FX Rates'!$A$1:$BQ$152,_xlfn.XMATCH($B616,'FX Rates'!$A$1:$BQ$1,-1,1),0)=0,"No Exch Rate Data",IF($G616=0,"",$G616/VLOOKUP($H616,'FX Rates'!$A$1:$BQ$152,_xlfn.XMATCH($B616,'FX Rates'!$A$1:$BQ$1,-1,1),0))))</f>
        <v/>
      </c>
    </row>
    <row r="617" spans="2:10" x14ac:dyDescent="0.25">
      <c r="B617" s="87"/>
      <c r="I617" s="111" t="str">
        <f t="shared" si="11"/>
        <v/>
      </c>
      <c r="J617" s="89" t="str">
        <f>IF(ISBLANK($H617),"",IF(VLOOKUP($H617,'FX Rates'!$A$1:$BQ$152,_xlfn.XMATCH($B617,'FX Rates'!$A$1:$BQ$1,-1,1),0)=0,"No Exch Rate Data",IF($G617=0,"",$G617/VLOOKUP($H617,'FX Rates'!$A$1:$BQ$152,_xlfn.XMATCH($B617,'FX Rates'!$A$1:$BQ$1,-1,1),0))))</f>
        <v/>
      </c>
    </row>
    <row r="618" spans="2:10" x14ac:dyDescent="0.25">
      <c r="B618" s="87"/>
      <c r="I618" s="111" t="str">
        <f t="shared" ref="I618:I681" si="12">IF(ISBLANK($D618),"",_xlfn.XLOOKUP($D618,Item_List,Time_Span,"",0))</f>
        <v/>
      </c>
      <c r="J618" s="89" t="str">
        <f>IF(ISBLANK($H618),"",IF(VLOOKUP($H618,'FX Rates'!$A$1:$BQ$152,_xlfn.XMATCH($B618,'FX Rates'!$A$1:$BQ$1,-1,1),0)=0,"No Exch Rate Data",IF($G618=0,"",$G618/VLOOKUP($H618,'FX Rates'!$A$1:$BQ$152,_xlfn.XMATCH($B618,'FX Rates'!$A$1:$BQ$1,-1,1),0))))</f>
        <v/>
      </c>
    </row>
    <row r="619" spans="2:10" x14ac:dyDescent="0.25">
      <c r="B619" s="87"/>
      <c r="I619" s="111" t="str">
        <f t="shared" si="12"/>
        <v/>
      </c>
      <c r="J619" s="89" t="str">
        <f>IF(ISBLANK($H619),"",IF(VLOOKUP($H619,'FX Rates'!$A$1:$BQ$152,_xlfn.XMATCH($B619,'FX Rates'!$A$1:$BQ$1,-1,1),0)=0,"No Exch Rate Data",IF($G619=0,"",$G619/VLOOKUP($H619,'FX Rates'!$A$1:$BQ$152,_xlfn.XMATCH($B619,'FX Rates'!$A$1:$BQ$1,-1,1),0))))</f>
        <v/>
      </c>
    </row>
    <row r="620" spans="2:10" x14ac:dyDescent="0.25">
      <c r="B620" s="87"/>
      <c r="I620" s="111" t="str">
        <f t="shared" si="12"/>
        <v/>
      </c>
      <c r="J620" s="89" t="str">
        <f>IF(ISBLANK($H620),"",IF(VLOOKUP($H620,'FX Rates'!$A$1:$BQ$152,_xlfn.XMATCH($B620,'FX Rates'!$A$1:$BQ$1,-1,1),0)=0,"No Exch Rate Data",IF($G620=0,"",$G620/VLOOKUP($H620,'FX Rates'!$A$1:$BQ$152,_xlfn.XMATCH($B620,'FX Rates'!$A$1:$BQ$1,-1,1),0))))</f>
        <v/>
      </c>
    </row>
    <row r="621" spans="2:10" x14ac:dyDescent="0.25">
      <c r="B621" s="87"/>
      <c r="I621" s="111" t="str">
        <f t="shared" si="12"/>
        <v/>
      </c>
      <c r="J621" s="89" t="str">
        <f>IF(ISBLANK($H621),"",IF(VLOOKUP($H621,'FX Rates'!$A$1:$BQ$152,_xlfn.XMATCH($B621,'FX Rates'!$A$1:$BQ$1,-1,1),0)=0,"No Exch Rate Data",IF($G621=0,"",$G621/VLOOKUP($H621,'FX Rates'!$A$1:$BQ$152,_xlfn.XMATCH($B621,'FX Rates'!$A$1:$BQ$1,-1,1),0))))</f>
        <v/>
      </c>
    </row>
    <row r="622" spans="2:10" x14ac:dyDescent="0.25">
      <c r="B622" s="87"/>
      <c r="I622" s="111" t="str">
        <f t="shared" si="12"/>
        <v/>
      </c>
      <c r="J622" s="89" t="str">
        <f>IF(ISBLANK($H622),"",IF(VLOOKUP($H622,'FX Rates'!$A$1:$BQ$152,_xlfn.XMATCH($B622,'FX Rates'!$A$1:$BQ$1,-1,1),0)=0,"No Exch Rate Data",IF($G622=0,"",$G622/VLOOKUP($H622,'FX Rates'!$A$1:$BQ$152,_xlfn.XMATCH($B622,'FX Rates'!$A$1:$BQ$1,-1,1),0))))</f>
        <v/>
      </c>
    </row>
    <row r="623" spans="2:10" x14ac:dyDescent="0.25">
      <c r="B623" s="87"/>
      <c r="I623" s="111" t="str">
        <f t="shared" si="12"/>
        <v/>
      </c>
      <c r="J623" s="89" t="str">
        <f>IF(ISBLANK($H623),"",IF(VLOOKUP($H623,'FX Rates'!$A$1:$BQ$152,_xlfn.XMATCH($B623,'FX Rates'!$A$1:$BQ$1,-1,1),0)=0,"No Exch Rate Data",IF($G623=0,"",$G623/VLOOKUP($H623,'FX Rates'!$A$1:$BQ$152,_xlfn.XMATCH($B623,'FX Rates'!$A$1:$BQ$1,-1,1),0))))</f>
        <v/>
      </c>
    </row>
    <row r="624" spans="2:10" x14ac:dyDescent="0.25">
      <c r="B624" s="87"/>
      <c r="I624" s="111" t="str">
        <f t="shared" si="12"/>
        <v/>
      </c>
      <c r="J624" s="89" t="str">
        <f>IF(ISBLANK($H624),"",IF(VLOOKUP($H624,'FX Rates'!$A$1:$BQ$152,_xlfn.XMATCH($B624,'FX Rates'!$A$1:$BQ$1,-1,1),0)=0,"No Exch Rate Data",IF($G624=0,"",$G624/VLOOKUP($H624,'FX Rates'!$A$1:$BQ$152,_xlfn.XMATCH($B624,'FX Rates'!$A$1:$BQ$1,-1,1),0))))</f>
        <v/>
      </c>
    </row>
    <row r="625" spans="2:10" x14ac:dyDescent="0.25">
      <c r="B625" s="87"/>
      <c r="I625" s="111" t="str">
        <f t="shared" si="12"/>
        <v/>
      </c>
      <c r="J625" s="89" t="str">
        <f>IF(ISBLANK($H625),"",IF(VLOOKUP($H625,'FX Rates'!$A$1:$BQ$152,_xlfn.XMATCH($B625,'FX Rates'!$A$1:$BQ$1,-1,1),0)=0,"No Exch Rate Data",IF($G625=0,"",$G625/VLOOKUP($H625,'FX Rates'!$A$1:$BQ$152,_xlfn.XMATCH($B625,'FX Rates'!$A$1:$BQ$1,-1,1),0))))</f>
        <v/>
      </c>
    </row>
    <row r="626" spans="2:10" x14ac:dyDescent="0.25">
      <c r="B626" s="87"/>
      <c r="I626" s="111" t="str">
        <f t="shared" si="12"/>
        <v/>
      </c>
      <c r="J626" s="89" t="str">
        <f>IF(ISBLANK($H626),"",IF(VLOOKUP($H626,'FX Rates'!$A$1:$BQ$152,_xlfn.XMATCH($B626,'FX Rates'!$A$1:$BQ$1,-1,1),0)=0,"No Exch Rate Data",IF($G626=0,"",$G626/VLOOKUP($H626,'FX Rates'!$A$1:$BQ$152,_xlfn.XMATCH($B626,'FX Rates'!$A$1:$BQ$1,-1,1),0))))</f>
        <v/>
      </c>
    </row>
    <row r="627" spans="2:10" x14ac:dyDescent="0.25">
      <c r="B627" s="87"/>
      <c r="I627" s="111" t="str">
        <f t="shared" si="12"/>
        <v/>
      </c>
      <c r="J627" s="89" t="str">
        <f>IF(ISBLANK($H627),"",IF(VLOOKUP($H627,'FX Rates'!$A$1:$BQ$152,_xlfn.XMATCH($B627,'FX Rates'!$A$1:$BQ$1,-1,1),0)=0,"No Exch Rate Data",IF($G627=0,"",$G627/VLOOKUP($H627,'FX Rates'!$A$1:$BQ$152,_xlfn.XMATCH($B627,'FX Rates'!$A$1:$BQ$1,-1,1),0))))</f>
        <v/>
      </c>
    </row>
    <row r="628" spans="2:10" x14ac:dyDescent="0.25">
      <c r="B628" s="87"/>
      <c r="I628" s="111" t="str">
        <f t="shared" si="12"/>
        <v/>
      </c>
      <c r="J628" s="89" t="str">
        <f>IF(ISBLANK($H628),"",IF(VLOOKUP($H628,'FX Rates'!$A$1:$BQ$152,_xlfn.XMATCH($B628,'FX Rates'!$A$1:$BQ$1,-1,1),0)=0,"No Exch Rate Data",IF($G628=0,"",$G628/VLOOKUP($H628,'FX Rates'!$A$1:$BQ$152,_xlfn.XMATCH($B628,'FX Rates'!$A$1:$BQ$1,-1,1),0))))</f>
        <v/>
      </c>
    </row>
    <row r="629" spans="2:10" x14ac:dyDescent="0.25">
      <c r="B629" s="87"/>
      <c r="I629" s="111" t="str">
        <f t="shared" si="12"/>
        <v/>
      </c>
      <c r="J629" s="89" t="str">
        <f>IF(ISBLANK($H629),"",IF(VLOOKUP($H629,'FX Rates'!$A$1:$BQ$152,_xlfn.XMATCH($B629,'FX Rates'!$A$1:$BQ$1,-1,1),0)=0,"No Exch Rate Data",IF($G629=0,"",$G629/VLOOKUP($H629,'FX Rates'!$A$1:$BQ$152,_xlfn.XMATCH($B629,'FX Rates'!$A$1:$BQ$1,-1,1),0))))</f>
        <v/>
      </c>
    </row>
    <row r="630" spans="2:10" x14ac:dyDescent="0.25">
      <c r="B630" s="87"/>
      <c r="I630" s="111" t="str">
        <f t="shared" si="12"/>
        <v/>
      </c>
      <c r="J630" s="89" t="str">
        <f>IF(ISBLANK($H630),"",IF(VLOOKUP($H630,'FX Rates'!$A$1:$BQ$152,_xlfn.XMATCH($B630,'FX Rates'!$A$1:$BQ$1,-1,1),0)=0,"No Exch Rate Data",IF($G630=0,"",$G630/VLOOKUP($H630,'FX Rates'!$A$1:$BQ$152,_xlfn.XMATCH($B630,'FX Rates'!$A$1:$BQ$1,-1,1),0))))</f>
        <v/>
      </c>
    </row>
    <row r="631" spans="2:10" x14ac:dyDescent="0.25">
      <c r="B631" s="87"/>
      <c r="I631" s="111" t="str">
        <f t="shared" si="12"/>
        <v/>
      </c>
      <c r="J631" s="89" t="str">
        <f>IF(ISBLANK($H631),"",IF(VLOOKUP($H631,'FX Rates'!$A$1:$BQ$152,_xlfn.XMATCH($B631,'FX Rates'!$A$1:$BQ$1,-1,1),0)=0,"No Exch Rate Data",IF($G631=0,"",$G631/VLOOKUP($H631,'FX Rates'!$A$1:$BQ$152,_xlfn.XMATCH($B631,'FX Rates'!$A$1:$BQ$1,-1,1),0))))</f>
        <v/>
      </c>
    </row>
    <row r="632" spans="2:10" x14ac:dyDescent="0.25">
      <c r="B632" s="87"/>
      <c r="I632" s="111" t="str">
        <f t="shared" si="12"/>
        <v/>
      </c>
      <c r="J632" s="89" t="str">
        <f>IF(ISBLANK($H632),"",IF(VLOOKUP($H632,'FX Rates'!$A$1:$BQ$152,_xlfn.XMATCH($B632,'FX Rates'!$A$1:$BQ$1,-1,1),0)=0,"No Exch Rate Data",IF($G632=0,"",$G632/VLOOKUP($H632,'FX Rates'!$A$1:$BQ$152,_xlfn.XMATCH($B632,'FX Rates'!$A$1:$BQ$1,-1,1),0))))</f>
        <v/>
      </c>
    </row>
    <row r="633" spans="2:10" x14ac:dyDescent="0.25">
      <c r="B633" s="87"/>
      <c r="I633" s="111" t="str">
        <f t="shared" si="12"/>
        <v/>
      </c>
      <c r="J633" s="89" t="str">
        <f>IF(ISBLANK($H633),"",IF(VLOOKUP($H633,'FX Rates'!$A$1:$BQ$152,_xlfn.XMATCH($B633,'FX Rates'!$A$1:$BQ$1,-1,1),0)=0,"No Exch Rate Data",IF($G633=0,"",$G633/VLOOKUP($H633,'FX Rates'!$A$1:$BQ$152,_xlfn.XMATCH($B633,'FX Rates'!$A$1:$BQ$1,-1,1),0))))</f>
        <v/>
      </c>
    </row>
    <row r="634" spans="2:10" x14ac:dyDescent="0.25">
      <c r="B634" s="87"/>
      <c r="I634" s="111" t="str">
        <f t="shared" si="12"/>
        <v/>
      </c>
      <c r="J634" s="89" t="str">
        <f>IF(ISBLANK($H634),"",IF(VLOOKUP($H634,'FX Rates'!$A$1:$BQ$152,_xlfn.XMATCH($B634,'FX Rates'!$A$1:$BQ$1,-1,1),0)=0,"No Exch Rate Data",IF($G634=0,"",$G634/VLOOKUP($H634,'FX Rates'!$A$1:$BQ$152,_xlfn.XMATCH($B634,'FX Rates'!$A$1:$BQ$1,-1,1),0))))</f>
        <v/>
      </c>
    </row>
    <row r="635" spans="2:10" x14ac:dyDescent="0.25">
      <c r="B635" s="87"/>
      <c r="I635" s="111" t="str">
        <f t="shared" si="12"/>
        <v/>
      </c>
      <c r="J635" s="89" t="str">
        <f>IF(ISBLANK($H635),"",IF(VLOOKUP($H635,'FX Rates'!$A$1:$BQ$152,_xlfn.XMATCH($B635,'FX Rates'!$A$1:$BQ$1,-1,1),0)=0,"No Exch Rate Data",IF($G635=0,"",$G635/VLOOKUP($H635,'FX Rates'!$A$1:$BQ$152,_xlfn.XMATCH($B635,'FX Rates'!$A$1:$BQ$1,-1,1),0))))</f>
        <v/>
      </c>
    </row>
    <row r="636" spans="2:10" x14ac:dyDescent="0.25">
      <c r="B636" s="87"/>
      <c r="I636" s="111" t="str">
        <f t="shared" si="12"/>
        <v/>
      </c>
      <c r="J636" s="89" t="str">
        <f>IF(ISBLANK($H636),"",IF(VLOOKUP($H636,'FX Rates'!$A$1:$BQ$152,_xlfn.XMATCH($B636,'FX Rates'!$A$1:$BQ$1,-1,1),0)=0,"No Exch Rate Data",IF($G636=0,"",$G636/VLOOKUP($H636,'FX Rates'!$A$1:$BQ$152,_xlfn.XMATCH($B636,'FX Rates'!$A$1:$BQ$1,-1,1),0))))</f>
        <v/>
      </c>
    </row>
    <row r="637" spans="2:10" x14ac:dyDescent="0.25">
      <c r="B637" s="87"/>
      <c r="I637" s="111" t="str">
        <f t="shared" si="12"/>
        <v/>
      </c>
      <c r="J637" s="89" t="str">
        <f>IF(ISBLANK($H637),"",IF(VLOOKUP($H637,'FX Rates'!$A$1:$BQ$152,_xlfn.XMATCH($B637,'FX Rates'!$A$1:$BQ$1,-1,1),0)=0,"No Exch Rate Data",IF($G637=0,"",$G637/VLOOKUP($H637,'FX Rates'!$A$1:$BQ$152,_xlfn.XMATCH($B637,'FX Rates'!$A$1:$BQ$1,-1,1),0))))</f>
        <v/>
      </c>
    </row>
    <row r="638" spans="2:10" x14ac:dyDescent="0.25">
      <c r="B638" s="87"/>
      <c r="I638" s="111" t="str">
        <f t="shared" si="12"/>
        <v/>
      </c>
      <c r="J638" s="89" t="str">
        <f>IF(ISBLANK($H638),"",IF(VLOOKUP($H638,'FX Rates'!$A$1:$BQ$152,_xlfn.XMATCH($B638,'FX Rates'!$A$1:$BQ$1,-1,1),0)=0,"No Exch Rate Data",IF($G638=0,"",$G638/VLOOKUP($H638,'FX Rates'!$A$1:$BQ$152,_xlfn.XMATCH($B638,'FX Rates'!$A$1:$BQ$1,-1,1),0))))</f>
        <v/>
      </c>
    </row>
    <row r="639" spans="2:10" x14ac:dyDescent="0.25">
      <c r="B639" s="87"/>
      <c r="I639" s="111" t="str">
        <f t="shared" si="12"/>
        <v/>
      </c>
      <c r="J639" s="89" t="str">
        <f>IF(ISBLANK($H639),"",IF(VLOOKUP($H639,'FX Rates'!$A$1:$BQ$152,_xlfn.XMATCH($B639,'FX Rates'!$A$1:$BQ$1,-1,1),0)=0,"No Exch Rate Data",IF($G639=0,"",$G639/VLOOKUP($H639,'FX Rates'!$A$1:$BQ$152,_xlfn.XMATCH($B639,'FX Rates'!$A$1:$BQ$1,-1,1),0))))</f>
        <v/>
      </c>
    </row>
    <row r="640" spans="2:10" x14ac:dyDescent="0.25">
      <c r="B640" s="87"/>
      <c r="I640" s="111" t="str">
        <f t="shared" si="12"/>
        <v/>
      </c>
      <c r="J640" s="89" t="str">
        <f>IF(ISBLANK($H640),"",IF(VLOOKUP($H640,'FX Rates'!$A$1:$BQ$152,_xlfn.XMATCH($B640,'FX Rates'!$A$1:$BQ$1,-1,1),0)=0,"No Exch Rate Data",IF($G640=0,"",$G640/VLOOKUP($H640,'FX Rates'!$A$1:$BQ$152,_xlfn.XMATCH($B640,'FX Rates'!$A$1:$BQ$1,-1,1),0))))</f>
        <v/>
      </c>
    </row>
    <row r="641" spans="2:10" x14ac:dyDescent="0.25">
      <c r="B641" s="87"/>
      <c r="I641" s="111" t="str">
        <f t="shared" si="12"/>
        <v/>
      </c>
      <c r="J641" s="89" t="str">
        <f>IF(ISBLANK($H641),"",IF(VLOOKUP($H641,'FX Rates'!$A$1:$BQ$152,_xlfn.XMATCH($B641,'FX Rates'!$A$1:$BQ$1,-1,1),0)=0,"No Exch Rate Data",IF($G641=0,"",$G641/VLOOKUP($H641,'FX Rates'!$A$1:$BQ$152,_xlfn.XMATCH($B641,'FX Rates'!$A$1:$BQ$1,-1,1),0))))</f>
        <v/>
      </c>
    </row>
    <row r="642" spans="2:10" x14ac:dyDescent="0.25">
      <c r="B642" s="87"/>
      <c r="I642" s="111" t="str">
        <f t="shared" si="12"/>
        <v/>
      </c>
      <c r="J642" s="89" t="str">
        <f>IF(ISBLANK($H642),"",IF(VLOOKUP($H642,'FX Rates'!$A$1:$BQ$152,_xlfn.XMATCH($B642,'FX Rates'!$A$1:$BQ$1,-1,1),0)=0,"No Exch Rate Data",IF($G642=0,"",$G642/VLOOKUP($H642,'FX Rates'!$A$1:$BQ$152,_xlfn.XMATCH($B642,'FX Rates'!$A$1:$BQ$1,-1,1),0))))</f>
        <v/>
      </c>
    </row>
    <row r="643" spans="2:10" x14ac:dyDescent="0.25">
      <c r="B643" s="87"/>
      <c r="I643" s="111" t="str">
        <f t="shared" si="12"/>
        <v/>
      </c>
      <c r="J643" s="89" t="str">
        <f>IF(ISBLANK($H643),"",IF(VLOOKUP($H643,'FX Rates'!$A$1:$BQ$152,_xlfn.XMATCH($B643,'FX Rates'!$A$1:$BQ$1,-1,1),0)=0,"No Exch Rate Data",IF($G643=0,"",$G643/VLOOKUP($H643,'FX Rates'!$A$1:$BQ$152,_xlfn.XMATCH($B643,'FX Rates'!$A$1:$BQ$1,-1,1),0))))</f>
        <v/>
      </c>
    </row>
    <row r="644" spans="2:10" x14ac:dyDescent="0.25">
      <c r="B644" s="87"/>
      <c r="I644" s="111" t="str">
        <f t="shared" si="12"/>
        <v/>
      </c>
      <c r="J644" s="89" t="str">
        <f>IF(ISBLANK($H644),"",IF(VLOOKUP($H644,'FX Rates'!$A$1:$BQ$152,_xlfn.XMATCH($B644,'FX Rates'!$A$1:$BQ$1,-1,1),0)=0,"No Exch Rate Data",IF($G644=0,"",$G644/VLOOKUP($H644,'FX Rates'!$A$1:$BQ$152,_xlfn.XMATCH($B644,'FX Rates'!$A$1:$BQ$1,-1,1),0))))</f>
        <v/>
      </c>
    </row>
    <row r="645" spans="2:10" x14ac:dyDescent="0.25">
      <c r="B645" s="87"/>
      <c r="I645" s="111" t="str">
        <f t="shared" si="12"/>
        <v/>
      </c>
      <c r="J645" s="89" t="str">
        <f>IF(ISBLANK($H645),"",IF(VLOOKUP($H645,'FX Rates'!$A$1:$BQ$152,_xlfn.XMATCH($B645,'FX Rates'!$A$1:$BQ$1,-1,1),0)=0,"No Exch Rate Data",IF($G645=0,"",$G645/VLOOKUP($H645,'FX Rates'!$A$1:$BQ$152,_xlfn.XMATCH($B645,'FX Rates'!$A$1:$BQ$1,-1,1),0))))</f>
        <v/>
      </c>
    </row>
    <row r="646" spans="2:10" x14ac:dyDescent="0.25">
      <c r="B646" s="87"/>
      <c r="I646" s="111" t="str">
        <f t="shared" si="12"/>
        <v/>
      </c>
      <c r="J646" s="89" t="str">
        <f>IF(ISBLANK($H646),"",IF(VLOOKUP($H646,'FX Rates'!$A$1:$BQ$152,_xlfn.XMATCH($B646,'FX Rates'!$A$1:$BQ$1,-1,1),0)=0,"No Exch Rate Data",IF($G646=0,"",$G646/VLOOKUP($H646,'FX Rates'!$A$1:$BQ$152,_xlfn.XMATCH($B646,'FX Rates'!$A$1:$BQ$1,-1,1),0))))</f>
        <v/>
      </c>
    </row>
    <row r="647" spans="2:10" x14ac:dyDescent="0.25">
      <c r="B647" s="87"/>
      <c r="I647" s="111" t="str">
        <f t="shared" si="12"/>
        <v/>
      </c>
      <c r="J647" s="89" t="str">
        <f>IF(ISBLANK($H647),"",IF(VLOOKUP($H647,'FX Rates'!$A$1:$BQ$152,_xlfn.XMATCH($B647,'FX Rates'!$A$1:$BQ$1,-1,1),0)=0,"No Exch Rate Data",IF($G647=0,"",$G647/VLOOKUP($H647,'FX Rates'!$A$1:$BQ$152,_xlfn.XMATCH($B647,'FX Rates'!$A$1:$BQ$1,-1,1),0))))</f>
        <v/>
      </c>
    </row>
    <row r="648" spans="2:10" x14ac:dyDescent="0.25">
      <c r="B648" s="87"/>
      <c r="I648" s="111" t="str">
        <f t="shared" si="12"/>
        <v/>
      </c>
      <c r="J648" s="89" t="str">
        <f>IF(ISBLANK($H648),"",IF(VLOOKUP($H648,'FX Rates'!$A$1:$BQ$152,_xlfn.XMATCH($B648,'FX Rates'!$A$1:$BQ$1,-1,1),0)=0,"No Exch Rate Data",IF($G648=0,"",$G648/VLOOKUP($H648,'FX Rates'!$A$1:$BQ$152,_xlfn.XMATCH($B648,'FX Rates'!$A$1:$BQ$1,-1,1),0))))</f>
        <v/>
      </c>
    </row>
    <row r="649" spans="2:10" x14ac:dyDescent="0.25">
      <c r="B649" s="87"/>
      <c r="I649" s="111" t="str">
        <f t="shared" si="12"/>
        <v/>
      </c>
      <c r="J649" s="89" t="str">
        <f>IF(ISBLANK($H649),"",IF(VLOOKUP($H649,'FX Rates'!$A$1:$BQ$152,_xlfn.XMATCH($B649,'FX Rates'!$A$1:$BQ$1,-1,1),0)=0,"No Exch Rate Data",IF($G649=0,"",$G649/VLOOKUP($H649,'FX Rates'!$A$1:$BQ$152,_xlfn.XMATCH($B649,'FX Rates'!$A$1:$BQ$1,-1,1),0))))</f>
        <v/>
      </c>
    </row>
    <row r="650" spans="2:10" x14ac:dyDescent="0.25">
      <c r="B650" s="87"/>
      <c r="I650" s="111" t="str">
        <f t="shared" si="12"/>
        <v/>
      </c>
      <c r="J650" s="89" t="str">
        <f>IF(ISBLANK($H650),"",IF(VLOOKUP($H650,'FX Rates'!$A$1:$BQ$152,_xlfn.XMATCH($B650,'FX Rates'!$A$1:$BQ$1,-1,1),0)=0,"No Exch Rate Data",IF($G650=0,"",$G650/VLOOKUP($H650,'FX Rates'!$A$1:$BQ$152,_xlfn.XMATCH($B650,'FX Rates'!$A$1:$BQ$1,-1,1),0))))</f>
        <v/>
      </c>
    </row>
    <row r="651" spans="2:10" x14ac:dyDescent="0.25">
      <c r="B651" s="87"/>
      <c r="I651" s="111" t="str">
        <f t="shared" si="12"/>
        <v/>
      </c>
      <c r="J651" s="89" t="str">
        <f>IF(ISBLANK($H651),"",IF(VLOOKUP($H651,'FX Rates'!$A$1:$BQ$152,_xlfn.XMATCH($B651,'FX Rates'!$A$1:$BQ$1,-1,1),0)=0,"No Exch Rate Data",IF($G651=0,"",$G651/VLOOKUP($H651,'FX Rates'!$A$1:$BQ$152,_xlfn.XMATCH($B651,'FX Rates'!$A$1:$BQ$1,-1,1),0))))</f>
        <v/>
      </c>
    </row>
    <row r="652" spans="2:10" x14ac:dyDescent="0.25">
      <c r="B652" s="87"/>
      <c r="I652" s="111" t="str">
        <f t="shared" si="12"/>
        <v/>
      </c>
      <c r="J652" s="89" t="str">
        <f>IF(ISBLANK($H652),"",IF(VLOOKUP($H652,'FX Rates'!$A$1:$BQ$152,_xlfn.XMATCH($B652,'FX Rates'!$A$1:$BQ$1,-1,1),0)=0,"No Exch Rate Data",IF($G652=0,"",$G652/VLOOKUP($H652,'FX Rates'!$A$1:$BQ$152,_xlfn.XMATCH($B652,'FX Rates'!$A$1:$BQ$1,-1,1),0))))</f>
        <v/>
      </c>
    </row>
    <row r="653" spans="2:10" x14ac:dyDescent="0.25">
      <c r="B653" s="87"/>
      <c r="I653" s="111" t="str">
        <f t="shared" si="12"/>
        <v/>
      </c>
      <c r="J653" s="89" t="str">
        <f>IF(ISBLANK($H653),"",IF(VLOOKUP($H653,'FX Rates'!$A$1:$BQ$152,_xlfn.XMATCH($B653,'FX Rates'!$A$1:$BQ$1,-1,1),0)=0,"No Exch Rate Data",IF($G653=0,"",$G653/VLOOKUP($H653,'FX Rates'!$A$1:$BQ$152,_xlfn.XMATCH($B653,'FX Rates'!$A$1:$BQ$1,-1,1),0))))</f>
        <v/>
      </c>
    </row>
    <row r="654" spans="2:10" x14ac:dyDescent="0.25">
      <c r="B654" s="87"/>
      <c r="I654" s="111" t="str">
        <f t="shared" si="12"/>
        <v/>
      </c>
      <c r="J654" s="89" t="str">
        <f>IF(ISBLANK($H654),"",IF(VLOOKUP($H654,'FX Rates'!$A$1:$BQ$152,_xlfn.XMATCH($B654,'FX Rates'!$A$1:$BQ$1,-1,1),0)=0,"No Exch Rate Data",IF($G654=0,"",$G654/VLOOKUP($H654,'FX Rates'!$A$1:$BQ$152,_xlfn.XMATCH($B654,'FX Rates'!$A$1:$BQ$1,-1,1),0))))</f>
        <v/>
      </c>
    </row>
    <row r="655" spans="2:10" x14ac:dyDescent="0.25">
      <c r="B655" s="87"/>
      <c r="I655" s="111" t="str">
        <f t="shared" si="12"/>
        <v/>
      </c>
      <c r="J655" s="89" t="str">
        <f>IF(ISBLANK($H655),"",IF(VLOOKUP($H655,'FX Rates'!$A$1:$BQ$152,_xlfn.XMATCH($B655,'FX Rates'!$A$1:$BQ$1,-1,1),0)=0,"No Exch Rate Data",IF($G655=0,"",$G655/VLOOKUP($H655,'FX Rates'!$A$1:$BQ$152,_xlfn.XMATCH($B655,'FX Rates'!$A$1:$BQ$1,-1,1),0))))</f>
        <v/>
      </c>
    </row>
    <row r="656" spans="2:10" x14ac:dyDescent="0.25">
      <c r="B656" s="87"/>
      <c r="I656" s="111" t="str">
        <f t="shared" si="12"/>
        <v/>
      </c>
      <c r="J656" s="89" t="str">
        <f>IF(ISBLANK($H656),"",IF(VLOOKUP($H656,'FX Rates'!$A$1:$BQ$152,_xlfn.XMATCH($B656,'FX Rates'!$A$1:$BQ$1,-1,1),0)=0,"No Exch Rate Data",IF($G656=0,"",$G656/VLOOKUP($H656,'FX Rates'!$A$1:$BQ$152,_xlfn.XMATCH($B656,'FX Rates'!$A$1:$BQ$1,-1,1),0))))</f>
        <v/>
      </c>
    </row>
    <row r="657" spans="2:10" x14ac:dyDescent="0.25">
      <c r="B657" s="87"/>
      <c r="I657" s="111" t="str">
        <f t="shared" si="12"/>
        <v/>
      </c>
      <c r="J657" s="89" t="str">
        <f>IF(ISBLANK($H657),"",IF(VLOOKUP($H657,'FX Rates'!$A$1:$BQ$152,_xlfn.XMATCH($B657,'FX Rates'!$A$1:$BQ$1,-1,1),0)=0,"No Exch Rate Data",IF($G657=0,"",$G657/VLOOKUP($H657,'FX Rates'!$A$1:$BQ$152,_xlfn.XMATCH($B657,'FX Rates'!$A$1:$BQ$1,-1,1),0))))</f>
        <v/>
      </c>
    </row>
    <row r="658" spans="2:10" x14ac:dyDescent="0.25">
      <c r="B658" s="87"/>
      <c r="I658" s="111" t="str">
        <f t="shared" si="12"/>
        <v/>
      </c>
      <c r="J658" s="89" t="str">
        <f>IF(ISBLANK($H658),"",IF(VLOOKUP($H658,'FX Rates'!$A$1:$BQ$152,_xlfn.XMATCH($B658,'FX Rates'!$A$1:$BQ$1,-1,1),0)=0,"No Exch Rate Data",IF($G658=0,"",$G658/VLOOKUP($H658,'FX Rates'!$A$1:$BQ$152,_xlfn.XMATCH($B658,'FX Rates'!$A$1:$BQ$1,-1,1),0))))</f>
        <v/>
      </c>
    </row>
    <row r="659" spans="2:10" x14ac:dyDescent="0.25">
      <c r="B659" s="87"/>
      <c r="I659" s="111" t="str">
        <f t="shared" si="12"/>
        <v/>
      </c>
      <c r="J659" s="89" t="str">
        <f>IF(ISBLANK($H659),"",IF(VLOOKUP($H659,'FX Rates'!$A$1:$BQ$152,_xlfn.XMATCH($B659,'FX Rates'!$A$1:$BQ$1,-1,1),0)=0,"No Exch Rate Data",IF($G659=0,"",$G659/VLOOKUP($H659,'FX Rates'!$A$1:$BQ$152,_xlfn.XMATCH($B659,'FX Rates'!$A$1:$BQ$1,-1,1),0))))</f>
        <v/>
      </c>
    </row>
    <row r="660" spans="2:10" x14ac:dyDescent="0.25">
      <c r="B660" s="87"/>
      <c r="I660" s="111" t="str">
        <f t="shared" si="12"/>
        <v/>
      </c>
      <c r="J660" s="89" t="str">
        <f>IF(ISBLANK($H660),"",IF(VLOOKUP($H660,'FX Rates'!$A$1:$BQ$152,_xlfn.XMATCH($B660,'FX Rates'!$A$1:$BQ$1,-1,1),0)=0,"No Exch Rate Data",IF($G660=0,"",$G660/VLOOKUP($H660,'FX Rates'!$A$1:$BQ$152,_xlfn.XMATCH($B660,'FX Rates'!$A$1:$BQ$1,-1,1),0))))</f>
        <v/>
      </c>
    </row>
    <row r="661" spans="2:10" x14ac:dyDescent="0.25">
      <c r="B661" s="87"/>
      <c r="I661" s="111" t="str">
        <f t="shared" si="12"/>
        <v/>
      </c>
      <c r="J661" s="89" t="str">
        <f>IF(ISBLANK($H661),"",IF(VLOOKUP($H661,'FX Rates'!$A$1:$BQ$152,_xlfn.XMATCH($B661,'FX Rates'!$A$1:$BQ$1,-1,1),0)=0,"No Exch Rate Data",IF($G661=0,"",$G661/VLOOKUP($H661,'FX Rates'!$A$1:$BQ$152,_xlfn.XMATCH($B661,'FX Rates'!$A$1:$BQ$1,-1,1),0))))</f>
        <v/>
      </c>
    </row>
    <row r="662" spans="2:10" x14ac:dyDescent="0.25">
      <c r="B662" s="87"/>
      <c r="I662" s="111" t="str">
        <f t="shared" si="12"/>
        <v/>
      </c>
      <c r="J662" s="89" t="str">
        <f>IF(ISBLANK($H662),"",IF(VLOOKUP($H662,'FX Rates'!$A$1:$BQ$152,_xlfn.XMATCH($B662,'FX Rates'!$A$1:$BQ$1,-1,1),0)=0,"No Exch Rate Data",IF($G662=0,"",$G662/VLOOKUP($H662,'FX Rates'!$A$1:$BQ$152,_xlfn.XMATCH($B662,'FX Rates'!$A$1:$BQ$1,-1,1),0))))</f>
        <v/>
      </c>
    </row>
    <row r="663" spans="2:10" x14ac:dyDescent="0.25">
      <c r="B663" s="87"/>
      <c r="I663" s="111" t="str">
        <f t="shared" si="12"/>
        <v/>
      </c>
      <c r="J663" s="89" t="str">
        <f>IF(ISBLANK($H663),"",IF(VLOOKUP($H663,'FX Rates'!$A$1:$BQ$152,_xlfn.XMATCH($B663,'FX Rates'!$A$1:$BQ$1,-1,1),0)=0,"No Exch Rate Data",IF($G663=0,"",$G663/VLOOKUP($H663,'FX Rates'!$A$1:$BQ$152,_xlfn.XMATCH($B663,'FX Rates'!$A$1:$BQ$1,-1,1),0))))</f>
        <v/>
      </c>
    </row>
    <row r="664" spans="2:10" x14ac:dyDescent="0.25">
      <c r="B664" s="87"/>
      <c r="I664" s="111" t="str">
        <f t="shared" si="12"/>
        <v/>
      </c>
      <c r="J664" s="89" t="str">
        <f>IF(ISBLANK($H664),"",IF(VLOOKUP($H664,'FX Rates'!$A$1:$BQ$152,_xlfn.XMATCH($B664,'FX Rates'!$A$1:$BQ$1,-1,1),0)=0,"No Exch Rate Data",IF($G664=0,"",$G664/VLOOKUP($H664,'FX Rates'!$A$1:$BQ$152,_xlfn.XMATCH($B664,'FX Rates'!$A$1:$BQ$1,-1,1),0))))</f>
        <v/>
      </c>
    </row>
    <row r="665" spans="2:10" x14ac:dyDescent="0.25">
      <c r="B665" s="87"/>
      <c r="I665" s="111" t="str">
        <f t="shared" si="12"/>
        <v/>
      </c>
      <c r="J665" s="89" t="str">
        <f>IF(ISBLANK($H665),"",IF(VLOOKUP($H665,'FX Rates'!$A$1:$BQ$152,_xlfn.XMATCH($B665,'FX Rates'!$A$1:$BQ$1,-1,1),0)=0,"No Exch Rate Data",IF($G665=0,"",$G665/VLOOKUP($H665,'FX Rates'!$A$1:$BQ$152,_xlfn.XMATCH($B665,'FX Rates'!$A$1:$BQ$1,-1,1),0))))</f>
        <v/>
      </c>
    </row>
    <row r="666" spans="2:10" x14ac:dyDescent="0.25">
      <c r="B666" s="87"/>
      <c r="I666" s="111" t="str">
        <f t="shared" si="12"/>
        <v/>
      </c>
      <c r="J666" s="89" t="str">
        <f>IF(ISBLANK($H666),"",IF(VLOOKUP($H666,'FX Rates'!$A$1:$BQ$152,_xlfn.XMATCH($B666,'FX Rates'!$A$1:$BQ$1,-1,1),0)=0,"No Exch Rate Data",IF($G666=0,"",$G666/VLOOKUP($H666,'FX Rates'!$A$1:$BQ$152,_xlfn.XMATCH($B666,'FX Rates'!$A$1:$BQ$1,-1,1),0))))</f>
        <v/>
      </c>
    </row>
    <row r="667" spans="2:10" x14ac:dyDescent="0.25">
      <c r="B667" s="87"/>
      <c r="I667" s="111" t="str">
        <f t="shared" si="12"/>
        <v/>
      </c>
      <c r="J667" s="89" t="str">
        <f>IF(ISBLANK($H667),"",IF(VLOOKUP($H667,'FX Rates'!$A$1:$BQ$152,_xlfn.XMATCH($B667,'FX Rates'!$A$1:$BQ$1,-1,1),0)=0,"No Exch Rate Data",IF($G667=0,"",$G667/VLOOKUP($H667,'FX Rates'!$A$1:$BQ$152,_xlfn.XMATCH($B667,'FX Rates'!$A$1:$BQ$1,-1,1),0))))</f>
        <v/>
      </c>
    </row>
    <row r="668" spans="2:10" x14ac:dyDescent="0.25">
      <c r="B668" s="87"/>
      <c r="I668" s="111" t="str">
        <f t="shared" si="12"/>
        <v/>
      </c>
      <c r="J668" s="89" t="str">
        <f>IF(ISBLANK($H668),"",IF(VLOOKUP($H668,'FX Rates'!$A$1:$BQ$152,_xlfn.XMATCH($B668,'FX Rates'!$A$1:$BQ$1,-1,1),0)=0,"No Exch Rate Data",IF($G668=0,"",$G668/VLOOKUP($H668,'FX Rates'!$A$1:$BQ$152,_xlfn.XMATCH($B668,'FX Rates'!$A$1:$BQ$1,-1,1),0))))</f>
        <v/>
      </c>
    </row>
    <row r="669" spans="2:10" x14ac:dyDescent="0.25">
      <c r="B669" s="87"/>
      <c r="I669" s="111" t="str">
        <f t="shared" si="12"/>
        <v/>
      </c>
      <c r="J669" s="89" t="str">
        <f>IF(ISBLANK($H669),"",IF(VLOOKUP($H669,'FX Rates'!$A$1:$BQ$152,_xlfn.XMATCH($B669,'FX Rates'!$A$1:$BQ$1,-1,1),0)=0,"No Exch Rate Data",IF($G669=0,"",$G669/VLOOKUP($H669,'FX Rates'!$A$1:$BQ$152,_xlfn.XMATCH($B669,'FX Rates'!$A$1:$BQ$1,-1,1),0))))</f>
        <v/>
      </c>
    </row>
    <row r="670" spans="2:10" x14ac:dyDescent="0.25">
      <c r="B670" s="87"/>
      <c r="I670" s="111" t="str">
        <f t="shared" si="12"/>
        <v/>
      </c>
      <c r="J670" s="89" t="str">
        <f>IF(ISBLANK($H670),"",IF(VLOOKUP($H670,'FX Rates'!$A$1:$BQ$152,_xlfn.XMATCH($B670,'FX Rates'!$A$1:$BQ$1,-1,1),0)=0,"No Exch Rate Data",IF($G670=0,"",$G670/VLOOKUP($H670,'FX Rates'!$A$1:$BQ$152,_xlfn.XMATCH($B670,'FX Rates'!$A$1:$BQ$1,-1,1),0))))</f>
        <v/>
      </c>
    </row>
    <row r="671" spans="2:10" x14ac:dyDescent="0.25">
      <c r="B671" s="87"/>
      <c r="I671" s="111" t="str">
        <f t="shared" si="12"/>
        <v/>
      </c>
      <c r="J671" s="89" t="str">
        <f>IF(ISBLANK($H671),"",IF(VLOOKUP($H671,'FX Rates'!$A$1:$BQ$152,_xlfn.XMATCH($B671,'FX Rates'!$A$1:$BQ$1,-1,1),0)=0,"No Exch Rate Data",IF($G671=0,"",$G671/VLOOKUP($H671,'FX Rates'!$A$1:$BQ$152,_xlfn.XMATCH($B671,'FX Rates'!$A$1:$BQ$1,-1,1),0))))</f>
        <v/>
      </c>
    </row>
    <row r="672" spans="2:10" x14ac:dyDescent="0.25">
      <c r="B672" s="87"/>
      <c r="I672" s="111" t="str">
        <f t="shared" si="12"/>
        <v/>
      </c>
      <c r="J672" s="89" t="str">
        <f>IF(ISBLANK($H672),"",IF(VLOOKUP($H672,'FX Rates'!$A$1:$BQ$152,_xlfn.XMATCH($B672,'FX Rates'!$A$1:$BQ$1,-1,1),0)=0,"No Exch Rate Data",IF($G672=0,"",$G672/VLOOKUP($H672,'FX Rates'!$A$1:$BQ$152,_xlfn.XMATCH($B672,'FX Rates'!$A$1:$BQ$1,-1,1),0))))</f>
        <v/>
      </c>
    </row>
    <row r="673" spans="2:10" x14ac:dyDescent="0.25">
      <c r="B673" s="87"/>
      <c r="I673" s="111" t="str">
        <f t="shared" si="12"/>
        <v/>
      </c>
      <c r="J673" s="89" t="str">
        <f>IF(ISBLANK($H673),"",IF(VLOOKUP($H673,'FX Rates'!$A$1:$BQ$152,_xlfn.XMATCH($B673,'FX Rates'!$A$1:$BQ$1,-1,1),0)=0,"No Exch Rate Data",IF($G673=0,"",$G673/VLOOKUP($H673,'FX Rates'!$A$1:$BQ$152,_xlfn.XMATCH($B673,'FX Rates'!$A$1:$BQ$1,-1,1),0))))</f>
        <v/>
      </c>
    </row>
    <row r="674" spans="2:10" x14ac:dyDescent="0.25">
      <c r="B674" s="87"/>
      <c r="I674" s="111" t="str">
        <f t="shared" si="12"/>
        <v/>
      </c>
      <c r="J674" s="89" t="str">
        <f>IF(ISBLANK($H674),"",IF(VLOOKUP($H674,'FX Rates'!$A$1:$BQ$152,_xlfn.XMATCH($B674,'FX Rates'!$A$1:$BQ$1,-1,1),0)=0,"No Exch Rate Data",IF($G674=0,"",$G674/VLOOKUP($H674,'FX Rates'!$A$1:$BQ$152,_xlfn.XMATCH($B674,'FX Rates'!$A$1:$BQ$1,-1,1),0))))</f>
        <v/>
      </c>
    </row>
    <row r="675" spans="2:10" x14ac:dyDescent="0.25">
      <c r="B675" s="87"/>
      <c r="I675" s="111" t="str">
        <f t="shared" si="12"/>
        <v/>
      </c>
      <c r="J675" s="89" t="str">
        <f>IF(ISBLANK($H675),"",IF(VLOOKUP($H675,'FX Rates'!$A$1:$BQ$152,_xlfn.XMATCH($B675,'FX Rates'!$A$1:$BQ$1,-1,1),0)=0,"No Exch Rate Data",IF($G675=0,"",$G675/VLOOKUP($H675,'FX Rates'!$A$1:$BQ$152,_xlfn.XMATCH($B675,'FX Rates'!$A$1:$BQ$1,-1,1),0))))</f>
        <v/>
      </c>
    </row>
    <row r="676" spans="2:10" x14ac:dyDescent="0.25">
      <c r="B676" s="87"/>
      <c r="I676" s="111" t="str">
        <f t="shared" si="12"/>
        <v/>
      </c>
      <c r="J676" s="89" t="str">
        <f>IF(ISBLANK($H676),"",IF(VLOOKUP($H676,'FX Rates'!$A$1:$BQ$152,_xlfn.XMATCH($B676,'FX Rates'!$A$1:$BQ$1,-1,1),0)=0,"No Exch Rate Data",IF($G676=0,"",$G676/VLOOKUP($H676,'FX Rates'!$A$1:$BQ$152,_xlfn.XMATCH($B676,'FX Rates'!$A$1:$BQ$1,-1,1),0))))</f>
        <v/>
      </c>
    </row>
    <row r="677" spans="2:10" x14ac:dyDescent="0.25">
      <c r="B677" s="87"/>
      <c r="I677" s="111" t="str">
        <f t="shared" si="12"/>
        <v/>
      </c>
      <c r="J677" s="89" t="str">
        <f>IF(ISBLANK($H677),"",IF(VLOOKUP($H677,'FX Rates'!$A$1:$BQ$152,_xlfn.XMATCH($B677,'FX Rates'!$A$1:$BQ$1,-1,1),0)=0,"No Exch Rate Data",IF($G677=0,"",$G677/VLOOKUP($H677,'FX Rates'!$A$1:$BQ$152,_xlfn.XMATCH($B677,'FX Rates'!$A$1:$BQ$1,-1,1),0))))</f>
        <v/>
      </c>
    </row>
    <row r="678" spans="2:10" x14ac:dyDescent="0.25">
      <c r="B678" s="87"/>
      <c r="I678" s="111" t="str">
        <f t="shared" si="12"/>
        <v/>
      </c>
      <c r="J678" s="89" t="str">
        <f>IF(ISBLANK($H678),"",IF(VLOOKUP($H678,'FX Rates'!$A$1:$BQ$152,_xlfn.XMATCH($B678,'FX Rates'!$A$1:$BQ$1,-1,1),0)=0,"No Exch Rate Data",IF($G678=0,"",$G678/VLOOKUP($H678,'FX Rates'!$A$1:$BQ$152,_xlfn.XMATCH($B678,'FX Rates'!$A$1:$BQ$1,-1,1),0))))</f>
        <v/>
      </c>
    </row>
    <row r="679" spans="2:10" x14ac:dyDescent="0.25">
      <c r="B679" s="87"/>
      <c r="I679" s="111" t="str">
        <f t="shared" si="12"/>
        <v/>
      </c>
      <c r="J679" s="89" t="str">
        <f>IF(ISBLANK($H679),"",IF(VLOOKUP($H679,'FX Rates'!$A$1:$BQ$152,_xlfn.XMATCH($B679,'FX Rates'!$A$1:$BQ$1,-1,1),0)=0,"No Exch Rate Data",IF($G679=0,"",$G679/VLOOKUP($H679,'FX Rates'!$A$1:$BQ$152,_xlfn.XMATCH($B679,'FX Rates'!$A$1:$BQ$1,-1,1),0))))</f>
        <v/>
      </c>
    </row>
    <row r="680" spans="2:10" x14ac:dyDescent="0.25">
      <c r="B680" s="87"/>
      <c r="I680" s="111" t="str">
        <f t="shared" si="12"/>
        <v/>
      </c>
      <c r="J680" s="89" t="str">
        <f>IF(ISBLANK($H680),"",IF(VLOOKUP($H680,'FX Rates'!$A$1:$BQ$152,_xlfn.XMATCH($B680,'FX Rates'!$A$1:$BQ$1,-1,1),0)=0,"No Exch Rate Data",IF($G680=0,"",$G680/VLOOKUP($H680,'FX Rates'!$A$1:$BQ$152,_xlfn.XMATCH($B680,'FX Rates'!$A$1:$BQ$1,-1,1),0))))</f>
        <v/>
      </c>
    </row>
    <row r="681" spans="2:10" x14ac:dyDescent="0.25">
      <c r="B681" s="87"/>
      <c r="I681" s="111" t="str">
        <f t="shared" si="12"/>
        <v/>
      </c>
      <c r="J681" s="89" t="str">
        <f>IF(ISBLANK($H681),"",IF(VLOOKUP($H681,'FX Rates'!$A$1:$BQ$152,_xlfn.XMATCH($B681,'FX Rates'!$A$1:$BQ$1,-1,1),0)=0,"No Exch Rate Data",IF($G681=0,"",$G681/VLOOKUP($H681,'FX Rates'!$A$1:$BQ$152,_xlfn.XMATCH($B681,'FX Rates'!$A$1:$BQ$1,-1,1),0))))</f>
        <v/>
      </c>
    </row>
    <row r="682" spans="2:10" x14ac:dyDescent="0.25">
      <c r="B682" s="87"/>
      <c r="I682" s="111" t="str">
        <f t="shared" ref="I682:I745" si="13">IF(ISBLANK($D682),"",_xlfn.XLOOKUP($D682,Item_List,Time_Span,"",0))</f>
        <v/>
      </c>
      <c r="J682" s="89" t="str">
        <f>IF(ISBLANK($H682),"",IF(VLOOKUP($H682,'FX Rates'!$A$1:$BQ$152,_xlfn.XMATCH($B682,'FX Rates'!$A$1:$BQ$1,-1,1),0)=0,"No Exch Rate Data",IF($G682=0,"",$G682/VLOOKUP($H682,'FX Rates'!$A$1:$BQ$152,_xlfn.XMATCH($B682,'FX Rates'!$A$1:$BQ$1,-1,1),0))))</f>
        <v/>
      </c>
    </row>
    <row r="683" spans="2:10" x14ac:dyDescent="0.25">
      <c r="B683" s="87"/>
      <c r="I683" s="111" t="str">
        <f t="shared" si="13"/>
        <v/>
      </c>
      <c r="J683" s="89" t="str">
        <f>IF(ISBLANK($H683),"",IF(VLOOKUP($H683,'FX Rates'!$A$1:$BQ$152,_xlfn.XMATCH($B683,'FX Rates'!$A$1:$BQ$1,-1,1),0)=0,"No Exch Rate Data",IF($G683=0,"",$G683/VLOOKUP($H683,'FX Rates'!$A$1:$BQ$152,_xlfn.XMATCH($B683,'FX Rates'!$A$1:$BQ$1,-1,1),0))))</f>
        <v/>
      </c>
    </row>
    <row r="684" spans="2:10" x14ac:dyDescent="0.25">
      <c r="B684" s="87"/>
      <c r="I684" s="111" t="str">
        <f t="shared" si="13"/>
        <v/>
      </c>
      <c r="J684" s="89" t="str">
        <f>IF(ISBLANK($H684),"",IF(VLOOKUP($H684,'FX Rates'!$A$1:$BQ$152,_xlfn.XMATCH($B684,'FX Rates'!$A$1:$BQ$1,-1,1),0)=0,"No Exch Rate Data",IF($G684=0,"",$G684/VLOOKUP($H684,'FX Rates'!$A$1:$BQ$152,_xlfn.XMATCH($B684,'FX Rates'!$A$1:$BQ$1,-1,1),0))))</f>
        <v/>
      </c>
    </row>
    <row r="685" spans="2:10" x14ac:dyDescent="0.25">
      <c r="B685" s="87"/>
      <c r="I685" s="111" t="str">
        <f t="shared" si="13"/>
        <v/>
      </c>
      <c r="J685" s="89" t="str">
        <f>IF(ISBLANK($H685),"",IF(VLOOKUP($H685,'FX Rates'!$A$1:$BQ$152,_xlfn.XMATCH($B685,'FX Rates'!$A$1:$BQ$1,-1,1),0)=0,"No Exch Rate Data",IF($G685=0,"",$G685/VLOOKUP($H685,'FX Rates'!$A$1:$BQ$152,_xlfn.XMATCH($B685,'FX Rates'!$A$1:$BQ$1,-1,1),0))))</f>
        <v/>
      </c>
    </row>
    <row r="686" spans="2:10" x14ac:dyDescent="0.25">
      <c r="B686" s="87"/>
      <c r="I686" s="111" t="str">
        <f t="shared" si="13"/>
        <v/>
      </c>
      <c r="J686" s="89" t="str">
        <f>IF(ISBLANK($H686),"",IF(VLOOKUP($H686,'FX Rates'!$A$1:$BQ$152,_xlfn.XMATCH($B686,'FX Rates'!$A$1:$BQ$1,-1,1),0)=0,"No Exch Rate Data",IF($G686=0,"",$G686/VLOOKUP($H686,'FX Rates'!$A$1:$BQ$152,_xlfn.XMATCH($B686,'FX Rates'!$A$1:$BQ$1,-1,1),0))))</f>
        <v/>
      </c>
    </row>
    <row r="687" spans="2:10" x14ac:dyDescent="0.25">
      <c r="B687" s="87"/>
      <c r="I687" s="111" t="str">
        <f t="shared" si="13"/>
        <v/>
      </c>
      <c r="J687" s="89" t="str">
        <f>IF(ISBLANK($H687),"",IF(VLOOKUP($H687,'FX Rates'!$A$1:$BQ$152,_xlfn.XMATCH($B687,'FX Rates'!$A$1:$BQ$1,-1,1),0)=0,"No Exch Rate Data",IF($G687=0,"",$G687/VLOOKUP($H687,'FX Rates'!$A$1:$BQ$152,_xlfn.XMATCH($B687,'FX Rates'!$A$1:$BQ$1,-1,1),0))))</f>
        <v/>
      </c>
    </row>
    <row r="688" spans="2:10" x14ac:dyDescent="0.25">
      <c r="B688" s="87"/>
      <c r="I688" s="111" t="str">
        <f t="shared" si="13"/>
        <v/>
      </c>
      <c r="J688" s="89" t="str">
        <f>IF(ISBLANK($H688),"",IF(VLOOKUP($H688,'FX Rates'!$A$1:$BQ$152,_xlfn.XMATCH($B688,'FX Rates'!$A$1:$BQ$1,-1,1),0)=0,"No Exch Rate Data",IF($G688=0,"",$G688/VLOOKUP($H688,'FX Rates'!$A$1:$BQ$152,_xlfn.XMATCH($B688,'FX Rates'!$A$1:$BQ$1,-1,1),0))))</f>
        <v/>
      </c>
    </row>
    <row r="689" spans="2:10" x14ac:dyDescent="0.25">
      <c r="B689" s="87"/>
      <c r="I689" s="111" t="str">
        <f t="shared" si="13"/>
        <v/>
      </c>
      <c r="J689" s="89" t="str">
        <f>IF(ISBLANK($H689),"",IF(VLOOKUP($H689,'FX Rates'!$A$1:$BQ$152,_xlfn.XMATCH($B689,'FX Rates'!$A$1:$BQ$1,-1,1),0)=0,"No Exch Rate Data",IF($G689=0,"",$G689/VLOOKUP($H689,'FX Rates'!$A$1:$BQ$152,_xlfn.XMATCH($B689,'FX Rates'!$A$1:$BQ$1,-1,1),0))))</f>
        <v/>
      </c>
    </row>
    <row r="690" spans="2:10" x14ac:dyDescent="0.25">
      <c r="B690" s="87"/>
      <c r="I690" s="111" t="str">
        <f t="shared" si="13"/>
        <v/>
      </c>
      <c r="J690" s="89" t="str">
        <f>IF(ISBLANK($H690),"",IF(VLOOKUP($H690,'FX Rates'!$A$1:$BQ$152,_xlfn.XMATCH($B690,'FX Rates'!$A$1:$BQ$1,-1,1),0)=0,"No Exch Rate Data",IF($G690=0,"",$G690/VLOOKUP($H690,'FX Rates'!$A$1:$BQ$152,_xlfn.XMATCH($B690,'FX Rates'!$A$1:$BQ$1,-1,1),0))))</f>
        <v/>
      </c>
    </row>
    <row r="691" spans="2:10" x14ac:dyDescent="0.25">
      <c r="B691" s="87"/>
      <c r="I691" s="111" t="str">
        <f t="shared" si="13"/>
        <v/>
      </c>
      <c r="J691" s="89" t="str">
        <f>IF(ISBLANK($H691),"",IF(VLOOKUP($H691,'FX Rates'!$A$1:$BQ$152,_xlfn.XMATCH($B691,'FX Rates'!$A$1:$BQ$1,-1,1),0)=0,"No Exch Rate Data",IF($G691=0,"",$G691/VLOOKUP($H691,'FX Rates'!$A$1:$BQ$152,_xlfn.XMATCH($B691,'FX Rates'!$A$1:$BQ$1,-1,1),0))))</f>
        <v/>
      </c>
    </row>
    <row r="692" spans="2:10" x14ac:dyDescent="0.25">
      <c r="B692" s="87"/>
      <c r="I692" s="111" t="str">
        <f t="shared" si="13"/>
        <v/>
      </c>
      <c r="J692" s="89" t="str">
        <f>IF(ISBLANK($H692),"",IF(VLOOKUP($H692,'FX Rates'!$A$1:$BQ$152,_xlfn.XMATCH($B692,'FX Rates'!$A$1:$BQ$1,-1,1),0)=0,"No Exch Rate Data",IF($G692=0,"",$G692/VLOOKUP($H692,'FX Rates'!$A$1:$BQ$152,_xlfn.XMATCH($B692,'FX Rates'!$A$1:$BQ$1,-1,1),0))))</f>
        <v/>
      </c>
    </row>
    <row r="693" spans="2:10" x14ac:dyDescent="0.25">
      <c r="B693" s="87"/>
      <c r="I693" s="111" t="str">
        <f t="shared" si="13"/>
        <v/>
      </c>
      <c r="J693" s="89" t="str">
        <f>IF(ISBLANK($H693),"",IF(VLOOKUP($H693,'FX Rates'!$A$1:$BQ$152,_xlfn.XMATCH($B693,'FX Rates'!$A$1:$BQ$1,-1,1),0)=0,"No Exch Rate Data",IF($G693=0,"",$G693/VLOOKUP($H693,'FX Rates'!$A$1:$BQ$152,_xlfn.XMATCH($B693,'FX Rates'!$A$1:$BQ$1,-1,1),0))))</f>
        <v/>
      </c>
    </row>
    <row r="694" spans="2:10" x14ac:dyDescent="0.25">
      <c r="B694" s="87"/>
      <c r="I694" s="111" t="str">
        <f t="shared" si="13"/>
        <v/>
      </c>
      <c r="J694" s="89" t="str">
        <f>IF(ISBLANK($H694),"",IF(VLOOKUP($H694,'FX Rates'!$A$1:$BQ$152,_xlfn.XMATCH($B694,'FX Rates'!$A$1:$BQ$1,-1,1),0)=0,"No Exch Rate Data",IF($G694=0,"",$G694/VLOOKUP($H694,'FX Rates'!$A$1:$BQ$152,_xlfn.XMATCH($B694,'FX Rates'!$A$1:$BQ$1,-1,1),0))))</f>
        <v/>
      </c>
    </row>
    <row r="695" spans="2:10" x14ac:dyDescent="0.25">
      <c r="B695" s="87"/>
      <c r="I695" s="111" t="str">
        <f t="shared" si="13"/>
        <v/>
      </c>
      <c r="J695" s="89" t="str">
        <f>IF(ISBLANK($H695),"",IF(VLOOKUP($H695,'FX Rates'!$A$1:$BQ$152,_xlfn.XMATCH($B695,'FX Rates'!$A$1:$BQ$1,-1,1),0)=0,"No Exch Rate Data",IF($G695=0,"",$G695/VLOOKUP($H695,'FX Rates'!$A$1:$BQ$152,_xlfn.XMATCH($B695,'FX Rates'!$A$1:$BQ$1,-1,1),0))))</f>
        <v/>
      </c>
    </row>
    <row r="696" spans="2:10" x14ac:dyDescent="0.25">
      <c r="B696" s="87"/>
      <c r="I696" s="111" t="str">
        <f t="shared" si="13"/>
        <v/>
      </c>
      <c r="J696" s="89" t="str">
        <f>IF(ISBLANK($H696),"",IF(VLOOKUP($H696,'FX Rates'!$A$1:$BQ$152,_xlfn.XMATCH($B696,'FX Rates'!$A$1:$BQ$1,-1,1),0)=0,"No Exch Rate Data",IF($G696=0,"",$G696/VLOOKUP($H696,'FX Rates'!$A$1:$BQ$152,_xlfn.XMATCH($B696,'FX Rates'!$A$1:$BQ$1,-1,1),0))))</f>
        <v/>
      </c>
    </row>
    <row r="697" spans="2:10" x14ac:dyDescent="0.25">
      <c r="B697" s="87"/>
      <c r="I697" s="111" t="str">
        <f t="shared" si="13"/>
        <v/>
      </c>
      <c r="J697" s="89" t="str">
        <f>IF(ISBLANK($H697),"",IF(VLOOKUP($H697,'FX Rates'!$A$1:$BQ$152,_xlfn.XMATCH($B697,'FX Rates'!$A$1:$BQ$1,-1,1),0)=0,"No Exch Rate Data",IF($G697=0,"",$G697/VLOOKUP($H697,'FX Rates'!$A$1:$BQ$152,_xlfn.XMATCH($B697,'FX Rates'!$A$1:$BQ$1,-1,1),0))))</f>
        <v/>
      </c>
    </row>
    <row r="698" spans="2:10" x14ac:dyDescent="0.25">
      <c r="B698" s="87"/>
      <c r="I698" s="111" t="str">
        <f t="shared" si="13"/>
        <v/>
      </c>
      <c r="J698" s="89" t="str">
        <f>IF(ISBLANK($H698),"",IF(VLOOKUP($H698,'FX Rates'!$A$1:$BQ$152,_xlfn.XMATCH($B698,'FX Rates'!$A$1:$BQ$1,-1,1),0)=0,"No Exch Rate Data",IF($G698=0,"",$G698/VLOOKUP($H698,'FX Rates'!$A$1:$BQ$152,_xlfn.XMATCH($B698,'FX Rates'!$A$1:$BQ$1,-1,1),0))))</f>
        <v/>
      </c>
    </row>
    <row r="699" spans="2:10" x14ac:dyDescent="0.25">
      <c r="B699" s="87"/>
      <c r="I699" s="111" t="str">
        <f t="shared" si="13"/>
        <v/>
      </c>
      <c r="J699" s="89" t="str">
        <f>IF(ISBLANK($H699),"",IF(VLOOKUP($H699,'FX Rates'!$A$1:$BQ$152,_xlfn.XMATCH($B699,'FX Rates'!$A$1:$BQ$1,-1,1),0)=0,"No Exch Rate Data",IF($G699=0,"",$G699/VLOOKUP($H699,'FX Rates'!$A$1:$BQ$152,_xlfn.XMATCH($B699,'FX Rates'!$A$1:$BQ$1,-1,1),0))))</f>
        <v/>
      </c>
    </row>
    <row r="700" spans="2:10" x14ac:dyDescent="0.25">
      <c r="B700" s="87"/>
      <c r="I700" s="111" t="str">
        <f t="shared" si="13"/>
        <v/>
      </c>
      <c r="J700" s="89" t="str">
        <f>IF(ISBLANK($H700),"",IF(VLOOKUP($H700,'FX Rates'!$A$1:$BQ$152,_xlfn.XMATCH($B700,'FX Rates'!$A$1:$BQ$1,-1,1),0)=0,"No Exch Rate Data",IF($G700=0,"",$G700/VLOOKUP($H700,'FX Rates'!$A$1:$BQ$152,_xlfn.XMATCH($B700,'FX Rates'!$A$1:$BQ$1,-1,1),0))))</f>
        <v/>
      </c>
    </row>
    <row r="701" spans="2:10" x14ac:dyDescent="0.25">
      <c r="B701" s="87"/>
      <c r="I701" s="111" t="str">
        <f t="shared" si="13"/>
        <v/>
      </c>
      <c r="J701" s="89" t="str">
        <f>IF(ISBLANK($H701),"",IF(VLOOKUP($H701,'FX Rates'!$A$1:$BQ$152,_xlfn.XMATCH($B701,'FX Rates'!$A$1:$BQ$1,-1,1),0)=0,"No Exch Rate Data",IF($G701=0,"",$G701/VLOOKUP($H701,'FX Rates'!$A$1:$BQ$152,_xlfn.XMATCH($B701,'FX Rates'!$A$1:$BQ$1,-1,1),0))))</f>
        <v/>
      </c>
    </row>
    <row r="702" spans="2:10" x14ac:dyDescent="0.25">
      <c r="B702" s="87"/>
      <c r="I702" s="111" t="str">
        <f t="shared" si="13"/>
        <v/>
      </c>
      <c r="J702" s="89" t="str">
        <f>IF(ISBLANK($H702),"",IF(VLOOKUP($H702,'FX Rates'!$A$1:$BQ$152,_xlfn.XMATCH($B702,'FX Rates'!$A$1:$BQ$1,-1,1),0)=0,"No Exch Rate Data",IF($G702=0,"",$G702/VLOOKUP($H702,'FX Rates'!$A$1:$BQ$152,_xlfn.XMATCH($B702,'FX Rates'!$A$1:$BQ$1,-1,1),0))))</f>
        <v/>
      </c>
    </row>
    <row r="703" spans="2:10" x14ac:dyDescent="0.25">
      <c r="B703" s="87"/>
      <c r="I703" s="111" t="str">
        <f t="shared" si="13"/>
        <v/>
      </c>
      <c r="J703" s="89" t="str">
        <f>IF(ISBLANK($H703),"",IF(VLOOKUP($H703,'FX Rates'!$A$1:$BQ$152,_xlfn.XMATCH($B703,'FX Rates'!$A$1:$BQ$1,-1,1),0)=0,"No Exch Rate Data",IF($G703=0,"",$G703/VLOOKUP($H703,'FX Rates'!$A$1:$BQ$152,_xlfn.XMATCH($B703,'FX Rates'!$A$1:$BQ$1,-1,1),0))))</f>
        <v/>
      </c>
    </row>
    <row r="704" spans="2:10" x14ac:dyDescent="0.25">
      <c r="B704" s="87"/>
      <c r="I704" s="111" t="str">
        <f t="shared" si="13"/>
        <v/>
      </c>
      <c r="J704" s="89" t="str">
        <f>IF(ISBLANK($H704),"",IF(VLOOKUP($H704,'FX Rates'!$A$1:$BQ$152,_xlfn.XMATCH($B704,'FX Rates'!$A$1:$BQ$1,-1,1),0)=0,"No Exch Rate Data",IF($G704=0,"",$G704/VLOOKUP($H704,'FX Rates'!$A$1:$BQ$152,_xlfn.XMATCH($B704,'FX Rates'!$A$1:$BQ$1,-1,1),0))))</f>
        <v/>
      </c>
    </row>
    <row r="705" spans="2:10" x14ac:dyDescent="0.25">
      <c r="B705" s="87"/>
      <c r="I705" s="111" t="str">
        <f t="shared" si="13"/>
        <v/>
      </c>
      <c r="J705" s="89" t="str">
        <f>IF(ISBLANK($H705),"",IF(VLOOKUP($H705,'FX Rates'!$A$1:$BQ$152,_xlfn.XMATCH($B705,'FX Rates'!$A$1:$BQ$1,-1,1),0)=0,"No Exch Rate Data",IF($G705=0,"",$G705/VLOOKUP($H705,'FX Rates'!$A$1:$BQ$152,_xlfn.XMATCH($B705,'FX Rates'!$A$1:$BQ$1,-1,1),0))))</f>
        <v/>
      </c>
    </row>
    <row r="706" spans="2:10" x14ac:dyDescent="0.25">
      <c r="B706" s="87"/>
      <c r="I706" s="111" t="str">
        <f t="shared" si="13"/>
        <v/>
      </c>
      <c r="J706" s="89" t="str">
        <f>IF(ISBLANK($H706),"",IF(VLOOKUP($H706,'FX Rates'!$A$1:$BQ$152,_xlfn.XMATCH($B706,'FX Rates'!$A$1:$BQ$1,-1,1),0)=0,"No Exch Rate Data",IF($G706=0,"",$G706/VLOOKUP($H706,'FX Rates'!$A$1:$BQ$152,_xlfn.XMATCH($B706,'FX Rates'!$A$1:$BQ$1,-1,1),0))))</f>
        <v/>
      </c>
    </row>
    <row r="707" spans="2:10" x14ac:dyDescent="0.25">
      <c r="B707" s="87"/>
      <c r="I707" s="111" t="str">
        <f t="shared" si="13"/>
        <v/>
      </c>
      <c r="J707" s="89" t="str">
        <f>IF(ISBLANK($H707),"",IF(VLOOKUP($H707,'FX Rates'!$A$1:$BQ$152,_xlfn.XMATCH($B707,'FX Rates'!$A$1:$BQ$1,-1,1),0)=0,"No Exch Rate Data",IF($G707=0,"",$G707/VLOOKUP($H707,'FX Rates'!$A$1:$BQ$152,_xlfn.XMATCH($B707,'FX Rates'!$A$1:$BQ$1,-1,1),0))))</f>
        <v/>
      </c>
    </row>
    <row r="708" spans="2:10" x14ac:dyDescent="0.25">
      <c r="B708" s="87"/>
      <c r="I708" s="111" t="str">
        <f t="shared" si="13"/>
        <v/>
      </c>
      <c r="J708" s="89" t="str">
        <f>IF(ISBLANK($H708),"",IF(VLOOKUP($H708,'FX Rates'!$A$1:$BQ$152,_xlfn.XMATCH($B708,'FX Rates'!$A$1:$BQ$1,-1,1),0)=0,"No Exch Rate Data",IF($G708=0,"",$G708/VLOOKUP($H708,'FX Rates'!$A$1:$BQ$152,_xlfn.XMATCH($B708,'FX Rates'!$A$1:$BQ$1,-1,1),0))))</f>
        <v/>
      </c>
    </row>
    <row r="709" spans="2:10" x14ac:dyDescent="0.25">
      <c r="B709" s="87"/>
      <c r="I709" s="111" t="str">
        <f t="shared" si="13"/>
        <v/>
      </c>
      <c r="J709" s="89" t="str">
        <f>IF(ISBLANK($H709),"",IF(VLOOKUP($H709,'FX Rates'!$A$1:$BQ$152,_xlfn.XMATCH($B709,'FX Rates'!$A$1:$BQ$1,-1,1),0)=0,"No Exch Rate Data",IF($G709=0,"",$G709/VLOOKUP($H709,'FX Rates'!$A$1:$BQ$152,_xlfn.XMATCH($B709,'FX Rates'!$A$1:$BQ$1,-1,1),0))))</f>
        <v/>
      </c>
    </row>
    <row r="710" spans="2:10" x14ac:dyDescent="0.25">
      <c r="B710" s="87"/>
      <c r="I710" s="111" t="str">
        <f t="shared" si="13"/>
        <v/>
      </c>
      <c r="J710" s="89" t="str">
        <f>IF(ISBLANK($H710),"",IF(VLOOKUP($H710,'FX Rates'!$A$1:$BQ$152,_xlfn.XMATCH($B710,'FX Rates'!$A$1:$BQ$1,-1,1),0)=0,"No Exch Rate Data",IF($G710=0,"",$G710/VLOOKUP($H710,'FX Rates'!$A$1:$BQ$152,_xlfn.XMATCH($B710,'FX Rates'!$A$1:$BQ$1,-1,1),0))))</f>
        <v/>
      </c>
    </row>
    <row r="711" spans="2:10" x14ac:dyDescent="0.25">
      <c r="B711" s="87"/>
      <c r="I711" s="111" t="str">
        <f t="shared" si="13"/>
        <v/>
      </c>
      <c r="J711" s="89" t="str">
        <f>IF(ISBLANK($H711),"",IF(VLOOKUP($H711,'FX Rates'!$A$1:$BQ$152,_xlfn.XMATCH($B711,'FX Rates'!$A$1:$BQ$1,-1,1),0)=0,"No Exch Rate Data",IF($G711=0,"",$G711/VLOOKUP($H711,'FX Rates'!$A$1:$BQ$152,_xlfn.XMATCH($B711,'FX Rates'!$A$1:$BQ$1,-1,1),0))))</f>
        <v/>
      </c>
    </row>
    <row r="712" spans="2:10" x14ac:dyDescent="0.25">
      <c r="B712" s="87"/>
      <c r="I712" s="111" t="str">
        <f t="shared" si="13"/>
        <v/>
      </c>
      <c r="J712" s="89" t="str">
        <f>IF(ISBLANK($H712),"",IF(VLOOKUP($H712,'FX Rates'!$A$1:$BQ$152,_xlfn.XMATCH($B712,'FX Rates'!$A$1:$BQ$1,-1,1),0)=0,"No Exch Rate Data",IF($G712=0,"",$G712/VLOOKUP($H712,'FX Rates'!$A$1:$BQ$152,_xlfn.XMATCH($B712,'FX Rates'!$A$1:$BQ$1,-1,1),0))))</f>
        <v/>
      </c>
    </row>
    <row r="713" spans="2:10" x14ac:dyDescent="0.25">
      <c r="B713" s="87"/>
      <c r="I713" s="111" t="str">
        <f t="shared" si="13"/>
        <v/>
      </c>
      <c r="J713" s="89" t="str">
        <f>IF(ISBLANK($H713),"",IF(VLOOKUP($H713,'FX Rates'!$A$1:$BQ$152,_xlfn.XMATCH($B713,'FX Rates'!$A$1:$BQ$1,-1,1),0)=0,"No Exch Rate Data",IF($G713=0,"",$G713/VLOOKUP($H713,'FX Rates'!$A$1:$BQ$152,_xlfn.XMATCH($B713,'FX Rates'!$A$1:$BQ$1,-1,1),0))))</f>
        <v/>
      </c>
    </row>
    <row r="714" spans="2:10" x14ac:dyDescent="0.25">
      <c r="B714" s="87"/>
      <c r="I714" s="111" t="str">
        <f t="shared" si="13"/>
        <v/>
      </c>
      <c r="J714" s="89" t="str">
        <f>IF(ISBLANK($H714),"",IF(VLOOKUP($H714,'FX Rates'!$A$1:$BQ$152,_xlfn.XMATCH($B714,'FX Rates'!$A$1:$BQ$1,-1,1),0)=0,"No Exch Rate Data",IF($G714=0,"",$G714/VLOOKUP($H714,'FX Rates'!$A$1:$BQ$152,_xlfn.XMATCH($B714,'FX Rates'!$A$1:$BQ$1,-1,1),0))))</f>
        <v/>
      </c>
    </row>
    <row r="715" spans="2:10" x14ac:dyDescent="0.25">
      <c r="B715" s="87"/>
      <c r="I715" s="111" t="str">
        <f t="shared" si="13"/>
        <v/>
      </c>
      <c r="J715" s="89" t="str">
        <f>IF(ISBLANK($H715),"",IF(VLOOKUP($H715,'FX Rates'!$A$1:$BQ$152,_xlfn.XMATCH($B715,'FX Rates'!$A$1:$BQ$1,-1,1),0)=0,"No Exch Rate Data",IF($G715=0,"",$G715/VLOOKUP($H715,'FX Rates'!$A$1:$BQ$152,_xlfn.XMATCH($B715,'FX Rates'!$A$1:$BQ$1,-1,1),0))))</f>
        <v/>
      </c>
    </row>
    <row r="716" spans="2:10" x14ac:dyDescent="0.25">
      <c r="B716" s="87"/>
      <c r="I716" s="111" t="str">
        <f t="shared" si="13"/>
        <v/>
      </c>
      <c r="J716" s="89" t="str">
        <f>IF(ISBLANK($H716),"",IF(VLOOKUP($H716,'FX Rates'!$A$1:$BQ$152,_xlfn.XMATCH($B716,'FX Rates'!$A$1:$BQ$1,-1,1),0)=0,"No Exch Rate Data",IF($G716=0,"",$G716/VLOOKUP($H716,'FX Rates'!$A$1:$BQ$152,_xlfn.XMATCH($B716,'FX Rates'!$A$1:$BQ$1,-1,1),0))))</f>
        <v/>
      </c>
    </row>
    <row r="717" spans="2:10" x14ac:dyDescent="0.25">
      <c r="B717" s="87"/>
      <c r="I717" s="111" t="str">
        <f t="shared" si="13"/>
        <v/>
      </c>
      <c r="J717" s="89" t="str">
        <f>IF(ISBLANK($H717),"",IF(VLOOKUP($H717,'FX Rates'!$A$1:$BQ$152,_xlfn.XMATCH($B717,'FX Rates'!$A$1:$BQ$1,-1,1),0)=0,"No Exch Rate Data",IF($G717=0,"",$G717/VLOOKUP($H717,'FX Rates'!$A$1:$BQ$152,_xlfn.XMATCH($B717,'FX Rates'!$A$1:$BQ$1,-1,1),0))))</f>
        <v/>
      </c>
    </row>
    <row r="718" spans="2:10" x14ac:dyDescent="0.25">
      <c r="B718" s="87"/>
      <c r="I718" s="111" t="str">
        <f t="shared" si="13"/>
        <v/>
      </c>
      <c r="J718" s="89" t="str">
        <f>IF(ISBLANK($H718),"",IF(VLOOKUP($H718,'FX Rates'!$A$1:$BQ$152,_xlfn.XMATCH($B718,'FX Rates'!$A$1:$BQ$1,-1,1),0)=0,"No Exch Rate Data",IF($G718=0,"",$G718/VLOOKUP($H718,'FX Rates'!$A$1:$BQ$152,_xlfn.XMATCH($B718,'FX Rates'!$A$1:$BQ$1,-1,1),0))))</f>
        <v/>
      </c>
    </row>
    <row r="719" spans="2:10" x14ac:dyDescent="0.25">
      <c r="B719" s="87"/>
      <c r="I719" s="111" t="str">
        <f t="shared" si="13"/>
        <v/>
      </c>
      <c r="J719" s="89" t="str">
        <f>IF(ISBLANK($H719),"",IF(VLOOKUP($H719,'FX Rates'!$A$1:$BQ$152,_xlfn.XMATCH($B719,'FX Rates'!$A$1:$BQ$1,-1,1),0)=0,"No Exch Rate Data",IF($G719=0,"",$G719/VLOOKUP($H719,'FX Rates'!$A$1:$BQ$152,_xlfn.XMATCH($B719,'FX Rates'!$A$1:$BQ$1,-1,1),0))))</f>
        <v/>
      </c>
    </row>
    <row r="720" spans="2:10" x14ac:dyDescent="0.25">
      <c r="B720" s="87"/>
      <c r="I720" s="111" t="str">
        <f t="shared" si="13"/>
        <v/>
      </c>
      <c r="J720" s="89" t="str">
        <f>IF(ISBLANK($H720),"",IF(VLOOKUP($H720,'FX Rates'!$A$1:$BQ$152,_xlfn.XMATCH($B720,'FX Rates'!$A$1:$BQ$1,-1,1),0)=0,"No Exch Rate Data",IF($G720=0,"",$G720/VLOOKUP($H720,'FX Rates'!$A$1:$BQ$152,_xlfn.XMATCH($B720,'FX Rates'!$A$1:$BQ$1,-1,1),0))))</f>
        <v/>
      </c>
    </row>
    <row r="721" spans="2:10" x14ac:dyDescent="0.25">
      <c r="B721" s="87"/>
      <c r="I721" s="111" t="str">
        <f t="shared" si="13"/>
        <v/>
      </c>
      <c r="J721" s="89" t="str">
        <f>IF(ISBLANK($H721),"",IF(VLOOKUP($H721,'FX Rates'!$A$1:$BQ$152,_xlfn.XMATCH($B721,'FX Rates'!$A$1:$BQ$1,-1,1),0)=0,"No Exch Rate Data",IF($G721=0,"",$G721/VLOOKUP($H721,'FX Rates'!$A$1:$BQ$152,_xlfn.XMATCH($B721,'FX Rates'!$A$1:$BQ$1,-1,1),0))))</f>
        <v/>
      </c>
    </row>
    <row r="722" spans="2:10" x14ac:dyDescent="0.25">
      <c r="B722" s="87"/>
      <c r="I722" s="111" t="str">
        <f t="shared" si="13"/>
        <v/>
      </c>
      <c r="J722" s="89" t="str">
        <f>IF(ISBLANK($H722),"",IF(VLOOKUP($H722,'FX Rates'!$A$1:$BQ$152,_xlfn.XMATCH($B722,'FX Rates'!$A$1:$BQ$1,-1,1),0)=0,"No Exch Rate Data",IF($G722=0,"",$G722/VLOOKUP($H722,'FX Rates'!$A$1:$BQ$152,_xlfn.XMATCH($B722,'FX Rates'!$A$1:$BQ$1,-1,1),0))))</f>
        <v/>
      </c>
    </row>
    <row r="723" spans="2:10" x14ac:dyDescent="0.25">
      <c r="B723" s="87"/>
      <c r="I723" s="111" t="str">
        <f t="shared" si="13"/>
        <v/>
      </c>
      <c r="J723" s="89" t="str">
        <f>IF(ISBLANK($H723),"",IF(VLOOKUP($H723,'FX Rates'!$A$1:$BQ$152,_xlfn.XMATCH($B723,'FX Rates'!$A$1:$BQ$1,-1,1),0)=0,"No Exch Rate Data",IF($G723=0,"",$G723/VLOOKUP($H723,'FX Rates'!$A$1:$BQ$152,_xlfn.XMATCH($B723,'FX Rates'!$A$1:$BQ$1,-1,1),0))))</f>
        <v/>
      </c>
    </row>
    <row r="724" spans="2:10" x14ac:dyDescent="0.25">
      <c r="B724" s="87"/>
      <c r="I724" s="111" t="str">
        <f t="shared" si="13"/>
        <v/>
      </c>
      <c r="J724" s="89" t="str">
        <f>IF(ISBLANK($H724),"",IF(VLOOKUP($H724,'FX Rates'!$A$1:$BQ$152,_xlfn.XMATCH($B724,'FX Rates'!$A$1:$BQ$1,-1,1),0)=0,"No Exch Rate Data",IF($G724=0,"",$G724/VLOOKUP($H724,'FX Rates'!$A$1:$BQ$152,_xlfn.XMATCH($B724,'FX Rates'!$A$1:$BQ$1,-1,1),0))))</f>
        <v/>
      </c>
    </row>
    <row r="725" spans="2:10" x14ac:dyDescent="0.25">
      <c r="B725" s="87"/>
      <c r="I725" s="111" t="str">
        <f t="shared" si="13"/>
        <v/>
      </c>
      <c r="J725" s="89" t="str">
        <f>IF(ISBLANK($H725),"",IF(VLOOKUP($H725,'FX Rates'!$A$1:$BQ$152,_xlfn.XMATCH($B725,'FX Rates'!$A$1:$BQ$1,-1,1),0)=0,"No Exch Rate Data",IF($G725=0,"",$G725/VLOOKUP($H725,'FX Rates'!$A$1:$BQ$152,_xlfn.XMATCH($B725,'FX Rates'!$A$1:$BQ$1,-1,1),0))))</f>
        <v/>
      </c>
    </row>
    <row r="726" spans="2:10" x14ac:dyDescent="0.25">
      <c r="B726" s="87"/>
      <c r="I726" s="111" t="str">
        <f t="shared" si="13"/>
        <v/>
      </c>
      <c r="J726" s="89" t="str">
        <f>IF(ISBLANK($H726),"",IF(VLOOKUP($H726,'FX Rates'!$A$1:$BQ$152,_xlfn.XMATCH($B726,'FX Rates'!$A$1:$BQ$1,-1,1),0)=0,"No Exch Rate Data",IF($G726=0,"",$G726/VLOOKUP($H726,'FX Rates'!$A$1:$BQ$152,_xlfn.XMATCH($B726,'FX Rates'!$A$1:$BQ$1,-1,1),0))))</f>
        <v/>
      </c>
    </row>
    <row r="727" spans="2:10" x14ac:dyDescent="0.25">
      <c r="B727" s="87"/>
      <c r="I727" s="111" t="str">
        <f t="shared" si="13"/>
        <v/>
      </c>
      <c r="J727" s="89" t="str">
        <f>IF(ISBLANK($H727),"",IF(VLOOKUP($H727,'FX Rates'!$A$1:$BQ$152,_xlfn.XMATCH($B727,'FX Rates'!$A$1:$BQ$1,-1,1),0)=0,"No Exch Rate Data",IF($G727=0,"",$G727/VLOOKUP($H727,'FX Rates'!$A$1:$BQ$152,_xlfn.XMATCH($B727,'FX Rates'!$A$1:$BQ$1,-1,1),0))))</f>
        <v/>
      </c>
    </row>
    <row r="728" spans="2:10" x14ac:dyDescent="0.25">
      <c r="B728" s="87"/>
      <c r="I728" s="111" t="str">
        <f t="shared" si="13"/>
        <v/>
      </c>
      <c r="J728" s="89" t="str">
        <f>IF(ISBLANK($H728),"",IF(VLOOKUP($H728,'FX Rates'!$A$1:$BQ$152,_xlfn.XMATCH($B728,'FX Rates'!$A$1:$BQ$1,-1,1),0)=0,"No Exch Rate Data",IF($G728=0,"",$G728/VLOOKUP($H728,'FX Rates'!$A$1:$BQ$152,_xlfn.XMATCH($B728,'FX Rates'!$A$1:$BQ$1,-1,1),0))))</f>
        <v/>
      </c>
    </row>
    <row r="729" spans="2:10" x14ac:dyDescent="0.25">
      <c r="B729" s="87"/>
      <c r="I729" s="111" t="str">
        <f t="shared" si="13"/>
        <v/>
      </c>
      <c r="J729" s="89" t="str">
        <f>IF(ISBLANK($H729),"",IF(VLOOKUP($H729,'FX Rates'!$A$1:$BQ$152,_xlfn.XMATCH($B729,'FX Rates'!$A$1:$BQ$1,-1,1),0)=0,"No Exch Rate Data",IF($G729=0,"",$G729/VLOOKUP($H729,'FX Rates'!$A$1:$BQ$152,_xlfn.XMATCH($B729,'FX Rates'!$A$1:$BQ$1,-1,1),0))))</f>
        <v/>
      </c>
    </row>
    <row r="730" spans="2:10" x14ac:dyDescent="0.25">
      <c r="B730" s="87"/>
      <c r="I730" s="111" t="str">
        <f t="shared" si="13"/>
        <v/>
      </c>
      <c r="J730" s="89" t="str">
        <f>IF(ISBLANK($H730),"",IF(VLOOKUP($H730,'FX Rates'!$A$1:$BQ$152,_xlfn.XMATCH($B730,'FX Rates'!$A$1:$BQ$1,-1,1),0)=0,"No Exch Rate Data",IF($G730=0,"",$G730/VLOOKUP($H730,'FX Rates'!$A$1:$BQ$152,_xlfn.XMATCH($B730,'FX Rates'!$A$1:$BQ$1,-1,1),0))))</f>
        <v/>
      </c>
    </row>
    <row r="731" spans="2:10" x14ac:dyDescent="0.25">
      <c r="B731" s="87"/>
      <c r="I731" s="111" t="str">
        <f t="shared" si="13"/>
        <v/>
      </c>
      <c r="J731" s="89" t="str">
        <f>IF(ISBLANK($H731),"",IF(VLOOKUP($H731,'FX Rates'!$A$1:$BQ$152,_xlfn.XMATCH($B731,'FX Rates'!$A$1:$BQ$1,-1,1),0)=0,"No Exch Rate Data",IF($G731=0,"",$G731/VLOOKUP($H731,'FX Rates'!$A$1:$BQ$152,_xlfn.XMATCH($B731,'FX Rates'!$A$1:$BQ$1,-1,1),0))))</f>
        <v/>
      </c>
    </row>
    <row r="732" spans="2:10" x14ac:dyDescent="0.25">
      <c r="B732" s="87"/>
      <c r="I732" s="111" t="str">
        <f t="shared" si="13"/>
        <v/>
      </c>
      <c r="J732" s="89" t="str">
        <f>IF(ISBLANK($H732),"",IF(VLOOKUP($H732,'FX Rates'!$A$1:$BQ$152,_xlfn.XMATCH($B732,'FX Rates'!$A$1:$BQ$1,-1,1),0)=0,"No Exch Rate Data",IF($G732=0,"",$G732/VLOOKUP($H732,'FX Rates'!$A$1:$BQ$152,_xlfn.XMATCH($B732,'FX Rates'!$A$1:$BQ$1,-1,1),0))))</f>
        <v/>
      </c>
    </row>
    <row r="733" spans="2:10" x14ac:dyDescent="0.25">
      <c r="B733" s="87"/>
      <c r="I733" s="111" t="str">
        <f t="shared" si="13"/>
        <v/>
      </c>
      <c r="J733" s="89" t="str">
        <f>IF(ISBLANK($H733),"",IF(VLOOKUP($H733,'FX Rates'!$A$1:$BQ$152,_xlfn.XMATCH($B733,'FX Rates'!$A$1:$BQ$1,-1,1),0)=0,"No Exch Rate Data",IF($G733=0,"",$G733/VLOOKUP($H733,'FX Rates'!$A$1:$BQ$152,_xlfn.XMATCH($B733,'FX Rates'!$A$1:$BQ$1,-1,1),0))))</f>
        <v/>
      </c>
    </row>
    <row r="734" spans="2:10" x14ac:dyDescent="0.25">
      <c r="B734" s="87"/>
      <c r="I734" s="111" t="str">
        <f t="shared" si="13"/>
        <v/>
      </c>
      <c r="J734" s="89" t="str">
        <f>IF(ISBLANK($H734),"",IF(VLOOKUP($H734,'FX Rates'!$A$1:$BQ$152,_xlfn.XMATCH($B734,'FX Rates'!$A$1:$BQ$1,-1,1),0)=0,"No Exch Rate Data",IF($G734=0,"",$G734/VLOOKUP($H734,'FX Rates'!$A$1:$BQ$152,_xlfn.XMATCH($B734,'FX Rates'!$A$1:$BQ$1,-1,1),0))))</f>
        <v/>
      </c>
    </row>
    <row r="735" spans="2:10" x14ac:dyDescent="0.25">
      <c r="B735" s="87"/>
      <c r="I735" s="111" t="str">
        <f t="shared" si="13"/>
        <v/>
      </c>
      <c r="J735" s="89" t="str">
        <f>IF(ISBLANK($H735),"",IF(VLOOKUP($H735,'FX Rates'!$A$1:$BQ$152,_xlfn.XMATCH($B735,'FX Rates'!$A$1:$BQ$1,-1,1),0)=0,"No Exch Rate Data",IF($G735=0,"",$G735/VLOOKUP($H735,'FX Rates'!$A$1:$BQ$152,_xlfn.XMATCH($B735,'FX Rates'!$A$1:$BQ$1,-1,1),0))))</f>
        <v/>
      </c>
    </row>
    <row r="736" spans="2:10" x14ac:dyDescent="0.25">
      <c r="B736" s="87"/>
      <c r="I736" s="111" t="str">
        <f t="shared" si="13"/>
        <v/>
      </c>
      <c r="J736" s="89" t="str">
        <f>IF(ISBLANK($H736),"",IF(VLOOKUP($H736,'FX Rates'!$A$1:$BQ$152,_xlfn.XMATCH($B736,'FX Rates'!$A$1:$BQ$1,-1,1),0)=0,"No Exch Rate Data",IF($G736=0,"",$G736/VLOOKUP($H736,'FX Rates'!$A$1:$BQ$152,_xlfn.XMATCH($B736,'FX Rates'!$A$1:$BQ$1,-1,1),0))))</f>
        <v/>
      </c>
    </row>
    <row r="737" spans="2:10" x14ac:dyDescent="0.25">
      <c r="B737" s="87"/>
      <c r="I737" s="111" t="str">
        <f t="shared" si="13"/>
        <v/>
      </c>
      <c r="J737" s="89" t="str">
        <f>IF(ISBLANK($H737),"",IF(VLOOKUP($H737,'FX Rates'!$A$1:$BQ$152,_xlfn.XMATCH($B737,'FX Rates'!$A$1:$BQ$1,-1,1),0)=0,"No Exch Rate Data",IF($G737=0,"",$G737/VLOOKUP($H737,'FX Rates'!$A$1:$BQ$152,_xlfn.XMATCH($B737,'FX Rates'!$A$1:$BQ$1,-1,1),0))))</f>
        <v/>
      </c>
    </row>
    <row r="738" spans="2:10" x14ac:dyDescent="0.25">
      <c r="B738" s="87"/>
      <c r="I738" s="111" t="str">
        <f t="shared" si="13"/>
        <v/>
      </c>
      <c r="J738" s="89" t="str">
        <f>IF(ISBLANK($H738),"",IF(VLOOKUP($H738,'FX Rates'!$A$1:$BQ$152,_xlfn.XMATCH($B738,'FX Rates'!$A$1:$BQ$1,-1,1),0)=0,"No Exch Rate Data",IF($G738=0,"",$G738/VLOOKUP($H738,'FX Rates'!$A$1:$BQ$152,_xlfn.XMATCH($B738,'FX Rates'!$A$1:$BQ$1,-1,1),0))))</f>
        <v/>
      </c>
    </row>
    <row r="739" spans="2:10" x14ac:dyDescent="0.25">
      <c r="B739" s="87"/>
      <c r="I739" s="111" t="str">
        <f t="shared" si="13"/>
        <v/>
      </c>
      <c r="J739" s="89" t="str">
        <f>IF(ISBLANK($H739),"",IF(VLOOKUP($H739,'FX Rates'!$A$1:$BQ$152,_xlfn.XMATCH($B739,'FX Rates'!$A$1:$BQ$1,-1,1),0)=0,"No Exch Rate Data",IF($G739=0,"",$G739/VLOOKUP($H739,'FX Rates'!$A$1:$BQ$152,_xlfn.XMATCH($B739,'FX Rates'!$A$1:$BQ$1,-1,1),0))))</f>
        <v/>
      </c>
    </row>
    <row r="740" spans="2:10" x14ac:dyDescent="0.25">
      <c r="B740" s="87"/>
      <c r="I740" s="111" t="str">
        <f t="shared" si="13"/>
        <v/>
      </c>
      <c r="J740" s="89" t="str">
        <f>IF(ISBLANK($H740),"",IF(VLOOKUP($H740,'FX Rates'!$A$1:$BQ$152,_xlfn.XMATCH($B740,'FX Rates'!$A$1:$BQ$1,-1,1),0)=0,"No Exch Rate Data",IF($G740=0,"",$G740/VLOOKUP($H740,'FX Rates'!$A$1:$BQ$152,_xlfn.XMATCH($B740,'FX Rates'!$A$1:$BQ$1,-1,1),0))))</f>
        <v/>
      </c>
    </row>
    <row r="741" spans="2:10" x14ac:dyDescent="0.25">
      <c r="B741" s="87"/>
      <c r="I741" s="111" t="str">
        <f t="shared" si="13"/>
        <v/>
      </c>
      <c r="J741" s="89" t="str">
        <f>IF(ISBLANK($H741),"",IF(VLOOKUP($H741,'FX Rates'!$A$1:$BQ$152,_xlfn.XMATCH($B741,'FX Rates'!$A$1:$BQ$1,-1,1),0)=0,"No Exch Rate Data",IF($G741=0,"",$G741/VLOOKUP($H741,'FX Rates'!$A$1:$BQ$152,_xlfn.XMATCH($B741,'FX Rates'!$A$1:$BQ$1,-1,1),0))))</f>
        <v/>
      </c>
    </row>
    <row r="742" spans="2:10" x14ac:dyDescent="0.25">
      <c r="B742" s="87"/>
      <c r="I742" s="111" t="str">
        <f t="shared" si="13"/>
        <v/>
      </c>
      <c r="J742" s="89" t="str">
        <f>IF(ISBLANK($H742),"",IF(VLOOKUP($H742,'FX Rates'!$A$1:$BQ$152,_xlfn.XMATCH($B742,'FX Rates'!$A$1:$BQ$1,-1,1),0)=0,"No Exch Rate Data",IF($G742=0,"",$G742/VLOOKUP($H742,'FX Rates'!$A$1:$BQ$152,_xlfn.XMATCH($B742,'FX Rates'!$A$1:$BQ$1,-1,1),0))))</f>
        <v/>
      </c>
    </row>
    <row r="743" spans="2:10" x14ac:dyDescent="0.25">
      <c r="B743" s="87"/>
      <c r="I743" s="111" t="str">
        <f t="shared" si="13"/>
        <v/>
      </c>
      <c r="J743" s="89" t="str">
        <f>IF(ISBLANK($H743),"",IF(VLOOKUP($H743,'FX Rates'!$A$1:$BQ$152,_xlfn.XMATCH($B743,'FX Rates'!$A$1:$BQ$1,-1,1),0)=0,"No Exch Rate Data",IF($G743=0,"",$G743/VLOOKUP($H743,'FX Rates'!$A$1:$BQ$152,_xlfn.XMATCH($B743,'FX Rates'!$A$1:$BQ$1,-1,1),0))))</f>
        <v/>
      </c>
    </row>
    <row r="744" spans="2:10" x14ac:dyDescent="0.25">
      <c r="B744" s="87"/>
      <c r="I744" s="111" t="str">
        <f t="shared" si="13"/>
        <v/>
      </c>
      <c r="J744" s="89" t="str">
        <f>IF(ISBLANK($H744),"",IF(VLOOKUP($H744,'FX Rates'!$A$1:$BQ$152,_xlfn.XMATCH($B744,'FX Rates'!$A$1:$BQ$1,-1,1),0)=0,"No Exch Rate Data",IF($G744=0,"",$G744/VLOOKUP($H744,'FX Rates'!$A$1:$BQ$152,_xlfn.XMATCH($B744,'FX Rates'!$A$1:$BQ$1,-1,1),0))))</f>
        <v/>
      </c>
    </row>
    <row r="745" spans="2:10" x14ac:dyDescent="0.25">
      <c r="B745" s="87"/>
      <c r="I745" s="111" t="str">
        <f t="shared" si="13"/>
        <v/>
      </c>
      <c r="J745" s="89" t="str">
        <f>IF(ISBLANK($H745),"",IF(VLOOKUP($H745,'FX Rates'!$A$1:$BQ$152,_xlfn.XMATCH($B745,'FX Rates'!$A$1:$BQ$1,-1,1),0)=0,"No Exch Rate Data",IF($G745=0,"",$G745/VLOOKUP($H745,'FX Rates'!$A$1:$BQ$152,_xlfn.XMATCH($B745,'FX Rates'!$A$1:$BQ$1,-1,1),0))))</f>
        <v/>
      </c>
    </row>
    <row r="746" spans="2:10" x14ac:dyDescent="0.25">
      <c r="B746" s="87"/>
      <c r="I746" s="111" t="str">
        <f t="shared" ref="I746:I809" si="14">IF(ISBLANK($D746),"",_xlfn.XLOOKUP($D746,Item_List,Time_Span,"",0))</f>
        <v/>
      </c>
      <c r="J746" s="89" t="str">
        <f>IF(ISBLANK($H746),"",IF(VLOOKUP($H746,'FX Rates'!$A$1:$BQ$152,_xlfn.XMATCH($B746,'FX Rates'!$A$1:$BQ$1,-1,1),0)=0,"No Exch Rate Data",IF($G746=0,"",$G746/VLOOKUP($H746,'FX Rates'!$A$1:$BQ$152,_xlfn.XMATCH($B746,'FX Rates'!$A$1:$BQ$1,-1,1),0))))</f>
        <v/>
      </c>
    </row>
    <row r="747" spans="2:10" x14ac:dyDescent="0.25">
      <c r="B747" s="87"/>
      <c r="I747" s="111" t="str">
        <f t="shared" si="14"/>
        <v/>
      </c>
      <c r="J747" s="89" t="str">
        <f>IF(ISBLANK($H747),"",IF(VLOOKUP($H747,'FX Rates'!$A$1:$BQ$152,_xlfn.XMATCH($B747,'FX Rates'!$A$1:$BQ$1,-1,1),0)=0,"No Exch Rate Data",IF($G747=0,"",$G747/VLOOKUP($H747,'FX Rates'!$A$1:$BQ$152,_xlfn.XMATCH($B747,'FX Rates'!$A$1:$BQ$1,-1,1),0))))</f>
        <v/>
      </c>
    </row>
    <row r="748" spans="2:10" x14ac:dyDescent="0.25">
      <c r="B748" s="87"/>
      <c r="I748" s="111" t="str">
        <f t="shared" si="14"/>
        <v/>
      </c>
      <c r="J748" s="89" t="str">
        <f>IF(ISBLANK($H748),"",IF(VLOOKUP($H748,'FX Rates'!$A$1:$BQ$152,_xlfn.XMATCH($B748,'FX Rates'!$A$1:$BQ$1,-1,1),0)=0,"No Exch Rate Data",IF($G748=0,"",$G748/VLOOKUP($H748,'FX Rates'!$A$1:$BQ$152,_xlfn.XMATCH($B748,'FX Rates'!$A$1:$BQ$1,-1,1),0))))</f>
        <v/>
      </c>
    </row>
    <row r="749" spans="2:10" x14ac:dyDescent="0.25">
      <c r="B749" s="87"/>
      <c r="I749" s="111" t="str">
        <f t="shared" si="14"/>
        <v/>
      </c>
      <c r="J749" s="89" t="str">
        <f>IF(ISBLANK($H749),"",IF(VLOOKUP($H749,'FX Rates'!$A$1:$BQ$152,_xlfn.XMATCH($B749,'FX Rates'!$A$1:$BQ$1,-1,1),0)=0,"No Exch Rate Data",IF($G749=0,"",$G749/VLOOKUP($H749,'FX Rates'!$A$1:$BQ$152,_xlfn.XMATCH($B749,'FX Rates'!$A$1:$BQ$1,-1,1),0))))</f>
        <v/>
      </c>
    </row>
    <row r="750" spans="2:10" x14ac:dyDescent="0.25">
      <c r="B750" s="87"/>
      <c r="I750" s="111" t="str">
        <f t="shared" si="14"/>
        <v/>
      </c>
      <c r="J750" s="89" t="str">
        <f>IF(ISBLANK($H750),"",IF(VLOOKUP($H750,'FX Rates'!$A$1:$BQ$152,_xlfn.XMATCH($B750,'FX Rates'!$A$1:$BQ$1,-1,1),0)=0,"No Exch Rate Data",IF($G750=0,"",$G750/VLOOKUP($H750,'FX Rates'!$A$1:$BQ$152,_xlfn.XMATCH($B750,'FX Rates'!$A$1:$BQ$1,-1,1),0))))</f>
        <v/>
      </c>
    </row>
    <row r="751" spans="2:10" x14ac:dyDescent="0.25">
      <c r="B751" s="87"/>
      <c r="I751" s="111" t="str">
        <f t="shared" si="14"/>
        <v/>
      </c>
      <c r="J751" s="89" t="str">
        <f>IF(ISBLANK($H751),"",IF(VLOOKUP($H751,'FX Rates'!$A$1:$BQ$152,_xlfn.XMATCH($B751,'FX Rates'!$A$1:$BQ$1,-1,1),0)=0,"No Exch Rate Data",IF($G751=0,"",$G751/VLOOKUP($H751,'FX Rates'!$A$1:$BQ$152,_xlfn.XMATCH($B751,'FX Rates'!$A$1:$BQ$1,-1,1),0))))</f>
        <v/>
      </c>
    </row>
    <row r="752" spans="2:10" x14ac:dyDescent="0.25">
      <c r="B752" s="87"/>
      <c r="I752" s="111" t="str">
        <f t="shared" si="14"/>
        <v/>
      </c>
      <c r="J752" s="89" t="str">
        <f>IF(ISBLANK($H752),"",IF(VLOOKUP($H752,'FX Rates'!$A$1:$BQ$152,_xlfn.XMATCH($B752,'FX Rates'!$A$1:$BQ$1,-1,1),0)=0,"No Exch Rate Data",IF($G752=0,"",$G752/VLOOKUP($H752,'FX Rates'!$A$1:$BQ$152,_xlfn.XMATCH($B752,'FX Rates'!$A$1:$BQ$1,-1,1),0))))</f>
        <v/>
      </c>
    </row>
    <row r="753" spans="2:10" x14ac:dyDescent="0.25">
      <c r="B753" s="87"/>
      <c r="I753" s="111" t="str">
        <f t="shared" si="14"/>
        <v/>
      </c>
      <c r="J753" s="89" t="str">
        <f>IF(ISBLANK($H753),"",IF(VLOOKUP($H753,'FX Rates'!$A$1:$BQ$152,_xlfn.XMATCH($B753,'FX Rates'!$A$1:$BQ$1,-1,1),0)=0,"No Exch Rate Data",IF($G753=0,"",$G753/VLOOKUP($H753,'FX Rates'!$A$1:$BQ$152,_xlfn.XMATCH($B753,'FX Rates'!$A$1:$BQ$1,-1,1),0))))</f>
        <v/>
      </c>
    </row>
    <row r="754" spans="2:10" x14ac:dyDescent="0.25">
      <c r="B754" s="87"/>
      <c r="I754" s="111" t="str">
        <f t="shared" si="14"/>
        <v/>
      </c>
      <c r="J754" s="89" t="str">
        <f>IF(ISBLANK($H754),"",IF(VLOOKUP($H754,'FX Rates'!$A$1:$BQ$152,_xlfn.XMATCH($B754,'FX Rates'!$A$1:$BQ$1,-1,1),0)=0,"No Exch Rate Data",IF($G754=0,"",$G754/VLOOKUP($H754,'FX Rates'!$A$1:$BQ$152,_xlfn.XMATCH($B754,'FX Rates'!$A$1:$BQ$1,-1,1),0))))</f>
        <v/>
      </c>
    </row>
    <row r="755" spans="2:10" x14ac:dyDescent="0.25">
      <c r="B755" s="87"/>
      <c r="I755" s="111" t="str">
        <f t="shared" si="14"/>
        <v/>
      </c>
      <c r="J755" s="89" t="str">
        <f>IF(ISBLANK($H755),"",IF(VLOOKUP($H755,'FX Rates'!$A$1:$BQ$152,_xlfn.XMATCH($B755,'FX Rates'!$A$1:$BQ$1,-1,1),0)=0,"No Exch Rate Data",IF($G755=0,"",$G755/VLOOKUP($H755,'FX Rates'!$A$1:$BQ$152,_xlfn.XMATCH($B755,'FX Rates'!$A$1:$BQ$1,-1,1),0))))</f>
        <v/>
      </c>
    </row>
    <row r="756" spans="2:10" x14ac:dyDescent="0.25">
      <c r="B756" s="87"/>
      <c r="I756" s="111" t="str">
        <f t="shared" si="14"/>
        <v/>
      </c>
      <c r="J756" s="89" t="str">
        <f>IF(ISBLANK($H756),"",IF(VLOOKUP($H756,'FX Rates'!$A$1:$BQ$152,_xlfn.XMATCH($B756,'FX Rates'!$A$1:$BQ$1,-1,1),0)=0,"No Exch Rate Data",IF($G756=0,"",$G756/VLOOKUP($H756,'FX Rates'!$A$1:$BQ$152,_xlfn.XMATCH($B756,'FX Rates'!$A$1:$BQ$1,-1,1),0))))</f>
        <v/>
      </c>
    </row>
    <row r="757" spans="2:10" x14ac:dyDescent="0.25">
      <c r="B757" s="87"/>
      <c r="I757" s="111" t="str">
        <f t="shared" si="14"/>
        <v/>
      </c>
      <c r="J757" s="89" t="str">
        <f>IF(ISBLANK($H757),"",IF(VLOOKUP($H757,'FX Rates'!$A$1:$BQ$152,_xlfn.XMATCH($B757,'FX Rates'!$A$1:$BQ$1,-1,1),0)=0,"No Exch Rate Data",IF($G757=0,"",$G757/VLOOKUP($H757,'FX Rates'!$A$1:$BQ$152,_xlfn.XMATCH($B757,'FX Rates'!$A$1:$BQ$1,-1,1),0))))</f>
        <v/>
      </c>
    </row>
    <row r="758" spans="2:10" x14ac:dyDescent="0.25">
      <c r="B758" s="87"/>
      <c r="I758" s="111" t="str">
        <f t="shared" si="14"/>
        <v/>
      </c>
      <c r="J758" s="89" t="str">
        <f>IF(ISBLANK($H758),"",IF(VLOOKUP($H758,'FX Rates'!$A$1:$BQ$152,_xlfn.XMATCH($B758,'FX Rates'!$A$1:$BQ$1,-1,1),0)=0,"No Exch Rate Data",IF($G758=0,"",$G758/VLOOKUP($H758,'FX Rates'!$A$1:$BQ$152,_xlfn.XMATCH($B758,'FX Rates'!$A$1:$BQ$1,-1,1),0))))</f>
        <v/>
      </c>
    </row>
    <row r="759" spans="2:10" x14ac:dyDescent="0.25">
      <c r="B759" s="87"/>
      <c r="I759" s="111" t="str">
        <f t="shared" si="14"/>
        <v/>
      </c>
      <c r="J759" s="89" t="str">
        <f>IF(ISBLANK($H759),"",IF(VLOOKUP($H759,'FX Rates'!$A$1:$BQ$152,_xlfn.XMATCH($B759,'FX Rates'!$A$1:$BQ$1,-1,1),0)=0,"No Exch Rate Data",IF($G759=0,"",$G759/VLOOKUP($H759,'FX Rates'!$A$1:$BQ$152,_xlfn.XMATCH($B759,'FX Rates'!$A$1:$BQ$1,-1,1),0))))</f>
        <v/>
      </c>
    </row>
    <row r="760" spans="2:10" x14ac:dyDescent="0.25">
      <c r="B760" s="87"/>
      <c r="I760" s="111" t="str">
        <f t="shared" si="14"/>
        <v/>
      </c>
      <c r="J760" s="89" t="str">
        <f>IF(ISBLANK($H760),"",IF(VLOOKUP($H760,'FX Rates'!$A$1:$BQ$152,_xlfn.XMATCH($B760,'FX Rates'!$A$1:$BQ$1,-1,1),0)=0,"No Exch Rate Data",IF($G760=0,"",$G760/VLOOKUP($H760,'FX Rates'!$A$1:$BQ$152,_xlfn.XMATCH($B760,'FX Rates'!$A$1:$BQ$1,-1,1),0))))</f>
        <v/>
      </c>
    </row>
    <row r="761" spans="2:10" x14ac:dyDescent="0.25">
      <c r="B761" s="87"/>
      <c r="I761" s="111" t="str">
        <f t="shared" si="14"/>
        <v/>
      </c>
      <c r="J761" s="89" t="str">
        <f>IF(ISBLANK($H761),"",IF(VLOOKUP($H761,'FX Rates'!$A$1:$BQ$152,_xlfn.XMATCH($B761,'FX Rates'!$A$1:$BQ$1,-1,1),0)=0,"No Exch Rate Data",IF($G761=0,"",$G761/VLOOKUP($H761,'FX Rates'!$A$1:$BQ$152,_xlfn.XMATCH($B761,'FX Rates'!$A$1:$BQ$1,-1,1),0))))</f>
        <v/>
      </c>
    </row>
    <row r="762" spans="2:10" x14ac:dyDescent="0.25">
      <c r="B762" s="87"/>
      <c r="I762" s="111" t="str">
        <f t="shared" si="14"/>
        <v/>
      </c>
      <c r="J762" s="89" t="str">
        <f>IF(ISBLANK($H762),"",IF(VLOOKUP($H762,'FX Rates'!$A$1:$BQ$152,_xlfn.XMATCH($B762,'FX Rates'!$A$1:$BQ$1,-1,1),0)=0,"No Exch Rate Data",IF($G762=0,"",$G762/VLOOKUP($H762,'FX Rates'!$A$1:$BQ$152,_xlfn.XMATCH($B762,'FX Rates'!$A$1:$BQ$1,-1,1),0))))</f>
        <v/>
      </c>
    </row>
    <row r="763" spans="2:10" x14ac:dyDescent="0.25">
      <c r="B763" s="87"/>
      <c r="I763" s="111" t="str">
        <f t="shared" si="14"/>
        <v/>
      </c>
      <c r="J763" s="89" t="str">
        <f>IF(ISBLANK($H763),"",IF(VLOOKUP($H763,'FX Rates'!$A$1:$BQ$152,_xlfn.XMATCH($B763,'FX Rates'!$A$1:$BQ$1,-1,1),0)=0,"No Exch Rate Data",IF($G763=0,"",$G763/VLOOKUP($H763,'FX Rates'!$A$1:$BQ$152,_xlfn.XMATCH($B763,'FX Rates'!$A$1:$BQ$1,-1,1),0))))</f>
        <v/>
      </c>
    </row>
    <row r="764" spans="2:10" x14ac:dyDescent="0.25">
      <c r="B764" s="87"/>
      <c r="I764" s="111" t="str">
        <f t="shared" si="14"/>
        <v/>
      </c>
      <c r="J764" s="89" t="str">
        <f>IF(ISBLANK($H764),"",IF(VLOOKUP($H764,'FX Rates'!$A$1:$BQ$152,_xlfn.XMATCH($B764,'FX Rates'!$A$1:$BQ$1,-1,1),0)=0,"No Exch Rate Data",IF($G764=0,"",$G764/VLOOKUP($H764,'FX Rates'!$A$1:$BQ$152,_xlfn.XMATCH($B764,'FX Rates'!$A$1:$BQ$1,-1,1),0))))</f>
        <v/>
      </c>
    </row>
    <row r="765" spans="2:10" x14ac:dyDescent="0.25">
      <c r="B765" s="87"/>
      <c r="I765" s="111" t="str">
        <f t="shared" si="14"/>
        <v/>
      </c>
      <c r="J765" s="89" t="str">
        <f>IF(ISBLANK($H765),"",IF(VLOOKUP($H765,'FX Rates'!$A$1:$BQ$152,_xlfn.XMATCH($B765,'FX Rates'!$A$1:$BQ$1,-1,1),0)=0,"No Exch Rate Data",IF($G765=0,"",$G765/VLOOKUP($H765,'FX Rates'!$A$1:$BQ$152,_xlfn.XMATCH($B765,'FX Rates'!$A$1:$BQ$1,-1,1),0))))</f>
        <v/>
      </c>
    </row>
    <row r="766" spans="2:10" x14ac:dyDescent="0.25">
      <c r="B766" s="87"/>
      <c r="I766" s="111" t="str">
        <f t="shared" si="14"/>
        <v/>
      </c>
      <c r="J766" s="89" t="str">
        <f>IF(ISBLANK($H766),"",IF(VLOOKUP($H766,'FX Rates'!$A$1:$BQ$152,_xlfn.XMATCH($B766,'FX Rates'!$A$1:$BQ$1,-1,1),0)=0,"No Exch Rate Data",IF($G766=0,"",$G766/VLOOKUP($H766,'FX Rates'!$A$1:$BQ$152,_xlfn.XMATCH($B766,'FX Rates'!$A$1:$BQ$1,-1,1),0))))</f>
        <v/>
      </c>
    </row>
    <row r="767" spans="2:10" x14ac:dyDescent="0.25">
      <c r="B767" s="87"/>
      <c r="I767" s="111" t="str">
        <f t="shared" si="14"/>
        <v/>
      </c>
      <c r="J767" s="89" t="str">
        <f>IF(ISBLANK($H767),"",IF(VLOOKUP($H767,'FX Rates'!$A$1:$BQ$152,_xlfn.XMATCH($B767,'FX Rates'!$A$1:$BQ$1,-1,1),0)=0,"No Exch Rate Data",IF($G767=0,"",$G767/VLOOKUP($H767,'FX Rates'!$A$1:$BQ$152,_xlfn.XMATCH($B767,'FX Rates'!$A$1:$BQ$1,-1,1),0))))</f>
        <v/>
      </c>
    </row>
    <row r="768" spans="2:10" x14ac:dyDescent="0.25">
      <c r="B768" s="87"/>
      <c r="I768" s="111" t="str">
        <f t="shared" si="14"/>
        <v/>
      </c>
      <c r="J768" s="89" t="str">
        <f>IF(ISBLANK($H768),"",IF(VLOOKUP($H768,'FX Rates'!$A$1:$BQ$152,_xlfn.XMATCH($B768,'FX Rates'!$A$1:$BQ$1,-1,1),0)=0,"No Exch Rate Data",IF($G768=0,"",$G768/VLOOKUP($H768,'FX Rates'!$A$1:$BQ$152,_xlfn.XMATCH($B768,'FX Rates'!$A$1:$BQ$1,-1,1),0))))</f>
        <v/>
      </c>
    </row>
    <row r="769" spans="2:10" x14ac:dyDescent="0.25">
      <c r="B769" s="87"/>
      <c r="I769" s="111" t="str">
        <f t="shared" si="14"/>
        <v/>
      </c>
      <c r="J769" s="89" t="str">
        <f>IF(ISBLANK($H769),"",IF(VLOOKUP($H769,'FX Rates'!$A$1:$BQ$152,_xlfn.XMATCH($B769,'FX Rates'!$A$1:$BQ$1,-1,1),0)=0,"No Exch Rate Data",IF($G769=0,"",$G769/VLOOKUP($H769,'FX Rates'!$A$1:$BQ$152,_xlfn.XMATCH($B769,'FX Rates'!$A$1:$BQ$1,-1,1),0))))</f>
        <v/>
      </c>
    </row>
    <row r="770" spans="2:10" x14ac:dyDescent="0.25">
      <c r="B770" s="87"/>
      <c r="I770" s="111" t="str">
        <f t="shared" si="14"/>
        <v/>
      </c>
      <c r="J770" s="89" t="str">
        <f>IF(ISBLANK($H770),"",IF(VLOOKUP($H770,'FX Rates'!$A$1:$BQ$152,_xlfn.XMATCH($B770,'FX Rates'!$A$1:$BQ$1,-1,1),0)=0,"No Exch Rate Data",IF($G770=0,"",$G770/VLOOKUP($H770,'FX Rates'!$A$1:$BQ$152,_xlfn.XMATCH($B770,'FX Rates'!$A$1:$BQ$1,-1,1),0))))</f>
        <v/>
      </c>
    </row>
    <row r="771" spans="2:10" x14ac:dyDescent="0.25">
      <c r="B771" s="87"/>
      <c r="I771" s="111" t="str">
        <f t="shared" si="14"/>
        <v/>
      </c>
      <c r="J771" s="89" t="str">
        <f>IF(ISBLANK($H771),"",IF(VLOOKUP($H771,'FX Rates'!$A$1:$BQ$152,_xlfn.XMATCH($B771,'FX Rates'!$A$1:$BQ$1,-1,1),0)=0,"No Exch Rate Data",IF($G771=0,"",$G771/VLOOKUP($H771,'FX Rates'!$A$1:$BQ$152,_xlfn.XMATCH($B771,'FX Rates'!$A$1:$BQ$1,-1,1),0))))</f>
        <v/>
      </c>
    </row>
    <row r="772" spans="2:10" x14ac:dyDescent="0.25">
      <c r="B772" s="87"/>
      <c r="I772" s="111" t="str">
        <f t="shared" si="14"/>
        <v/>
      </c>
      <c r="J772" s="89" t="str">
        <f>IF(ISBLANK($H772),"",IF(VLOOKUP($H772,'FX Rates'!$A$1:$BQ$152,_xlfn.XMATCH($B772,'FX Rates'!$A$1:$BQ$1,-1,1),0)=0,"No Exch Rate Data",IF($G772=0,"",$G772/VLOOKUP($H772,'FX Rates'!$A$1:$BQ$152,_xlfn.XMATCH($B772,'FX Rates'!$A$1:$BQ$1,-1,1),0))))</f>
        <v/>
      </c>
    </row>
    <row r="773" spans="2:10" x14ac:dyDescent="0.25">
      <c r="B773" s="87"/>
      <c r="I773" s="111" t="str">
        <f t="shared" si="14"/>
        <v/>
      </c>
      <c r="J773" s="89" t="str">
        <f>IF(ISBLANK($H773),"",IF(VLOOKUP($H773,'FX Rates'!$A$1:$BQ$152,_xlfn.XMATCH($B773,'FX Rates'!$A$1:$BQ$1,-1,1),0)=0,"No Exch Rate Data",IF($G773=0,"",$G773/VLOOKUP($H773,'FX Rates'!$A$1:$BQ$152,_xlfn.XMATCH($B773,'FX Rates'!$A$1:$BQ$1,-1,1),0))))</f>
        <v/>
      </c>
    </row>
    <row r="774" spans="2:10" x14ac:dyDescent="0.25">
      <c r="B774" s="87"/>
      <c r="I774" s="111" t="str">
        <f t="shared" si="14"/>
        <v/>
      </c>
      <c r="J774" s="89" t="str">
        <f>IF(ISBLANK($H774),"",IF(VLOOKUP($H774,'FX Rates'!$A$1:$BQ$152,_xlfn.XMATCH($B774,'FX Rates'!$A$1:$BQ$1,-1,1),0)=0,"No Exch Rate Data",IF($G774=0,"",$G774/VLOOKUP($H774,'FX Rates'!$A$1:$BQ$152,_xlfn.XMATCH($B774,'FX Rates'!$A$1:$BQ$1,-1,1),0))))</f>
        <v/>
      </c>
    </row>
    <row r="775" spans="2:10" x14ac:dyDescent="0.25">
      <c r="B775" s="87"/>
      <c r="I775" s="111" t="str">
        <f t="shared" si="14"/>
        <v/>
      </c>
      <c r="J775" s="89" t="str">
        <f>IF(ISBLANK($H775),"",IF(VLOOKUP($H775,'FX Rates'!$A$1:$BQ$152,_xlfn.XMATCH($B775,'FX Rates'!$A$1:$BQ$1,-1,1),0)=0,"No Exch Rate Data",IF($G775=0,"",$G775/VLOOKUP($H775,'FX Rates'!$A$1:$BQ$152,_xlfn.XMATCH($B775,'FX Rates'!$A$1:$BQ$1,-1,1),0))))</f>
        <v/>
      </c>
    </row>
    <row r="776" spans="2:10" x14ac:dyDescent="0.25">
      <c r="B776" s="87"/>
      <c r="I776" s="111" t="str">
        <f t="shared" si="14"/>
        <v/>
      </c>
      <c r="J776" s="89" t="str">
        <f>IF(ISBLANK($H776),"",IF(VLOOKUP($H776,'FX Rates'!$A$1:$BQ$152,_xlfn.XMATCH($B776,'FX Rates'!$A$1:$BQ$1,-1,1),0)=0,"No Exch Rate Data",IF($G776=0,"",$G776/VLOOKUP($H776,'FX Rates'!$A$1:$BQ$152,_xlfn.XMATCH($B776,'FX Rates'!$A$1:$BQ$1,-1,1),0))))</f>
        <v/>
      </c>
    </row>
    <row r="777" spans="2:10" x14ac:dyDescent="0.25">
      <c r="B777" s="87"/>
      <c r="I777" s="111" t="str">
        <f t="shared" si="14"/>
        <v/>
      </c>
      <c r="J777" s="89" t="str">
        <f>IF(ISBLANK($H777),"",IF(VLOOKUP($H777,'FX Rates'!$A$1:$BQ$152,_xlfn.XMATCH($B777,'FX Rates'!$A$1:$BQ$1,-1,1),0)=0,"No Exch Rate Data",IF($G777=0,"",$G777/VLOOKUP($H777,'FX Rates'!$A$1:$BQ$152,_xlfn.XMATCH($B777,'FX Rates'!$A$1:$BQ$1,-1,1),0))))</f>
        <v/>
      </c>
    </row>
    <row r="778" spans="2:10" x14ac:dyDescent="0.25">
      <c r="B778" s="87"/>
      <c r="I778" s="111" t="str">
        <f t="shared" si="14"/>
        <v/>
      </c>
      <c r="J778" s="89" t="str">
        <f>IF(ISBLANK($H778),"",IF(VLOOKUP($H778,'FX Rates'!$A$1:$BQ$152,_xlfn.XMATCH($B778,'FX Rates'!$A$1:$BQ$1,-1,1),0)=0,"No Exch Rate Data",IF($G778=0,"",$G778/VLOOKUP($H778,'FX Rates'!$A$1:$BQ$152,_xlfn.XMATCH($B778,'FX Rates'!$A$1:$BQ$1,-1,1),0))))</f>
        <v/>
      </c>
    </row>
    <row r="779" spans="2:10" x14ac:dyDescent="0.25">
      <c r="B779" s="87"/>
      <c r="I779" s="111" t="str">
        <f t="shared" si="14"/>
        <v/>
      </c>
      <c r="J779" s="89" t="str">
        <f>IF(ISBLANK($H779),"",IF(VLOOKUP($H779,'FX Rates'!$A$1:$BQ$152,_xlfn.XMATCH($B779,'FX Rates'!$A$1:$BQ$1,-1,1),0)=0,"No Exch Rate Data",IF($G779=0,"",$G779/VLOOKUP($H779,'FX Rates'!$A$1:$BQ$152,_xlfn.XMATCH($B779,'FX Rates'!$A$1:$BQ$1,-1,1),0))))</f>
        <v/>
      </c>
    </row>
    <row r="780" spans="2:10" x14ac:dyDescent="0.25">
      <c r="B780" s="87"/>
      <c r="I780" s="111" t="str">
        <f t="shared" si="14"/>
        <v/>
      </c>
      <c r="J780" s="89" t="str">
        <f>IF(ISBLANK($H780),"",IF(VLOOKUP($H780,'FX Rates'!$A$1:$BQ$152,_xlfn.XMATCH($B780,'FX Rates'!$A$1:$BQ$1,-1,1),0)=0,"No Exch Rate Data",IF($G780=0,"",$G780/VLOOKUP($H780,'FX Rates'!$A$1:$BQ$152,_xlfn.XMATCH($B780,'FX Rates'!$A$1:$BQ$1,-1,1),0))))</f>
        <v/>
      </c>
    </row>
    <row r="781" spans="2:10" x14ac:dyDescent="0.25">
      <c r="B781" s="87"/>
      <c r="I781" s="111" t="str">
        <f t="shared" si="14"/>
        <v/>
      </c>
      <c r="J781" s="89" t="str">
        <f>IF(ISBLANK($H781),"",IF(VLOOKUP($H781,'FX Rates'!$A$1:$BQ$152,_xlfn.XMATCH($B781,'FX Rates'!$A$1:$BQ$1,-1,1),0)=0,"No Exch Rate Data",IF($G781=0,"",$G781/VLOOKUP($H781,'FX Rates'!$A$1:$BQ$152,_xlfn.XMATCH($B781,'FX Rates'!$A$1:$BQ$1,-1,1),0))))</f>
        <v/>
      </c>
    </row>
    <row r="782" spans="2:10" x14ac:dyDescent="0.25">
      <c r="B782" s="87"/>
      <c r="I782" s="111" t="str">
        <f t="shared" si="14"/>
        <v/>
      </c>
      <c r="J782" s="89" t="str">
        <f>IF(ISBLANK($H782),"",IF(VLOOKUP($H782,'FX Rates'!$A$1:$BQ$152,_xlfn.XMATCH($B782,'FX Rates'!$A$1:$BQ$1,-1,1),0)=0,"No Exch Rate Data",IF($G782=0,"",$G782/VLOOKUP($H782,'FX Rates'!$A$1:$BQ$152,_xlfn.XMATCH($B782,'FX Rates'!$A$1:$BQ$1,-1,1),0))))</f>
        <v/>
      </c>
    </row>
    <row r="783" spans="2:10" x14ac:dyDescent="0.25">
      <c r="B783" s="87"/>
      <c r="I783" s="111" t="str">
        <f t="shared" si="14"/>
        <v/>
      </c>
      <c r="J783" s="89" t="str">
        <f>IF(ISBLANK($H783),"",IF(VLOOKUP($H783,'FX Rates'!$A$1:$BQ$152,_xlfn.XMATCH($B783,'FX Rates'!$A$1:$BQ$1,-1,1),0)=0,"No Exch Rate Data",IF($G783=0,"",$G783/VLOOKUP($H783,'FX Rates'!$A$1:$BQ$152,_xlfn.XMATCH($B783,'FX Rates'!$A$1:$BQ$1,-1,1),0))))</f>
        <v/>
      </c>
    </row>
    <row r="784" spans="2:10" x14ac:dyDescent="0.25">
      <c r="B784" s="87"/>
      <c r="I784" s="111" t="str">
        <f t="shared" si="14"/>
        <v/>
      </c>
      <c r="J784" s="89" t="str">
        <f>IF(ISBLANK($H784),"",IF(VLOOKUP($H784,'FX Rates'!$A$1:$BQ$152,_xlfn.XMATCH($B784,'FX Rates'!$A$1:$BQ$1,-1,1),0)=0,"No Exch Rate Data",IF($G784=0,"",$G784/VLOOKUP($H784,'FX Rates'!$A$1:$BQ$152,_xlfn.XMATCH($B784,'FX Rates'!$A$1:$BQ$1,-1,1),0))))</f>
        <v/>
      </c>
    </row>
    <row r="785" spans="2:10" x14ac:dyDescent="0.25">
      <c r="B785" s="87"/>
      <c r="I785" s="111" t="str">
        <f t="shared" si="14"/>
        <v/>
      </c>
      <c r="J785" s="89" t="str">
        <f>IF(ISBLANK($H785),"",IF(VLOOKUP($H785,'FX Rates'!$A$1:$BQ$152,_xlfn.XMATCH($B785,'FX Rates'!$A$1:$BQ$1,-1,1),0)=0,"No Exch Rate Data",IF($G785=0,"",$G785/VLOOKUP($H785,'FX Rates'!$A$1:$BQ$152,_xlfn.XMATCH($B785,'FX Rates'!$A$1:$BQ$1,-1,1),0))))</f>
        <v/>
      </c>
    </row>
    <row r="786" spans="2:10" x14ac:dyDescent="0.25">
      <c r="B786" s="87"/>
      <c r="I786" s="111" t="str">
        <f t="shared" si="14"/>
        <v/>
      </c>
      <c r="J786" s="89" t="str">
        <f>IF(ISBLANK($H786),"",IF(VLOOKUP($H786,'FX Rates'!$A$1:$BQ$152,_xlfn.XMATCH($B786,'FX Rates'!$A$1:$BQ$1,-1,1),0)=0,"No Exch Rate Data",IF($G786=0,"",$G786/VLOOKUP($H786,'FX Rates'!$A$1:$BQ$152,_xlfn.XMATCH($B786,'FX Rates'!$A$1:$BQ$1,-1,1),0))))</f>
        <v/>
      </c>
    </row>
    <row r="787" spans="2:10" x14ac:dyDescent="0.25">
      <c r="B787" s="87"/>
      <c r="I787" s="111" t="str">
        <f t="shared" si="14"/>
        <v/>
      </c>
      <c r="J787" s="89" t="str">
        <f>IF(ISBLANK($H787),"",IF(VLOOKUP($H787,'FX Rates'!$A$1:$BQ$152,_xlfn.XMATCH($B787,'FX Rates'!$A$1:$BQ$1,-1,1),0)=0,"No Exch Rate Data",IF($G787=0,"",$G787/VLOOKUP($H787,'FX Rates'!$A$1:$BQ$152,_xlfn.XMATCH($B787,'FX Rates'!$A$1:$BQ$1,-1,1),0))))</f>
        <v/>
      </c>
    </row>
    <row r="788" spans="2:10" x14ac:dyDescent="0.25">
      <c r="B788" s="87"/>
      <c r="I788" s="111" t="str">
        <f t="shared" si="14"/>
        <v/>
      </c>
      <c r="J788" s="89" t="str">
        <f>IF(ISBLANK($H788),"",IF(VLOOKUP($H788,'FX Rates'!$A$1:$BQ$152,_xlfn.XMATCH($B788,'FX Rates'!$A$1:$BQ$1,-1,1),0)=0,"No Exch Rate Data",IF($G788=0,"",$G788/VLOOKUP($H788,'FX Rates'!$A$1:$BQ$152,_xlfn.XMATCH($B788,'FX Rates'!$A$1:$BQ$1,-1,1),0))))</f>
        <v/>
      </c>
    </row>
    <row r="789" spans="2:10" x14ac:dyDescent="0.25">
      <c r="B789" s="87"/>
      <c r="I789" s="111" t="str">
        <f t="shared" si="14"/>
        <v/>
      </c>
      <c r="J789" s="89" t="str">
        <f>IF(ISBLANK($H789),"",IF(VLOOKUP($H789,'FX Rates'!$A$1:$BQ$152,_xlfn.XMATCH($B789,'FX Rates'!$A$1:$BQ$1,-1,1),0)=0,"No Exch Rate Data",IF($G789=0,"",$G789/VLOOKUP($H789,'FX Rates'!$A$1:$BQ$152,_xlfn.XMATCH($B789,'FX Rates'!$A$1:$BQ$1,-1,1),0))))</f>
        <v/>
      </c>
    </row>
    <row r="790" spans="2:10" x14ac:dyDescent="0.25">
      <c r="B790" s="87"/>
      <c r="I790" s="111" t="str">
        <f t="shared" si="14"/>
        <v/>
      </c>
      <c r="J790" s="89" t="str">
        <f>IF(ISBLANK($H790),"",IF(VLOOKUP($H790,'FX Rates'!$A$1:$BQ$152,_xlfn.XMATCH($B790,'FX Rates'!$A$1:$BQ$1,-1,1),0)=0,"No Exch Rate Data",IF($G790=0,"",$G790/VLOOKUP($H790,'FX Rates'!$A$1:$BQ$152,_xlfn.XMATCH($B790,'FX Rates'!$A$1:$BQ$1,-1,1),0))))</f>
        <v/>
      </c>
    </row>
    <row r="791" spans="2:10" x14ac:dyDescent="0.25">
      <c r="B791" s="87"/>
      <c r="I791" s="111" t="str">
        <f t="shared" si="14"/>
        <v/>
      </c>
      <c r="J791" s="89" t="str">
        <f>IF(ISBLANK($H791),"",IF(VLOOKUP($H791,'FX Rates'!$A$1:$BQ$152,_xlfn.XMATCH($B791,'FX Rates'!$A$1:$BQ$1,-1,1),0)=0,"No Exch Rate Data",IF($G791=0,"",$G791/VLOOKUP($H791,'FX Rates'!$A$1:$BQ$152,_xlfn.XMATCH($B791,'FX Rates'!$A$1:$BQ$1,-1,1),0))))</f>
        <v/>
      </c>
    </row>
    <row r="792" spans="2:10" x14ac:dyDescent="0.25">
      <c r="B792" s="87"/>
      <c r="I792" s="111" t="str">
        <f t="shared" si="14"/>
        <v/>
      </c>
      <c r="J792" s="89" t="str">
        <f>IF(ISBLANK($H792),"",IF(VLOOKUP($H792,'FX Rates'!$A$1:$BQ$152,_xlfn.XMATCH($B792,'FX Rates'!$A$1:$BQ$1,-1,1),0)=0,"No Exch Rate Data",IF($G792=0,"",$G792/VLOOKUP($H792,'FX Rates'!$A$1:$BQ$152,_xlfn.XMATCH($B792,'FX Rates'!$A$1:$BQ$1,-1,1),0))))</f>
        <v/>
      </c>
    </row>
    <row r="793" spans="2:10" x14ac:dyDescent="0.25">
      <c r="B793" s="87"/>
      <c r="I793" s="111" t="str">
        <f t="shared" si="14"/>
        <v/>
      </c>
      <c r="J793" s="89" t="str">
        <f>IF(ISBLANK($H793),"",IF(VLOOKUP($H793,'FX Rates'!$A$1:$BQ$152,_xlfn.XMATCH($B793,'FX Rates'!$A$1:$BQ$1,-1,1),0)=0,"No Exch Rate Data",IF($G793=0,"",$G793/VLOOKUP($H793,'FX Rates'!$A$1:$BQ$152,_xlfn.XMATCH($B793,'FX Rates'!$A$1:$BQ$1,-1,1),0))))</f>
        <v/>
      </c>
    </row>
    <row r="794" spans="2:10" x14ac:dyDescent="0.25">
      <c r="B794" s="87"/>
      <c r="I794" s="111" t="str">
        <f t="shared" si="14"/>
        <v/>
      </c>
      <c r="J794" s="89" t="str">
        <f>IF(ISBLANK($H794),"",IF(VLOOKUP($H794,'FX Rates'!$A$1:$BQ$152,_xlfn.XMATCH($B794,'FX Rates'!$A$1:$BQ$1,-1,1),0)=0,"No Exch Rate Data",IF($G794=0,"",$G794/VLOOKUP($H794,'FX Rates'!$A$1:$BQ$152,_xlfn.XMATCH($B794,'FX Rates'!$A$1:$BQ$1,-1,1),0))))</f>
        <v/>
      </c>
    </row>
    <row r="795" spans="2:10" x14ac:dyDescent="0.25">
      <c r="B795" s="87"/>
      <c r="I795" s="111" t="str">
        <f t="shared" si="14"/>
        <v/>
      </c>
      <c r="J795" s="89" t="str">
        <f>IF(ISBLANK($H795),"",IF(VLOOKUP($H795,'FX Rates'!$A$1:$BQ$152,_xlfn.XMATCH($B795,'FX Rates'!$A$1:$BQ$1,-1,1),0)=0,"No Exch Rate Data",IF($G795=0,"",$G795/VLOOKUP($H795,'FX Rates'!$A$1:$BQ$152,_xlfn.XMATCH($B795,'FX Rates'!$A$1:$BQ$1,-1,1),0))))</f>
        <v/>
      </c>
    </row>
    <row r="796" spans="2:10" x14ac:dyDescent="0.25">
      <c r="B796" s="87"/>
      <c r="I796" s="111" t="str">
        <f t="shared" si="14"/>
        <v/>
      </c>
      <c r="J796" s="89" t="str">
        <f>IF(ISBLANK($H796),"",IF(VLOOKUP($H796,'FX Rates'!$A$1:$BQ$152,_xlfn.XMATCH($B796,'FX Rates'!$A$1:$BQ$1,-1,1),0)=0,"No Exch Rate Data",IF($G796=0,"",$G796/VLOOKUP($H796,'FX Rates'!$A$1:$BQ$152,_xlfn.XMATCH($B796,'FX Rates'!$A$1:$BQ$1,-1,1),0))))</f>
        <v/>
      </c>
    </row>
    <row r="797" spans="2:10" x14ac:dyDescent="0.25">
      <c r="B797" s="87"/>
      <c r="I797" s="111" t="str">
        <f t="shared" si="14"/>
        <v/>
      </c>
      <c r="J797" s="89" t="str">
        <f>IF(ISBLANK($H797),"",IF(VLOOKUP($H797,'FX Rates'!$A$1:$BQ$152,_xlfn.XMATCH($B797,'FX Rates'!$A$1:$BQ$1,-1,1),0)=0,"No Exch Rate Data",IF($G797=0,"",$G797/VLOOKUP($H797,'FX Rates'!$A$1:$BQ$152,_xlfn.XMATCH($B797,'FX Rates'!$A$1:$BQ$1,-1,1),0))))</f>
        <v/>
      </c>
    </row>
    <row r="798" spans="2:10" x14ac:dyDescent="0.25">
      <c r="B798" s="87"/>
      <c r="I798" s="111" t="str">
        <f t="shared" si="14"/>
        <v/>
      </c>
      <c r="J798" s="89" t="str">
        <f>IF(ISBLANK($H798),"",IF(VLOOKUP($H798,'FX Rates'!$A$1:$BQ$152,_xlfn.XMATCH($B798,'FX Rates'!$A$1:$BQ$1,-1,1),0)=0,"No Exch Rate Data",IF($G798=0,"",$G798/VLOOKUP($H798,'FX Rates'!$A$1:$BQ$152,_xlfn.XMATCH($B798,'FX Rates'!$A$1:$BQ$1,-1,1),0))))</f>
        <v/>
      </c>
    </row>
    <row r="799" spans="2:10" x14ac:dyDescent="0.25">
      <c r="B799" s="87"/>
      <c r="I799" s="111" t="str">
        <f t="shared" si="14"/>
        <v/>
      </c>
      <c r="J799" s="89" t="str">
        <f>IF(ISBLANK($H799),"",IF(VLOOKUP($H799,'FX Rates'!$A$1:$BQ$152,_xlfn.XMATCH($B799,'FX Rates'!$A$1:$BQ$1,-1,1),0)=0,"No Exch Rate Data",IF($G799=0,"",$G799/VLOOKUP($H799,'FX Rates'!$A$1:$BQ$152,_xlfn.XMATCH($B799,'FX Rates'!$A$1:$BQ$1,-1,1),0))))</f>
        <v/>
      </c>
    </row>
    <row r="800" spans="2:10" x14ac:dyDescent="0.25">
      <c r="B800" s="87"/>
      <c r="I800" s="111" t="str">
        <f t="shared" si="14"/>
        <v/>
      </c>
      <c r="J800" s="89" t="str">
        <f>IF(ISBLANK($H800),"",IF(VLOOKUP($H800,'FX Rates'!$A$1:$BQ$152,_xlfn.XMATCH($B800,'FX Rates'!$A$1:$BQ$1,-1,1),0)=0,"No Exch Rate Data",IF($G800=0,"",$G800/VLOOKUP($H800,'FX Rates'!$A$1:$BQ$152,_xlfn.XMATCH($B800,'FX Rates'!$A$1:$BQ$1,-1,1),0))))</f>
        <v/>
      </c>
    </row>
    <row r="801" spans="2:10" x14ac:dyDescent="0.25">
      <c r="B801" s="87"/>
      <c r="I801" s="111" t="str">
        <f t="shared" si="14"/>
        <v/>
      </c>
      <c r="J801" s="89" t="str">
        <f>IF(ISBLANK($H801),"",IF(VLOOKUP($H801,'FX Rates'!$A$1:$BQ$152,_xlfn.XMATCH($B801,'FX Rates'!$A$1:$BQ$1,-1,1),0)=0,"No Exch Rate Data",IF($G801=0,"",$G801/VLOOKUP($H801,'FX Rates'!$A$1:$BQ$152,_xlfn.XMATCH($B801,'FX Rates'!$A$1:$BQ$1,-1,1),0))))</f>
        <v/>
      </c>
    </row>
    <row r="802" spans="2:10" x14ac:dyDescent="0.25">
      <c r="B802" s="87"/>
      <c r="I802" s="111" t="str">
        <f t="shared" si="14"/>
        <v/>
      </c>
      <c r="J802" s="89" t="str">
        <f>IF(ISBLANK($H802),"",IF(VLOOKUP($H802,'FX Rates'!$A$1:$BQ$152,_xlfn.XMATCH($B802,'FX Rates'!$A$1:$BQ$1,-1,1),0)=0,"No Exch Rate Data",IF($G802=0,"",$G802/VLOOKUP($H802,'FX Rates'!$A$1:$BQ$152,_xlfn.XMATCH($B802,'FX Rates'!$A$1:$BQ$1,-1,1),0))))</f>
        <v/>
      </c>
    </row>
    <row r="803" spans="2:10" x14ac:dyDescent="0.25">
      <c r="B803" s="87"/>
      <c r="I803" s="111" t="str">
        <f t="shared" si="14"/>
        <v/>
      </c>
      <c r="J803" s="89" t="str">
        <f>IF(ISBLANK($H803),"",IF(VLOOKUP($H803,'FX Rates'!$A$1:$BQ$152,_xlfn.XMATCH($B803,'FX Rates'!$A$1:$BQ$1,-1,1),0)=0,"No Exch Rate Data",IF($G803=0,"",$G803/VLOOKUP($H803,'FX Rates'!$A$1:$BQ$152,_xlfn.XMATCH($B803,'FX Rates'!$A$1:$BQ$1,-1,1),0))))</f>
        <v/>
      </c>
    </row>
    <row r="804" spans="2:10" x14ac:dyDescent="0.25">
      <c r="B804" s="87"/>
      <c r="I804" s="111" t="str">
        <f t="shared" si="14"/>
        <v/>
      </c>
      <c r="J804" s="89" t="str">
        <f>IF(ISBLANK($H804),"",IF(VLOOKUP($H804,'FX Rates'!$A$1:$BQ$152,_xlfn.XMATCH($B804,'FX Rates'!$A$1:$BQ$1,-1,1),0)=0,"No Exch Rate Data",IF($G804=0,"",$G804/VLOOKUP($H804,'FX Rates'!$A$1:$BQ$152,_xlfn.XMATCH($B804,'FX Rates'!$A$1:$BQ$1,-1,1),0))))</f>
        <v/>
      </c>
    </row>
    <row r="805" spans="2:10" x14ac:dyDescent="0.25">
      <c r="B805" s="87"/>
      <c r="I805" s="111" t="str">
        <f t="shared" si="14"/>
        <v/>
      </c>
      <c r="J805" s="89" t="str">
        <f>IF(ISBLANK($H805),"",IF(VLOOKUP($H805,'FX Rates'!$A$1:$BQ$152,_xlfn.XMATCH($B805,'FX Rates'!$A$1:$BQ$1,-1,1),0)=0,"No Exch Rate Data",IF($G805=0,"",$G805/VLOOKUP($H805,'FX Rates'!$A$1:$BQ$152,_xlfn.XMATCH($B805,'FX Rates'!$A$1:$BQ$1,-1,1),0))))</f>
        <v/>
      </c>
    </row>
    <row r="806" spans="2:10" x14ac:dyDescent="0.25">
      <c r="B806" s="87"/>
      <c r="I806" s="111" t="str">
        <f t="shared" si="14"/>
        <v/>
      </c>
      <c r="J806" s="89" t="str">
        <f>IF(ISBLANK($H806),"",IF(VLOOKUP($H806,'FX Rates'!$A$1:$BQ$152,_xlfn.XMATCH($B806,'FX Rates'!$A$1:$BQ$1,-1,1),0)=0,"No Exch Rate Data",IF($G806=0,"",$G806/VLOOKUP($H806,'FX Rates'!$A$1:$BQ$152,_xlfn.XMATCH($B806,'FX Rates'!$A$1:$BQ$1,-1,1),0))))</f>
        <v/>
      </c>
    </row>
    <row r="807" spans="2:10" x14ac:dyDescent="0.25">
      <c r="B807" s="87"/>
      <c r="I807" s="111" t="str">
        <f t="shared" si="14"/>
        <v/>
      </c>
      <c r="J807" s="89" t="str">
        <f>IF(ISBLANK($H807),"",IF(VLOOKUP($H807,'FX Rates'!$A$1:$BQ$152,_xlfn.XMATCH($B807,'FX Rates'!$A$1:$BQ$1,-1,1),0)=0,"No Exch Rate Data",IF($G807=0,"",$G807/VLOOKUP($H807,'FX Rates'!$A$1:$BQ$152,_xlfn.XMATCH($B807,'FX Rates'!$A$1:$BQ$1,-1,1),0))))</f>
        <v/>
      </c>
    </row>
    <row r="808" spans="2:10" x14ac:dyDescent="0.25">
      <c r="B808" s="87"/>
      <c r="I808" s="111" t="str">
        <f t="shared" si="14"/>
        <v/>
      </c>
      <c r="J808" s="89" t="str">
        <f>IF(ISBLANK($H808),"",IF(VLOOKUP($H808,'FX Rates'!$A$1:$BQ$152,_xlfn.XMATCH($B808,'FX Rates'!$A$1:$BQ$1,-1,1),0)=0,"No Exch Rate Data",IF($G808=0,"",$G808/VLOOKUP($H808,'FX Rates'!$A$1:$BQ$152,_xlfn.XMATCH($B808,'FX Rates'!$A$1:$BQ$1,-1,1),0))))</f>
        <v/>
      </c>
    </row>
    <row r="809" spans="2:10" x14ac:dyDescent="0.25">
      <c r="B809" s="87"/>
      <c r="I809" s="111" t="str">
        <f t="shared" si="14"/>
        <v/>
      </c>
      <c r="J809" s="89" t="str">
        <f>IF(ISBLANK($H809),"",IF(VLOOKUP($H809,'FX Rates'!$A$1:$BQ$152,_xlfn.XMATCH($B809,'FX Rates'!$A$1:$BQ$1,-1,1),0)=0,"No Exch Rate Data",IF($G809=0,"",$G809/VLOOKUP($H809,'FX Rates'!$A$1:$BQ$152,_xlfn.XMATCH($B809,'FX Rates'!$A$1:$BQ$1,-1,1),0))))</f>
        <v/>
      </c>
    </row>
    <row r="810" spans="2:10" x14ac:dyDescent="0.25">
      <c r="B810" s="87"/>
      <c r="I810" s="111" t="str">
        <f t="shared" ref="I810:I873" si="15">IF(ISBLANK($D810),"",_xlfn.XLOOKUP($D810,Item_List,Time_Span,"",0))</f>
        <v/>
      </c>
      <c r="J810" s="89" t="str">
        <f>IF(ISBLANK($H810),"",IF(VLOOKUP($H810,'FX Rates'!$A$1:$BQ$152,_xlfn.XMATCH($B810,'FX Rates'!$A$1:$BQ$1,-1,1),0)=0,"No Exch Rate Data",IF($G810=0,"",$G810/VLOOKUP($H810,'FX Rates'!$A$1:$BQ$152,_xlfn.XMATCH($B810,'FX Rates'!$A$1:$BQ$1,-1,1),0))))</f>
        <v/>
      </c>
    </row>
    <row r="811" spans="2:10" x14ac:dyDescent="0.25">
      <c r="B811" s="87"/>
      <c r="I811" s="111" t="str">
        <f t="shared" si="15"/>
        <v/>
      </c>
      <c r="J811" s="89" t="str">
        <f>IF(ISBLANK($H811),"",IF(VLOOKUP($H811,'FX Rates'!$A$1:$BQ$152,_xlfn.XMATCH($B811,'FX Rates'!$A$1:$BQ$1,-1,1),0)=0,"No Exch Rate Data",IF($G811=0,"",$G811/VLOOKUP($H811,'FX Rates'!$A$1:$BQ$152,_xlfn.XMATCH($B811,'FX Rates'!$A$1:$BQ$1,-1,1),0))))</f>
        <v/>
      </c>
    </row>
    <row r="812" spans="2:10" x14ac:dyDescent="0.25">
      <c r="B812" s="87"/>
      <c r="I812" s="111" t="str">
        <f t="shared" si="15"/>
        <v/>
      </c>
      <c r="J812" s="89" t="str">
        <f>IF(ISBLANK($H812),"",IF(VLOOKUP($H812,'FX Rates'!$A$1:$BQ$152,_xlfn.XMATCH($B812,'FX Rates'!$A$1:$BQ$1,-1,1),0)=0,"No Exch Rate Data",IF($G812=0,"",$G812/VLOOKUP($H812,'FX Rates'!$A$1:$BQ$152,_xlfn.XMATCH($B812,'FX Rates'!$A$1:$BQ$1,-1,1),0))))</f>
        <v/>
      </c>
    </row>
    <row r="813" spans="2:10" x14ac:dyDescent="0.25">
      <c r="B813" s="87"/>
      <c r="I813" s="111" t="str">
        <f t="shared" si="15"/>
        <v/>
      </c>
      <c r="J813" s="89" t="str">
        <f>IF(ISBLANK($H813),"",IF(VLOOKUP($H813,'FX Rates'!$A$1:$BQ$152,_xlfn.XMATCH($B813,'FX Rates'!$A$1:$BQ$1,-1,1),0)=0,"No Exch Rate Data",IF($G813=0,"",$G813/VLOOKUP($H813,'FX Rates'!$A$1:$BQ$152,_xlfn.XMATCH($B813,'FX Rates'!$A$1:$BQ$1,-1,1),0))))</f>
        <v/>
      </c>
    </row>
    <row r="814" spans="2:10" x14ac:dyDescent="0.25">
      <c r="B814" s="87"/>
      <c r="I814" s="111" t="str">
        <f t="shared" si="15"/>
        <v/>
      </c>
      <c r="J814" s="89" t="str">
        <f>IF(ISBLANK($H814),"",IF(VLOOKUP($H814,'FX Rates'!$A$1:$BQ$152,_xlfn.XMATCH($B814,'FX Rates'!$A$1:$BQ$1,-1,1),0)=0,"No Exch Rate Data",IF($G814=0,"",$G814/VLOOKUP($H814,'FX Rates'!$A$1:$BQ$152,_xlfn.XMATCH($B814,'FX Rates'!$A$1:$BQ$1,-1,1),0))))</f>
        <v/>
      </c>
    </row>
    <row r="815" spans="2:10" x14ac:dyDescent="0.25">
      <c r="B815" s="87"/>
      <c r="I815" s="111" t="str">
        <f t="shared" si="15"/>
        <v/>
      </c>
      <c r="J815" s="89" t="str">
        <f>IF(ISBLANK($H815),"",IF(VLOOKUP($H815,'FX Rates'!$A$1:$BQ$152,_xlfn.XMATCH($B815,'FX Rates'!$A$1:$BQ$1,-1,1),0)=0,"No Exch Rate Data",IF($G815=0,"",$G815/VLOOKUP($H815,'FX Rates'!$A$1:$BQ$152,_xlfn.XMATCH($B815,'FX Rates'!$A$1:$BQ$1,-1,1),0))))</f>
        <v/>
      </c>
    </row>
    <row r="816" spans="2:10" x14ac:dyDescent="0.25">
      <c r="B816" s="87"/>
      <c r="I816" s="111" t="str">
        <f t="shared" si="15"/>
        <v/>
      </c>
      <c r="J816" s="89" t="str">
        <f>IF(ISBLANK($H816),"",IF(VLOOKUP($H816,'FX Rates'!$A$1:$BQ$152,_xlfn.XMATCH($B816,'FX Rates'!$A$1:$BQ$1,-1,1),0)=0,"No Exch Rate Data",IF($G816=0,"",$G816/VLOOKUP($H816,'FX Rates'!$A$1:$BQ$152,_xlfn.XMATCH($B816,'FX Rates'!$A$1:$BQ$1,-1,1),0))))</f>
        <v/>
      </c>
    </row>
    <row r="817" spans="2:10" x14ac:dyDescent="0.25">
      <c r="B817" s="87"/>
      <c r="I817" s="111" t="str">
        <f t="shared" si="15"/>
        <v/>
      </c>
      <c r="J817" s="89" t="str">
        <f>IF(ISBLANK($H817),"",IF(VLOOKUP($H817,'FX Rates'!$A$1:$BQ$152,_xlfn.XMATCH($B817,'FX Rates'!$A$1:$BQ$1,-1,1),0)=0,"No Exch Rate Data",IF($G817=0,"",$G817/VLOOKUP($H817,'FX Rates'!$A$1:$BQ$152,_xlfn.XMATCH($B817,'FX Rates'!$A$1:$BQ$1,-1,1),0))))</f>
        <v/>
      </c>
    </row>
    <row r="818" spans="2:10" x14ac:dyDescent="0.25">
      <c r="B818" s="87"/>
      <c r="I818" s="111" t="str">
        <f t="shared" si="15"/>
        <v/>
      </c>
      <c r="J818" s="89" t="str">
        <f>IF(ISBLANK($H818),"",IF(VLOOKUP($H818,'FX Rates'!$A$1:$BQ$152,_xlfn.XMATCH($B818,'FX Rates'!$A$1:$BQ$1,-1,1),0)=0,"No Exch Rate Data",IF($G818=0,"",$G818/VLOOKUP($H818,'FX Rates'!$A$1:$BQ$152,_xlfn.XMATCH($B818,'FX Rates'!$A$1:$BQ$1,-1,1),0))))</f>
        <v/>
      </c>
    </row>
    <row r="819" spans="2:10" x14ac:dyDescent="0.25">
      <c r="B819" s="87"/>
      <c r="I819" s="111" t="str">
        <f t="shared" si="15"/>
        <v/>
      </c>
      <c r="J819" s="89" t="str">
        <f>IF(ISBLANK($H819),"",IF(VLOOKUP($H819,'FX Rates'!$A$1:$BQ$152,_xlfn.XMATCH($B819,'FX Rates'!$A$1:$BQ$1,-1,1),0)=0,"No Exch Rate Data",IF($G819=0,"",$G819/VLOOKUP($H819,'FX Rates'!$A$1:$BQ$152,_xlfn.XMATCH($B819,'FX Rates'!$A$1:$BQ$1,-1,1),0))))</f>
        <v/>
      </c>
    </row>
    <row r="820" spans="2:10" x14ac:dyDescent="0.25">
      <c r="B820" s="87"/>
      <c r="I820" s="111" t="str">
        <f t="shared" si="15"/>
        <v/>
      </c>
      <c r="J820" s="89" t="str">
        <f>IF(ISBLANK($H820),"",IF(VLOOKUP($H820,'FX Rates'!$A$1:$BQ$152,_xlfn.XMATCH($B820,'FX Rates'!$A$1:$BQ$1,-1,1),0)=0,"No Exch Rate Data",IF($G820=0,"",$G820/VLOOKUP($H820,'FX Rates'!$A$1:$BQ$152,_xlfn.XMATCH($B820,'FX Rates'!$A$1:$BQ$1,-1,1),0))))</f>
        <v/>
      </c>
    </row>
    <row r="821" spans="2:10" x14ac:dyDescent="0.25">
      <c r="B821" s="87"/>
      <c r="I821" s="111" t="str">
        <f t="shared" si="15"/>
        <v/>
      </c>
      <c r="J821" s="89" t="str">
        <f>IF(ISBLANK($H821),"",IF(VLOOKUP($H821,'FX Rates'!$A$1:$BQ$152,_xlfn.XMATCH($B821,'FX Rates'!$A$1:$BQ$1,-1,1),0)=0,"No Exch Rate Data",IF($G821=0,"",$G821/VLOOKUP($H821,'FX Rates'!$A$1:$BQ$152,_xlfn.XMATCH($B821,'FX Rates'!$A$1:$BQ$1,-1,1),0))))</f>
        <v/>
      </c>
    </row>
    <row r="822" spans="2:10" x14ac:dyDescent="0.25">
      <c r="B822" s="87"/>
      <c r="I822" s="111" t="str">
        <f t="shared" si="15"/>
        <v/>
      </c>
      <c r="J822" s="89" t="str">
        <f>IF(ISBLANK($H822),"",IF(VLOOKUP($H822,'FX Rates'!$A$1:$BQ$152,_xlfn.XMATCH($B822,'FX Rates'!$A$1:$BQ$1,-1,1),0)=0,"No Exch Rate Data",IF($G822=0,"",$G822/VLOOKUP($H822,'FX Rates'!$A$1:$BQ$152,_xlfn.XMATCH($B822,'FX Rates'!$A$1:$BQ$1,-1,1),0))))</f>
        <v/>
      </c>
    </row>
    <row r="823" spans="2:10" x14ac:dyDescent="0.25">
      <c r="B823" s="87"/>
      <c r="I823" s="111" t="str">
        <f t="shared" si="15"/>
        <v/>
      </c>
      <c r="J823" s="89" t="str">
        <f>IF(ISBLANK($H823),"",IF(VLOOKUP($H823,'FX Rates'!$A$1:$BQ$152,_xlfn.XMATCH($B823,'FX Rates'!$A$1:$BQ$1,-1,1),0)=0,"No Exch Rate Data",IF($G823=0,"",$G823/VLOOKUP($H823,'FX Rates'!$A$1:$BQ$152,_xlfn.XMATCH($B823,'FX Rates'!$A$1:$BQ$1,-1,1),0))))</f>
        <v/>
      </c>
    </row>
    <row r="824" spans="2:10" x14ac:dyDescent="0.25">
      <c r="B824" s="87"/>
      <c r="I824" s="111" t="str">
        <f t="shared" si="15"/>
        <v/>
      </c>
      <c r="J824" s="89" t="str">
        <f>IF(ISBLANK($H824),"",IF(VLOOKUP($H824,'FX Rates'!$A$1:$BQ$152,_xlfn.XMATCH($B824,'FX Rates'!$A$1:$BQ$1,-1,1),0)=0,"No Exch Rate Data",IF($G824=0,"",$G824/VLOOKUP($H824,'FX Rates'!$A$1:$BQ$152,_xlfn.XMATCH($B824,'FX Rates'!$A$1:$BQ$1,-1,1),0))))</f>
        <v/>
      </c>
    </row>
    <row r="825" spans="2:10" x14ac:dyDescent="0.25">
      <c r="B825" s="87"/>
      <c r="I825" s="111" t="str">
        <f t="shared" si="15"/>
        <v/>
      </c>
      <c r="J825" s="89" t="str">
        <f>IF(ISBLANK($H825),"",IF(VLOOKUP($H825,'FX Rates'!$A$1:$BQ$152,_xlfn.XMATCH($B825,'FX Rates'!$A$1:$BQ$1,-1,1),0)=0,"No Exch Rate Data",IF($G825=0,"",$G825/VLOOKUP($H825,'FX Rates'!$A$1:$BQ$152,_xlfn.XMATCH($B825,'FX Rates'!$A$1:$BQ$1,-1,1),0))))</f>
        <v/>
      </c>
    </row>
    <row r="826" spans="2:10" x14ac:dyDescent="0.25">
      <c r="B826" s="87"/>
      <c r="I826" s="111" t="str">
        <f t="shared" si="15"/>
        <v/>
      </c>
      <c r="J826" s="89" t="str">
        <f>IF(ISBLANK($H826),"",IF(VLOOKUP($H826,'FX Rates'!$A$1:$BQ$152,_xlfn.XMATCH($B826,'FX Rates'!$A$1:$BQ$1,-1,1),0)=0,"No Exch Rate Data",IF($G826=0,"",$G826/VLOOKUP($H826,'FX Rates'!$A$1:$BQ$152,_xlfn.XMATCH($B826,'FX Rates'!$A$1:$BQ$1,-1,1),0))))</f>
        <v/>
      </c>
    </row>
    <row r="827" spans="2:10" x14ac:dyDescent="0.25">
      <c r="B827" s="87"/>
      <c r="I827" s="111" t="str">
        <f t="shared" si="15"/>
        <v/>
      </c>
      <c r="J827" s="89" t="str">
        <f>IF(ISBLANK($H827),"",IF(VLOOKUP($H827,'FX Rates'!$A$1:$BQ$152,_xlfn.XMATCH($B827,'FX Rates'!$A$1:$BQ$1,-1,1),0)=0,"No Exch Rate Data",IF($G827=0,"",$G827/VLOOKUP($H827,'FX Rates'!$A$1:$BQ$152,_xlfn.XMATCH($B827,'FX Rates'!$A$1:$BQ$1,-1,1),0))))</f>
        <v/>
      </c>
    </row>
    <row r="828" spans="2:10" x14ac:dyDescent="0.25">
      <c r="B828" s="87"/>
      <c r="I828" s="111" t="str">
        <f t="shared" si="15"/>
        <v/>
      </c>
      <c r="J828" s="89" t="str">
        <f>IF(ISBLANK($H828),"",IF(VLOOKUP($H828,'FX Rates'!$A$1:$BQ$152,_xlfn.XMATCH($B828,'FX Rates'!$A$1:$BQ$1,-1,1),0)=0,"No Exch Rate Data",IF($G828=0,"",$G828/VLOOKUP($H828,'FX Rates'!$A$1:$BQ$152,_xlfn.XMATCH($B828,'FX Rates'!$A$1:$BQ$1,-1,1),0))))</f>
        <v/>
      </c>
    </row>
    <row r="829" spans="2:10" x14ac:dyDescent="0.25">
      <c r="B829" s="87"/>
      <c r="I829" s="111" t="str">
        <f t="shared" si="15"/>
        <v/>
      </c>
      <c r="J829" s="89" t="str">
        <f>IF(ISBLANK($H829),"",IF(VLOOKUP($H829,'FX Rates'!$A$1:$BQ$152,_xlfn.XMATCH($B829,'FX Rates'!$A$1:$BQ$1,-1,1),0)=0,"No Exch Rate Data",IF($G829=0,"",$G829/VLOOKUP($H829,'FX Rates'!$A$1:$BQ$152,_xlfn.XMATCH($B829,'FX Rates'!$A$1:$BQ$1,-1,1),0))))</f>
        <v/>
      </c>
    </row>
    <row r="830" spans="2:10" x14ac:dyDescent="0.25">
      <c r="B830" s="87"/>
      <c r="I830" s="111" t="str">
        <f t="shared" si="15"/>
        <v/>
      </c>
      <c r="J830" s="89" t="str">
        <f>IF(ISBLANK($H830),"",IF(VLOOKUP($H830,'FX Rates'!$A$1:$BQ$152,_xlfn.XMATCH($B830,'FX Rates'!$A$1:$BQ$1,-1,1),0)=0,"No Exch Rate Data",IF($G830=0,"",$G830/VLOOKUP($H830,'FX Rates'!$A$1:$BQ$152,_xlfn.XMATCH($B830,'FX Rates'!$A$1:$BQ$1,-1,1),0))))</f>
        <v/>
      </c>
    </row>
    <row r="831" spans="2:10" x14ac:dyDescent="0.25">
      <c r="B831" s="87"/>
      <c r="I831" s="111" t="str">
        <f t="shared" si="15"/>
        <v/>
      </c>
      <c r="J831" s="89" t="str">
        <f>IF(ISBLANK($H831),"",IF(VLOOKUP($H831,'FX Rates'!$A$1:$BQ$152,_xlfn.XMATCH($B831,'FX Rates'!$A$1:$BQ$1,-1,1),0)=0,"No Exch Rate Data",IF($G831=0,"",$G831/VLOOKUP($H831,'FX Rates'!$A$1:$BQ$152,_xlfn.XMATCH($B831,'FX Rates'!$A$1:$BQ$1,-1,1),0))))</f>
        <v/>
      </c>
    </row>
    <row r="832" spans="2:10" x14ac:dyDescent="0.25">
      <c r="B832" s="87"/>
      <c r="I832" s="111" t="str">
        <f t="shared" si="15"/>
        <v/>
      </c>
      <c r="J832" s="89" t="str">
        <f>IF(ISBLANK($H832),"",IF(VLOOKUP($H832,'FX Rates'!$A$1:$BQ$152,_xlfn.XMATCH($B832,'FX Rates'!$A$1:$BQ$1,-1,1),0)=0,"No Exch Rate Data",IF($G832=0,"",$G832/VLOOKUP($H832,'FX Rates'!$A$1:$BQ$152,_xlfn.XMATCH($B832,'FX Rates'!$A$1:$BQ$1,-1,1),0))))</f>
        <v/>
      </c>
    </row>
    <row r="833" spans="2:10" x14ac:dyDescent="0.25">
      <c r="B833" s="87"/>
      <c r="I833" s="111" t="str">
        <f t="shared" si="15"/>
        <v/>
      </c>
      <c r="J833" s="89" t="str">
        <f>IF(ISBLANK($H833),"",IF(VLOOKUP($H833,'FX Rates'!$A$1:$BQ$152,_xlfn.XMATCH($B833,'FX Rates'!$A$1:$BQ$1,-1,1),0)=0,"No Exch Rate Data",IF($G833=0,"",$G833/VLOOKUP($H833,'FX Rates'!$A$1:$BQ$152,_xlfn.XMATCH($B833,'FX Rates'!$A$1:$BQ$1,-1,1),0))))</f>
        <v/>
      </c>
    </row>
    <row r="834" spans="2:10" x14ac:dyDescent="0.25">
      <c r="B834" s="87"/>
      <c r="I834" s="111" t="str">
        <f t="shared" si="15"/>
        <v/>
      </c>
      <c r="J834" s="89" t="str">
        <f>IF(ISBLANK($H834),"",IF(VLOOKUP($H834,'FX Rates'!$A$1:$BQ$152,_xlfn.XMATCH($B834,'FX Rates'!$A$1:$BQ$1,-1,1),0)=0,"No Exch Rate Data",IF($G834=0,"",$G834/VLOOKUP($H834,'FX Rates'!$A$1:$BQ$152,_xlfn.XMATCH($B834,'FX Rates'!$A$1:$BQ$1,-1,1),0))))</f>
        <v/>
      </c>
    </row>
    <row r="835" spans="2:10" x14ac:dyDescent="0.25">
      <c r="B835" s="87"/>
      <c r="I835" s="111" t="str">
        <f t="shared" si="15"/>
        <v/>
      </c>
      <c r="J835" s="89" t="str">
        <f>IF(ISBLANK($H835),"",IF(VLOOKUP($H835,'FX Rates'!$A$1:$BQ$152,_xlfn.XMATCH($B835,'FX Rates'!$A$1:$BQ$1,-1,1),0)=0,"No Exch Rate Data",IF($G835=0,"",$G835/VLOOKUP($H835,'FX Rates'!$A$1:$BQ$152,_xlfn.XMATCH($B835,'FX Rates'!$A$1:$BQ$1,-1,1),0))))</f>
        <v/>
      </c>
    </row>
    <row r="836" spans="2:10" x14ac:dyDescent="0.25">
      <c r="B836" s="87"/>
      <c r="I836" s="111" t="str">
        <f t="shared" si="15"/>
        <v/>
      </c>
      <c r="J836" s="89" t="str">
        <f>IF(ISBLANK($H836),"",IF(VLOOKUP($H836,'FX Rates'!$A$1:$BQ$152,_xlfn.XMATCH($B836,'FX Rates'!$A$1:$BQ$1,-1,1),0)=0,"No Exch Rate Data",IF($G836=0,"",$G836/VLOOKUP($H836,'FX Rates'!$A$1:$BQ$152,_xlfn.XMATCH($B836,'FX Rates'!$A$1:$BQ$1,-1,1),0))))</f>
        <v/>
      </c>
    </row>
    <row r="837" spans="2:10" x14ac:dyDescent="0.25">
      <c r="B837" s="87"/>
      <c r="I837" s="111" t="str">
        <f t="shared" si="15"/>
        <v/>
      </c>
      <c r="J837" s="89" t="str">
        <f>IF(ISBLANK($H837),"",IF(VLOOKUP($H837,'FX Rates'!$A$1:$BQ$152,_xlfn.XMATCH($B837,'FX Rates'!$A$1:$BQ$1,-1,1),0)=0,"No Exch Rate Data",IF($G837=0,"",$G837/VLOOKUP($H837,'FX Rates'!$A$1:$BQ$152,_xlfn.XMATCH($B837,'FX Rates'!$A$1:$BQ$1,-1,1),0))))</f>
        <v/>
      </c>
    </row>
    <row r="838" spans="2:10" x14ac:dyDescent="0.25">
      <c r="B838" s="87"/>
      <c r="I838" s="111" t="str">
        <f t="shared" si="15"/>
        <v/>
      </c>
      <c r="J838" s="89" t="str">
        <f>IF(ISBLANK($H838),"",IF(VLOOKUP($H838,'FX Rates'!$A$1:$BQ$152,_xlfn.XMATCH($B838,'FX Rates'!$A$1:$BQ$1,-1,1),0)=0,"No Exch Rate Data",IF($G838=0,"",$G838/VLOOKUP($H838,'FX Rates'!$A$1:$BQ$152,_xlfn.XMATCH($B838,'FX Rates'!$A$1:$BQ$1,-1,1),0))))</f>
        <v/>
      </c>
    </row>
    <row r="839" spans="2:10" x14ac:dyDescent="0.25">
      <c r="B839" s="87"/>
      <c r="I839" s="111" t="str">
        <f t="shared" si="15"/>
        <v/>
      </c>
      <c r="J839" s="89" t="str">
        <f>IF(ISBLANK($H839),"",IF(VLOOKUP($H839,'FX Rates'!$A$1:$BQ$152,_xlfn.XMATCH($B839,'FX Rates'!$A$1:$BQ$1,-1,1),0)=0,"No Exch Rate Data",IF($G839=0,"",$G839/VLOOKUP($H839,'FX Rates'!$A$1:$BQ$152,_xlfn.XMATCH($B839,'FX Rates'!$A$1:$BQ$1,-1,1),0))))</f>
        <v/>
      </c>
    </row>
    <row r="840" spans="2:10" x14ac:dyDescent="0.25">
      <c r="B840" s="87"/>
      <c r="I840" s="111" t="str">
        <f t="shared" si="15"/>
        <v/>
      </c>
      <c r="J840" s="89" t="str">
        <f>IF(ISBLANK($H840),"",IF(VLOOKUP($H840,'FX Rates'!$A$1:$BQ$152,_xlfn.XMATCH($B840,'FX Rates'!$A$1:$BQ$1,-1,1),0)=0,"No Exch Rate Data",IF($G840=0,"",$G840/VLOOKUP($H840,'FX Rates'!$A$1:$BQ$152,_xlfn.XMATCH($B840,'FX Rates'!$A$1:$BQ$1,-1,1),0))))</f>
        <v/>
      </c>
    </row>
    <row r="841" spans="2:10" x14ac:dyDescent="0.25">
      <c r="B841" s="87"/>
      <c r="I841" s="111" t="str">
        <f t="shared" si="15"/>
        <v/>
      </c>
      <c r="J841" s="89" t="str">
        <f>IF(ISBLANK($H841),"",IF(VLOOKUP($H841,'FX Rates'!$A$1:$BQ$152,_xlfn.XMATCH($B841,'FX Rates'!$A$1:$BQ$1,-1,1),0)=0,"No Exch Rate Data",IF($G841=0,"",$G841/VLOOKUP($H841,'FX Rates'!$A$1:$BQ$152,_xlfn.XMATCH($B841,'FX Rates'!$A$1:$BQ$1,-1,1),0))))</f>
        <v/>
      </c>
    </row>
    <row r="842" spans="2:10" x14ac:dyDescent="0.25">
      <c r="B842" s="87"/>
      <c r="I842" s="111" t="str">
        <f t="shared" si="15"/>
        <v/>
      </c>
      <c r="J842" s="89" t="str">
        <f>IF(ISBLANK($H842),"",IF(VLOOKUP($H842,'FX Rates'!$A$1:$BQ$152,_xlfn.XMATCH($B842,'FX Rates'!$A$1:$BQ$1,-1,1),0)=0,"No Exch Rate Data",IF($G842=0,"",$G842/VLOOKUP($H842,'FX Rates'!$A$1:$BQ$152,_xlfn.XMATCH($B842,'FX Rates'!$A$1:$BQ$1,-1,1),0))))</f>
        <v/>
      </c>
    </row>
    <row r="843" spans="2:10" x14ac:dyDescent="0.25">
      <c r="B843" s="87"/>
      <c r="I843" s="111" t="str">
        <f t="shared" si="15"/>
        <v/>
      </c>
      <c r="J843" s="89" t="str">
        <f>IF(ISBLANK($H843),"",IF(VLOOKUP($H843,'FX Rates'!$A$1:$BQ$152,_xlfn.XMATCH($B843,'FX Rates'!$A$1:$BQ$1,-1,1),0)=0,"No Exch Rate Data",IF($G843=0,"",$G843/VLOOKUP($H843,'FX Rates'!$A$1:$BQ$152,_xlfn.XMATCH($B843,'FX Rates'!$A$1:$BQ$1,-1,1),0))))</f>
        <v/>
      </c>
    </row>
    <row r="844" spans="2:10" x14ac:dyDescent="0.25">
      <c r="B844" s="87"/>
      <c r="I844" s="111" t="str">
        <f t="shared" si="15"/>
        <v/>
      </c>
      <c r="J844" s="89" t="str">
        <f>IF(ISBLANK($H844),"",IF(VLOOKUP($H844,'FX Rates'!$A$1:$BQ$152,_xlfn.XMATCH($B844,'FX Rates'!$A$1:$BQ$1,-1,1),0)=0,"No Exch Rate Data",IF($G844=0,"",$G844/VLOOKUP($H844,'FX Rates'!$A$1:$BQ$152,_xlfn.XMATCH($B844,'FX Rates'!$A$1:$BQ$1,-1,1),0))))</f>
        <v/>
      </c>
    </row>
    <row r="845" spans="2:10" x14ac:dyDescent="0.25">
      <c r="B845" s="87"/>
      <c r="I845" s="111" t="str">
        <f t="shared" si="15"/>
        <v/>
      </c>
      <c r="J845" s="89" t="str">
        <f>IF(ISBLANK($H845),"",IF(VLOOKUP($H845,'FX Rates'!$A$1:$BQ$152,_xlfn.XMATCH($B845,'FX Rates'!$A$1:$BQ$1,-1,1),0)=0,"No Exch Rate Data",IF($G845=0,"",$G845/VLOOKUP($H845,'FX Rates'!$A$1:$BQ$152,_xlfn.XMATCH($B845,'FX Rates'!$A$1:$BQ$1,-1,1),0))))</f>
        <v/>
      </c>
    </row>
    <row r="846" spans="2:10" x14ac:dyDescent="0.25">
      <c r="B846" s="87"/>
      <c r="I846" s="111" t="str">
        <f t="shared" si="15"/>
        <v/>
      </c>
      <c r="J846" s="89" t="str">
        <f>IF(ISBLANK($H846),"",IF(VLOOKUP($H846,'FX Rates'!$A$1:$BQ$152,_xlfn.XMATCH($B846,'FX Rates'!$A$1:$BQ$1,-1,1),0)=0,"No Exch Rate Data",IF($G846=0,"",$G846/VLOOKUP($H846,'FX Rates'!$A$1:$BQ$152,_xlfn.XMATCH($B846,'FX Rates'!$A$1:$BQ$1,-1,1),0))))</f>
        <v/>
      </c>
    </row>
    <row r="847" spans="2:10" x14ac:dyDescent="0.25">
      <c r="B847" s="87"/>
      <c r="I847" s="111" t="str">
        <f t="shared" si="15"/>
        <v/>
      </c>
      <c r="J847" s="89" t="str">
        <f>IF(ISBLANK($H847),"",IF(VLOOKUP($H847,'FX Rates'!$A$1:$BQ$152,_xlfn.XMATCH($B847,'FX Rates'!$A$1:$BQ$1,-1,1),0)=0,"No Exch Rate Data",IF($G847=0,"",$G847/VLOOKUP($H847,'FX Rates'!$A$1:$BQ$152,_xlfn.XMATCH($B847,'FX Rates'!$A$1:$BQ$1,-1,1),0))))</f>
        <v/>
      </c>
    </row>
    <row r="848" spans="2:10" x14ac:dyDescent="0.25">
      <c r="B848" s="87"/>
      <c r="I848" s="111" t="str">
        <f t="shared" si="15"/>
        <v/>
      </c>
      <c r="J848" s="89" t="str">
        <f>IF(ISBLANK($H848),"",IF(VLOOKUP($H848,'FX Rates'!$A$1:$BQ$152,_xlfn.XMATCH($B848,'FX Rates'!$A$1:$BQ$1,-1,1),0)=0,"No Exch Rate Data",IF($G848=0,"",$G848/VLOOKUP($H848,'FX Rates'!$A$1:$BQ$152,_xlfn.XMATCH($B848,'FX Rates'!$A$1:$BQ$1,-1,1),0))))</f>
        <v/>
      </c>
    </row>
    <row r="849" spans="2:10" x14ac:dyDescent="0.25">
      <c r="B849" s="87"/>
      <c r="I849" s="111" t="str">
        <f t="shared" si="15"/>
        <v/>
      </c>
      <c r="J849" s="89" t="str">
        <f>IF(ISBLANK($H849),"",IF(VLOOKUP($H849,'FX Rates'!$A$1:$BQ$152,_xlfn.XMATCH($B849,'FX Rates'!$A$1:$BQ$1,-1,1),0)=0,"No Exch Rate Data",IF($G849=0,"",$G849/VLOOKUP($H849,'FX Rates'!$A$1:$BQ$152,_xlfn.XMATCH($B849,'FX Rates'!$A$1:$BQ$1,-1,1),0))))</f>
        <v/>
      </c>
    </row>
    <row r="850" spans="2:10" x14ac:dyDescent="0.25">
      <c r="B850" s="87"/>
      <c r="I850" s="111" t="str">
        <f t="shared" si="15"/>
        <v/>
      </c>
      <c r="J850" s="89" t="str">
        <f>IF(ISBLANK($H850),"",IF(VLOOKUP($H850,'FX Rates'!$A$1:$BQ$152,_xlfn.XMATCH($B850,'FX Rates'!$A$1:$BQ$1,-1,1),0)=0,"No Exch Rate Data",IF($G850=0,"",$G850/VLOOKUP($H850,'FX Rates'!$A$1:$BQ$152,_xlfn.XMATCH($B850,'FX Rates'!$A$1:$BQ$1,-1,1),0))))</f>
        <v/>
      </c>
    </row>
    <row r="851" spans="2:10" x14ac:dyDescent="0.25">
      <c r="B851" s="87"/>
      <c r="I851" s="111" t="str">
        <f t="shared" si="15"/>
        <v/>
      </c>
      <c r="J851" s="89" t="str">
        <f>IF(ISBLANK($H851),"",IF(VLOOKUP($H851,'FX Rates'!$A$1:$BQ$152,_xlfn.XMATCH($B851,'FX Rates'!$A$1:$BQ$1,-1,1),0)=0,"No Exch Rate Data",IF($G851=0,"",$G851/VLOOKUP($H851,'FX Rates'!$A$1:$BQ$152,_xlfn.XMATCH($B851,'FX Rates'!$A$1:$BQ$1,-1,1),0))))</f>
        <v/>
      </c>
    </row>
    <row r="852" spans="2:10" x14ac:dyDescent="0.25">
      <c r="B852" s="87"/>
      <c r="I852" s="111" t="str">
        <f t="shared" si="15"/>
        <v/>
      </c>
      <c r="J852" s="89" t="str">
        <f>IF(ISBLANK($H852),"",IF(VLOOKUP($H852,'FX Rates'!$A$1:$BQ$152,_xlfn.XMATCH($B852,'FX Rates'!$A$1:$BQ$1,-1,1),0)=0,"No Exch Rate Data",IF($G852=0,"",$G852/VLOOKUP($H852,'FX Rates'!$A$1:$BQ$152,_xlfn.XMATCH($B852,'FX Rates'!$A$1:$BQ$1,-1,1),0))))</f>
        <v/>
      </c>
    </row>
    <row r="853" spans="2:10" x14ac:dyDescent="0.25">
      <c r="B853" s="87"/>
      <c r="I853" s="111" t="str">
        <f t="shared" si="15"/>
        <v/>
      </c>
      <c r="J853" s="89" t="str">
        <f>IF(ISBLANK($H853),"",IF(VLOOKUP($H853,'FX Rates'!$A$1:$BQ$152,_xlfn.XMATCH($B853,'FX Rates'!$A$1:$BQ$1,-1,1),0)=0,"No Exch Rate Data",IF($G853=0,"",$G853/VLOOKUP($H853,'FX Rates'!$A$1:$BQ$152,_xlfn.XMATCH($B853,'FX Rates'!$A$1:$BQ$1,-1,1),0))))</f>
        <v/>
      </c>
    </row>
    <row r="854" spans="2:10" x14ac:dyDescent="0.25">
      <c r="B854" s="87"/>
      <c r="I854" s="111" t="str">
        <f t="shared" si="15"/>
        <v/>
      </c>
      <c r="J854" s="89" t="str">
        <f>IF(ISBLANK($H854),"",IF(VLOOKUP($H854,'FX Rates'!$A$1:$BQ$152,_xlfn.XMATCH($B854,'FX Rates'!$A$1:$BQ$1,-1,1),0)=0,"No Exch Rate Data",IF($G854=0,"",$G854/VLOOKUP($H854,'FX Rates'!$A$1:$BQ$152,_xlfn.XMATCH($B854,'FX Rates'!$A$1:$BQ$1,-1,1),0))))</f>
        <v/>
      </c>
    </row>
    <row r="855" spans="2:10" x14ac:dyDescent="0.25">
      <c r="B855" s="87"/>
      <c r="I855" s="111" t="str">
        <f t="shared" si="15"/>
        <v/>
      </c>
      <c r="J855" s="89" t="str">
        <f>IF(ISBLANK($H855),"",IF(VLOOKUP($H855,'FX Rates'!$A$1:$BQ$152,_xlfn.XMATCH($B855,'FX Rates'!$A$1:$BQ$1,-1,1),0)=0,"No Exch Rate Data",IF($G855=0,"",$G855/VLOOKUP($H855,'FX Rates'!$A$1:$BQ$152,_xlfn.XMATCH($B855,'FX Rates'!$A$1:$BQ$1,-1,1),0))))</f>
        <v/>
      </c>
    </row>
    <row r="856" spans="2:10" x14ac:dyDescent="0.25">
      <c r="B856" s="87"/>
      <c r="I856" s="111" t="str">
        <f t="shared" si="15"/>
        <v/>
      </c>
      <c r="J856" s="89" t="str">
        <f>IF(ISBLANK($H856),"",IF(VLOOKUP($H856,'FX Rates'!$A$1:$BQ$152,_xlfn.XMATCH($B856,'FX Rates'!$A$1:$BQ$1,-1,1),0)=0,"No Exch Rate Data",IF($G856=0,"",$G856/VLOOKUP($H856,'FX Rates'!$A$1:$BQ$152,_xlfn.XMATCH($B856,'FX Rates'!$A$1:$BQ$1,-1,1),0))))</f>
        <v/>
      </c>
    </row>
    <row r="857" spans="2:10" x14ac:dyDescent="0.25">
      <c r="B857" s="87"/>
      <c r="I857" s="111" t="str">
        <f t="shared" si="15"/>
        <v/>
      </c>
      <c r="J857" s="89" t="str">
        <f>IF(ISBLANK($H857),"",IF(VLOOKUP($H857,'FX Rates'!$A$1:$BQ$152,_xlfn.XMATCH($B857,'FX Rates'!$A$1:$BQ$1,-1,1),0)=0,"No Exch Rate Data",IF($G857=0,"",$G857/VLOOKUP($H857,'FX Rates'!$A$1:$BQ$152,_xlfn.XMATCH($B857,'FX Rates'!$A$1:$BQ$1,-1,1),0))))</f>
        <v/>
      </c>
    </row>
    <row r="858" spans="2:10" x14ac:dyDescent="0.25">
      <c r="B858" s="87"/>
      <c r="I858" s="111" t="str">
        <f t="shared" si="15"/>
        <v/>
      </c>
      <c r="J858" s="89" t="str">
        <f>IF(ISBLANK($H858),"",IF(VLOOKUP($H858,'FX Rates'!$A$1:$BQ$152,_xlfn.XMATCH($B858,'FX Rates'!$A$1:$BQ$1,-1,1),0)=0,"No Exch Rate Data",IF($G858=0,"",$G858/VLOOKUP($H858,'FX Rates'!$A$1:$BQ$152,_xlfn.XMATCH($B858,'FX Rates'!$A$1:$BQ$1,-1,1),0))))</f>
        <v/>
      </c>
    </row>
    <row r="859" spans="2:10" x14ac:dyDescent="0.25">
      <c r="B859" s="87"/>
      <c r="I859" s="111" t="str">
        <f t="shared" si="15"/>
        <v/>
      </c>
      <c r="J859" s="89" t="str">
        <f>IF(ISBLANK($H859),"",IF(VLOOKUP($H859,'FX Rates'!$A$1:$BQ$152,_xlfn.XMATCH($B859,'FX Rates'!$A$1:$BQ$1,-1,1),0)=0,"No Exch Rate Data",IF($G859=0,"",$G859/VLOOKUP($H859,'FX Rates'!$A$1:$BQ$152,_xlfn.XMATCH($B859,'FX Rates'!$A$1:$BQ$1,-1,1),0))))</f>
        <v/>
      </c>
    </row>
    <row r="860" spans="2:10" x14ac:dyDescent="0.25">
      <c r="B860" s="87"/>
      <c r="I860" s="111" t="str">
        <f t="shared" si="15"/>
        <v/>
      </c>
      <c r="J860" s="89" t="str">
        <f>IF(ISBLANK($H860),"",IF(VLOOKUP($H860,'FX Rates'!$A$1:$BQ$152,_xlfn.XMATCH($B860,'FX Rates'!$A$1:$BQ$1,-1,1),0)=0,"No Exch Rate Data",IF($G860=0,"",$G860/VLOOKUP($H860,'FX Rates'!$A$1:$BQ$152,_xlfn.XMATCH($B860,'FX Rates'!$A$1:$BQ$1,-1,1),0))))</f>
        <v/>
      </c>
    </row>
    <row r="861" spans="2:10" x14ac:dyDescent="0.25">
      <c r="B861" s="87"/>
      <c r="I861" s="111" t="str">
        <f t="shared" si="15"/>
        <v/>
      </c>
      <c r="J861" s="89" t="str">
        <f>IF(ISBLANK($H861),"",IF(VLOOKUP($H861,'FX Rates'!$A$1:$BQ$152,_xlfn.XMATCH($B861,'FX Rates'!$A$1:$BQ$1,-1,1),0)=0,"No Exch Rate Data",IF($G861=0,"",$G861/VLOOKUP($H861,'FX Rates'!$A$1:$BQ$152,_xlfn.XMATCH($B861,'FX Rates'!$A$1:$BQ$1,-1,1),0))))</f>
        <v/>
      </c>
    </row>
    <row r="862" spans="2:10" x14ac:dyDescent="0.25">
      <c r="B862" s="87"/>
      <c r="I862" s="111" t="str">
        <f t="shared" si="15"/>
        <v/>
      </c>
      <c r="J862" s="89" t="str">
        <f>IF(ISBLANK($H862),"",IF(VLOOKUP($H862,'FX Rates'!$A$1:$BQ$152,_xlfn.XMATCH($B862,'FX Rates'!$A$1:$BQ$1,-1,1),0)=0,"No Exch Rate Data",IF($G862=0,"",$G862/VLOOKUP($H862,'FX Rates'!$A$1:$BQ$152,_xlfn.XMATCH($B862,'FX Rates'!$A$1:$BQ$1,-1,1),0))))</f>
        <v/>
      </c>
    </row>
    <row r="863" spans="2:10" x14ac:dyDescent="0.25">
      <c r="B863" s="87"/>
      <c r="I863" s="111" t="str">
        <f t="shared" si="15"/>
        <v/>
      </c>
      <c r="J863" s="89" t="str">
        <f>IF(ISBLANK($H863),"",IF(VLOOKUP($H863,'FX Rates'!$A$1:$BQ$152,_xlfn.XMATCH($B863,'FX Rates'!$A$1:$BQ$1,-1,1),0)=0,"No Exch Rate Data",IF($G863=0,"",$G863/VLOOKUP($H863,'FX Rates'!$A$1:$BQ$152,_xlfn.XMATCH($B863,'FX Rates'!$A$1:$BQ$1,-1,1),0))))</f>
        <v/>
      </c>
    </row>
    <row r="864" spans="2:10" x14ac:dyDescent="0.25">
      <c r="B864" s="87"/>
      <c r="I864" s="111" t="str">
        <f t="shared" si="15"/>
        <v/>
      </c>
      <c r="J864" s="89" t="str">
        <f>IF(ISBLANK($H864),"",IF(VLOOKUP($H864,'FX Rates'!$A$1:$BQ$152,_xlfn.XMATCH($B864,'FX Rates'!$A$1:$BQ$1,-1,1),0)=0,"No Exch Rate Data",IF($G864=0,"",$G864/VLOOKUP($H864,'FX Rates'!$A$1:$BQ$152,_xlfn.XMATCH($B864,'FX Rates'!$A$1:$BQ$1,-1,1),0))))</f>
        <v/>
      </c>
    </row>
    <row r="865" spans="2:10" x14ac:dyDescent="0.25">
      <c r="B865" s="87"/>
      <c r="I865" s="111" t="str">
        <f t="shared" si="15"/>
        <v/>
      </c>
      <c r="J865" s="89" t="str">
        <f>IF(ISBLANK($H865),"",IF(VLOOKUP($H865,'FX Rates'!$A$1:$BQ$152,_xlfn.XMATCH($B865,'FX Rates'!$A$1:$BQ$1,-1,1),0)=0,"No Exch Rate Data",IF($G865=0,"",$G865/VLOOKUP($H865,'FX Rates'!$A$1:$BQ$152,_xlfn.XMATCH($B865,'FX Rates'!$A$1:$BQ$1,-1,1),0))))</f>
        <v/>
      </c>
    </row>
    <row r="866" spans="2:10" x14ac:dyDescent="0.25">
      <c r="B866" s="87"/>
      <c r="I866" s="111" t="str">
        <f t="shared" si="15"/>
        <v/>
      </c>
      <c r="J866" s="89" t="str">
        <f>IF(ISBLANK($H866),"",IF(VLOOKUP($H866,'FX Rates'!$A$1:$BQ$152,_xlfn.XMATCH($B866,'FX Rates'!$A$1:$BQ$1,-1,1),0)=0,"No Exch Rate Data",IF($G866=0,"",$G866/VLOOKUP($H866,'FX Rates'!$A$1:$BQ$152,_xlfn.XMATCH($B866,'FX Rates'!$A$1:$BQ$1,-1,1),0))))</f>
        <v/>
      </c>
    </row>
    <row r="867" spans="2:10" x14ac:dyDescent="0.25">
      <c r="B867" s="87"/>
      <c r="I867" s="111" t="str">
        <f t="shared" si="15"/>
        <v/>
      </c>
      <c r="J867" s="89" t="str">
        <f>IF(ISBLANK($H867),"",IF(VLOOKUP($H867,'FX Rates'!$A$1:$BQ$152,_xlfn.XMATCH($B867,'FX Rates'!$A$1:$BQ$1,-1,1),0)=0,"No Exch Rate Data",IF($G867=0,"",$G867/VLOOKUP($H867,'FX Rates'!$A$1:$BQ$152,_xlfn.XMATCH($B867,'FX Rates'!$A$1:$BQ$1,-1,1),0))))</f>
        <v/>
      </c>
    </row>
    <row r="868" spans="2:10" x14ac:dyDescent="0.25">
      <c r="B868" s="87"/>
      <c r="I868" s="111" t="str">
        <f t="shared" si="15"/>
        <v/>
      </c>
      <c r="J868" s="89" t="str">
        <f>IF(ISBLANK($H868),"",IF(VLOOKUP($H868,'FX Rates'!$A$1:$BQ$152,_xlfn.XMATCH($B868,'FX Rates'!$A$1:$BQ$1,-1,1),0)=0,"No Exch Rate Data",IF($G868=0,"",$G868/VLOOKUP($H868,'FX Rates'!$A$1:$BQ$152,_xlfn.XMATCH($B868,'FX Rates'!$A$1:$BQ$1,-1,1),0))))</f>
        <v/>
      </c>
    </row>
    <row r="869" spans="2:10" x14ac:dyDescent="0.25">
      <c r="B869" s="87"/>
      <c r="I869" s="111" t="str">
        <f t="shared" si="15"/>
        <v/>
      </c>
      <c r="J869" s="89" t="str">
        <f>IF(ISBLANK($H869),"",IF(VLOOKUP($H869,'FX Rates'!$A$1:$BQ$152,_xlfn.XMATCH($B869,'FX Rates'!$A$1:$BQ$1,-1,1),0)=0,"No Exch Rate Data",IF($G869=0,"",$G869/VLOOKUP($H869,'FX Rates'!$A$1:$BQ$152,_xlfn.XMATCH($B869,'FX Rates'!$A$1:$BQ$1,-1,1),0))))</f>
        <v/>
      </c>
    </row>
    <row r="870" spans="2:10" x14ac:dyDescent="0.25">
      <c r="B870" s="87"/>
      <c r="I870" s="111" t="str">
        <f t="shared" si="15"/>
        <v/>
      </c>
      <c r="J870" s="89" t="str">
        <f>IF(ISBLANK($H870),"",IF(VLOOKUP($H870,'FX Rates'!$A$1:$BQ$152,_xlfn.XMATCH($B870,'FX Rates'!$A$1:$BQ$1,-1,1),0)=0,"No Exch Rate Data",IF($G870=0,"",$G870/VLOOKUP($H870,'FX Rates'!$A$1:$BQ$152,_xlfn.XMATCH($B870,'FX Rates'!$A$1:$BQ$1,-1,1),0))))</f>
        <v/>
      </c>
    </row>
    <row r="871" spans="2:10" x14ac:dyDescent="0.25">
      <c r="B871" s="87"/>
      <c r="I871" s="111" t="str">
        <f t="shared" si="15"/>
        <v/>
      </c>
      <c r="J871" s="89" t="str">
        <f>IF(ISBLANK($H871),"",IF(VLOOKUP($H871,'FX Rates'!$A$1:$BQ$152,_xlfn.XMATCH($B871,'FX Rates'!$A$1:$BQ$1,-1,1),0)=0,"No Exch Rate Data",IF($G871=0,"",$G871/VLOOKUP($H871,'FX Rates'!$A$1:$BQ$152,_xlfn.XMATCH($B871,'FX Rates'!$A$1:$BQ$1,-1,1),0))))</f>
        <v/>
      </c>
    </row>
    <row r="872" spans="2:10" x14ac:dyDescent="0.25">
      <c r="B872" s="87"/>
      <c r="I872" s="111" t="str">
        <f t="shared" si="15"/>
        <v/>
      </c>
      <c r="J872" s="89" t="str">
        <f>IF(ISBLANK($H872),"",IF(VLOOKUP($H872,'FX Rates'!$A$1:$BQ$152,_xlfn.XMATCH($B872,'FX Rates'!$A$1:$BQ$1,-1,1),0)=0,"No Exch Rate Data",IF($G872=0,"",$G872/VLOOKUP($H872,'FX Rates'!$A$1:$BQ$152,_xlfn.XMATCH($B872,'FX Rates'!$A$1:$BQ$1,-1,1),0))))</f>
        <v/>
      </c>
    </row>
    <row r="873" spans="2:10" x14ac:dyDescent="0.25">
      <c r="B873" s="87"/>
      <c r="I873" s="111" t="str">
        <f t="shared" si="15"/>
        <v/>
      </c>
      <c r="J873" s="89" t="str">
        <f>IF(ISBLANK($H873),"",IF(VLOOKUP($H873,'FX Rates'!$A$1:$BQ$152,_xlfn.XMATCH($B873,'FX Rates'!$A$1:$BQ$1,-1,1),0)=0,"No Exch Rate Data",IF($G873=0,"",$G873/VLOOKUP($H873,'FX Rates'!$A$1:$BQ$152,_xlfn.XMATCH($B873,'FX Rates'!$A$1:$BQ$1,-1,1),0))))</f>
        <v/>
      </c>
    </row>
    <row r="874" spans="2:10" x14ac:dyDescent="0.25">
      <c r="B874" s="87"/>
      <c r="I874" s="111" t="str">
        <f t="shared" ref="I874:I937" si="16">IF(ISBLANK($D874),"",_xlfn.XLOOKUP($D874,Item_List,Time_Span,"",0))</f>
        <v/>
      </c>
      <c r="J874" s="89" t="str">
        <f>IF(ISBLANK($H874),"",IF(VLOOKUP($H874,'FX Rates'!$A$1:$BQ$152,_xlfn.XMATCH($B874,'FX Rates'!$A$1:$BQ$1,-1,1),0)=0,"No Exch Rate Data",IF($G874=0,"",$G874/VLOOKUP($H874,'FX Rates'!$A$1:$BQ$152,_xlfn.XMATCH($B874,'FX Rates'!$A$1:$BQ$1,-1,1),0))))</f>
        <v/>
      </c>
    </row>
    <row r="875" spans="2:10" x14ac:dyDescent="0.25">
      <c r="B875" s="87"/>
      <c r="I875" s="111" t="str">
        <f t="shared" si="16"/>
        <v/>
      </c>
      <c r="J875" s="89" t="str">
        <f>IF(ISBLANK($H875),"",IF(VLOOKUP($H875,'FX Rates'!$A$1:$BQ$152,_xlfn.XMATCH($B875,'FX Rates'!$A$1:$BQ$1,-1,1),0)=0,"No Exch Rate Data",IF($G875=0,"",$G875/VLOOKUP($H875,'FX Rates'!$A$1:$BQ$152,_xlfn.XMATCH($B875,'FX Rates'!$A$1:$BQ$1,-1,1),0))))</f>
        <v/>
      </c>
    </row>
    <row r="876" spans="2:10" x14ac:dyDescent="0.25">
      <c r="B876" s="87"/>
      <c r="I876" s="111" t="str">
        <f t="shared" si="16"/>
        <v/>
      </c>
      <c r="J876" s="89" t="str">
        <f>IF(ISBLANK($H876),"",IF(VLOOKUP($H876,'FX Rates'!$A$1:$BQ$152,_xlfn.XMATCH($B876,'FX Rates'!$A$1:$BQ$1,-1,1),0)=0,"No Exch Rate Data",IF($G876=0,"",$G876/VLOOKUP($H876,'FX Rates'!$A$1:$BQ$152,_xlfn.XMATCH($B876,'FX Rates'!$A$1:$BQ$1,-1,1),0))))</f>
        <v/>
      </c>
    </row>
    <row r="877" spans="2:10" x14ac:dyDescent="0.25">
      <c r="B877" s="87"/>
      <c r="I877" s="111" t="str">
        <f t="shared" si="16"/>
        <v/>
      </c>
      <c r="J877" s="89" t="str">
        <f>IF(ISBLANK($H877),"",IF(VLOOKUP($H877,'FX Rates'!$A$1:$BQ$152,_xlfn.XMATCH($B877,'FX Rates'!$A$1:$BQ$1,-1,1),0)=0,"No Exch Rate Data",IF($G877=0,"",$G877/VLOOKUP($H877,'FX Rates'!$A$1:$BQ$152,_xlfn.XMATCH($B877,'FX Rates'!$A$1:$BQ$1,-1,1),0))))</f>
        <v/>
      </c>
    </row>
    <row r="878" spans="2:10" x14ac:dyDescent="0.25">
      <c r="B878" s="87"/>
      <c r="I878" s="111" t="str">
        <f t="shared" si="16"/>
        <v/>
      </c>
      <c r="J878" s="89" t="str">
        <f>IF(ISBLANK($H878),"",IF(VLOOKUP($H878,'FX Rates'!$A$1:$BQ$152,_xlfn.XMATCH($B878,'FX Rates'!$A$1:$BQ$1,-1,1),0)=0,"No Exch Rate Data",IF($G878=0,"",$G878/VLOOKUP($H878,'FX Rates'!$A$1:$BQ$152,_xlfn.XMATCH($B878,'FX Rates'!$A$1:$BQ$1,-1,1),0))))</f>
        <v/>
      </c>
    </row>
    <row r="879" spans="2:10" x14ac:dyDescent="0.25">
      <c r="B879" s="87"/>
      <c r="I879" s="111" t="str">
        <f t="shared" si="16"/>
        <v/>
      </c>
      <c r="J879" s="89" t="str">
        <f>IF(ISBLANK($H879),"",IF(VLOOKUP($H879,'FX Rates'!$A$1:$BQ$152,_xlfn.XMATCH($B879,'FX Rates'!$A$1:$BQ$1,-1,1),0)=0,"No Exch Rate Data",IF($G879=0,"",$G879/VLOOKUP($H879,'FX Rates'!$A$1:$BQ$152,_xlfn.XMATCH($B879,'FX Rates'!$A$1:$BQ$1,-1,1),0))))</f>
        <v/>
      </c>
    </row>
    <row r="880" spans="2:10" x14ac:dyDescent="0.25">
      <c r="B880" s="87"/>
      <c r="I880" s="111" t="str">
        <f t="shared" si="16"/>
        <v/>
      </c>
      <c r="J880" s="89" t="str">
        <f>IF(ISBLANK($H880),"",IF(VLOOKUP($H880,'FX Rates'!$A$1:$BQ$152,_xlfn.XMATCH($B880,'FX Rates'!$A$1:$BQ$1,-1,1),0)=0,"No Exch Rate Data",IF($G880=0,"",$G880/VLOOKUP($H880,'FX Rates'!$A$1:$BQ$152,_xlfn.XMATCH($B880,'FX Rates'!$A$1:$BQ$1,-1,1),0))))</f>
        <v/>
      </c>
    </row>
    <row r="881" spans="2:10" x14ac:dyDescent="0.25">
      <c r="B881" s="87"/>
      <c r="I881" s="111" t="str">
        <f t="shared" si="16"/>
        <v/>
      </c>
      <c r="J881" s="89" t="str">
        <f>IF(ISBLANK($H881),"",IF(VLOOKUP($H881,'FX Rates'!$A$1:$BQ$152,_xlfn.XMATCH($B881,'FX Rates'!$A$1:$BQ$1,-1,1),0)=0,"No Exch Rate Data",IF($G881=0,"",$G881/VLOOKUP($H881,'FX Rates'!$A$1:$BQ$152,_xlfn.XMATCH($B881,'FX Rates'!$A$1:$BQ$1,-1,1),0))))</f>
        <v/>
      </c>
    </row>
    <row r="882" spans="2:10" x14ac:dyDescent="0.25">
      <c r="B882" s="87"/>
      <c r="I882" s="111" t="str">
        <f t="shared" si="16"/>
        <v/>
      </c>
      <c r="J882" s="89" t="str">
        <f>IF(ISBLANK($H882),"",IF(VLOOKUP($H882,'FX Rates'!$A$1:$BQ$152,_xlfn.XMATCH($B882,'FX Rates'!$A$1:$BQ$1,-1,1),0)=0,"No Exch Rate Data",IF($G882=0,"",$G882/VLOOKUP($H882,'FX Rates'!$A$1:$BQ$152,_xlfn.XMATCH($B882,'FX Rates'!$A$1:$BQ$1,-1,1),0))))</f>
        <v/>
      </c>
    </row>
    <row r="883" spans="2:10" x14ac:dyDescent="0.25">
      <c r="B883" s="87"/>
      <c r="I883" s="111" t="str">
        <f t="shared" si="16"/>
        <v/>
      </c>
      <c r="J883" s="89" t="str">
        <f>IF(ISBLANK($H883),"",IF(VLOOKUP($H883,'FX Rates'!$A$1:$BQ$152,_xlfn.XMATCH($B883,'FX Rates'!$A$1:$BQ$1,-1,1),0)=0,"No Exch Rate Data",IF($G883=0,"",$G883/VLOOKUP($H883,'FX Rates'!$A$1:$BQ$152,_xlfn.XMATCH($B883,'FX Rates'!$A$1:$BQ$1,-1,1),0))))</f>
        <v/>
      </c>
    </row>
    <row r="884" spans="2:10" x14ac:dyDescent="0.25">
      <c r="B884" s="87"/>
      <c r="I884" s="111" t="str">
        <f t="shared" si="16"/>
        <v/>
      </c>
      <c r="J884" s="89" t="str">
        <f>IF(ISBLANK($H884),"",IF(VLOOKUP($H884,'FX Rates'!$A$1:$BQ$152,_xlfn.XMATCH($B884,'FX Rates'!$A$1:$BQ$1,-1,1),0)=0,"No Exch Rate Data",IF($G884=0,"",$G884/VLOOKUP($H884,'FX Rates'!$A$1:$BQ$152,_xlfn.XMATCH($B884,'FX Rates'!$A$1:$BQ$1,-1,1),0))))</f>
        <v/>
      </c>
    </row>
    <row r="885" spans="2:10" x14ac:dyDescent="0.25">
      <c r="B885" s="87"/>
      <c r="I885" s="111" t="str">
        <f t="shared" si="16"/>
        <v/>
      </c>
      <c r="J885" s="89" t="str">
        <f>IF(ISBLANK($H885),"",IF(VLOOKUP($H885,'FX Rates'!$A$1:$BQ$152,_xlfn.XMATCH($B885,'FX Rates'!$A$1:$BQ$1,-1,1),0)=0,"No Exch Rate Data",IF($G885=0,"",$G885/VLOOKUP($H885,'FX Rates'!$A$1:$BQ$152,_xlfn.XMATCH($B885,'FX Rates'!$A$1:$BQ$1,-1,1),0))))</f>
        <v/>
      </c>
    </row>
    <row r="886" spans="2:10" x14ac:dyDescent="0.25">
      <c r="B886" s="87"/>
      <c r="I886" s="111" t="str">
        <f t="shared" si="16"/>
        <v/>
      </c>
      <c r="J886" s="89" t="str">
        <f>IF(ISBLANK($H886),"",IF(VLOOKUP($H886,'FX Rates'!$A$1:$BQ$152,_xlfn.XMATCH($B886,'FX Rates'!$A$1:$BQ$1,-1,1),0)=0,"No Exch Rate Data",IF($G886=0,"",$G886/VLOOKUP($H886,'FX Rates'!$A$1:$BQ$152,_xlfn.XMATCH($B886,'FX Rates'!$A$1:$BQ$1,-1,1),0))))</f>
        <v/>
      </c>
    </row>
    <row r="887" spans="2:10" x14ac:dyDescent="0.25">
      <c r="B887" s="87"/>
      <c r="I887" s="111" t="str">
        <f t="shared" si="16"/>
        <v/>
      </c>
      <c r="J887" s="89" t="str">
        <f>IF(ISBLANK($H887),"",IF(VLOOKUP($H887,'FX Rates'!$A$1:$BQ$152,_xlfn.XMATCH($B887,'FX Rates'!$A$1:$BQ$1,-1,1),0)=0,"No Exch Rate Data",IF($G887=0,"",$G887/VLOOKUP($H887,'FX Rates'!$A$1:$BQ$152,_xlfn.XMATCH($B887,'FX Rates'!$A$1:$BQ$1,-1,1),0))))</f>
        <v/>
      </c>
    </row>
    <row r="888" spans="2:10" x14ac:dyDescent="0.25">
      <c r="B888" s="87"/>
      <c r="I888" s="111" t="str">
        <f t="shared" si="16"/>
        <v/>
      </c>
      <c r="J888" s="89" t="str">
        <f>IF(ISBLANK($H888),"",IF(VLOOKUP($H888,'FX Rates'!$A$1:$BQ$152,_xlfn.XMATCH($B888,'FX Rates'!$A$1:$BQ$1,-1,1),0)=0,"No Exch Rate Data",IF($G888=0,"",$G888/VLOOKUP($H888,'FX Rates'!$A$1:$BQ$152,_xlfn.XMATCH($B888,'FX Rates'!$A$1:$BQ$1,-1,1),0))))</f>
        <v/>
      </c>
    </row>
    <row r="889" spans="2:10" x14ac:dyDescent="0.25">
      <c r="B889" s="87"/>
      <c r="I889" s="111" t="str">
        <f t="shared" si="16"/>
        <v/>
      </c>
      <c r="J889" s="89" t="str">
        <f>IF(ISBLANK($H889),"",IF(VLOOKUP($H889,'FX Rates'!$A$1:$BQ$152,_xlfn.XMATCH($B889,'FX Rates'!$A$1:$BQ$1,-1,1),0)=0,"No Exch Rate Data",IF($G889=0,"",$G889/VLOOKUP($H889,'FX Rates'!$A$1:$BQ$152,_xlfn.XMATCH($B889,'FX Rates'!$A$1:$BQ$1,-1,1),0))))</f>
        <v/>
      </c>
    </row>
    <row r="890" spans="2:10" x14ac:dyDescent="0.25">
      <c r="B890" s="87"/>
      <c r="I890" s="111" t="str">
        <f t="shared" si="16"/>
        <v/>
      </c>
      <c r="J890" s="89" t="str">
        <f>IF(ISBLANK($H890),"",IF(VLOOKUP($H890,'FX Rates'!$A$1:$BQ$152,_xlfn.XMATCH($B890,'FX Rates'!$A$1:$BQ$1,-1,1),0)=0,"No Exch Rate Data",IF($G890=0,"",$G890/VLOOKUP($H890,'FX Rates'!$A$1:$BQ$152,_xlfn.XMATCH($B890,'FX Rates'!$A$1:$BQ$1,-1,1),0))))</f>
        <v/>
      </c>
    </row>
    <row r="891" spans="2:10" x14ac:dyDescent="0.25">
      <c r="B891" s="87"/>
      <c r="I891" s="111" t="str">
        <f t="shared" si="16"/>
        <v/>
      </c>
      <c r="J891" s="89" t="str">
        <f>IF(ISBLANK($H891),"",IF(VLOOKUP($H891,'FX Rates'!$A$1:$BQ$152,_xlfn.XMATCH($B891,'FX Rates'!$A$1:$BQ$1,-1,1),0)=0,"No Exch Rate Data",IF($G891=0,"",$G891/VLOOKUP($H891,'FX Rates'!$A$1:$BQ$152,_xlfn.XMATCH($B891,'FX Rates'!$A$1:$BQ$1,-1,1),0))))</f>
        <v/>
      </c>
    </row>
    <row r="892" spans="2:10" x14ac:dyDescent="0.25">
      <c r="B892" s="87"/>
      <c r="I892" s="111" t="str">
        <f t="shared" si="16"/>
        <v/>
      </c>
      <c r="J892" s="89" t="str">
        <f>IF(ISBLANK($H892),"",IF(VLOOKUP($H892,'FX Rates'!$A$1:$BQ$152,_xlfn.XMATCH($B892,'FX Rates'!$A$1:$BQ$1,-1,1),0)=0,"No Exch Rate Data",IF($G892=0,"",$G892/VLOOKUP($H892,'FX Rates'!$A$1:$BQ$152,_xlfn.XMATCH($B892,'FX Rates'!$A$1:$BQ$1,-1,1),0))))</f>
        <v/>
      </c>
    </row>
    <row r="893" spans="2:10" x14ac:dyDescent="0.25">
      <c r="B893" s="87"/>
      <c r="I893" s="111" t="str">
        <f t="shared" si="16"/>
        <v/>
      </c>
      <c r="J893" s="89" t="str">
        <f>IF(ISBLANK($H893),"",IF(VLOOKUP($H893,'FX Rates'!$A$1:$BQ$152,_xlfn.XMATCH($B893,'FX Rates'!$A$1:$BQ$1,-1,1),0)=0,"No Exch Rate Data",IF($G893=0,"",$G893/VLOOKUP($H893,'FX Rates'!$A$1:$BQ$152,_xlfn.XMATCH($B893,'FX Rates'!$A$1:$BQ$1,-1,1),0))))</f>
        <v/>
      </c>
    </row>
    <row r="894" spans="2:10" x14ac:dyDescent="0.25">
      <c r="B894" s="87"/>
      <c r="I894" s="111" t="str">
        <f t="shared" si="16"/>
        <v/>
      </c>
      <c r="J894" s="89" t="str">
        <f>IF(ISBLANK($H894),"",IF(VLOOKUP($H894,'FX Rates'!$A$1:$BQ$152,_xlfn.XMATCH($B894,'FX Rates'!$A$1:$BQ$1,-1,1),0)=0,"No Exch Rate Data",IF($G894=0,"",$G894/VLOOKUP($H894,'FX Rates'!$A$1:$BQ$152,_xlfn.XMATCH($B894,'FX Rates'!$A$1:$BQ$1,-1,1),0))))</f>
        <v/>
      </c>
    </row>
    <row r="895" spans="2:10" x14ac:dyDescent="0.25">
      <c r="B895" s="87"/>
      <c r="I895" s="111" t="str">
        <f t="shared" si="16"/>
        <v/>
      </c>
      <c r="J895" s="89" t="str">
        <f>IF(ISBLANK($H895),"",IF(VLOOKUP($H895,'FX Rates'!$A$1:$BQ$152,_xlfn.XMATCH($B895,'FX Rates'!$A$1:$BQ$1,-1,1),0)=0,"No Exch Rate Data",IF($G895=0,"",$G895/VLOOKUP($H895,'FX Rates'!$A$1:$BQ$152,_xlfn.XMATCH($B895,'FX Rates'!$A$1:$BQ$1,-1,1),0))))</f>
        <v/>
      </c>
    </row>
    <row r="896" spans="2:10" x14ac:dyDescent="0.25">
      <c r="B896" s="87"/>
      <c r="I896" s="111" t="str">
        <f t="shared" si="16"/>
        <v/>
      </c>
      <c r="J896" s="89" t="str">
        <f>IF(ISBLANK($H896),"",IF(VLOOKUP($H896,'FX Rates'!$A$1:$BQ$152,_xlfn.XMATCH($B896,'FX Rates'!$A$1:$BQ$1,-1,1),0)=0,"No Exch Rate Data",IF($G896=0,"",$G896/VLOOKUP($H896,'FX Rates'!$A$1:$BQ$152,_xlfn.XMATCH($B896,'FX Rates'!$A$1:$BQ$1,-1,1),0))))</f>
        <v/>
      </c>
    </row>
    <row r="897" spans="2:10" x14ac:dyDescent="0.25">
      <c r="B897" s="87"/>
      <c r="I897" s="111" t="str">
        <f t="shared" si="16"/>
        <v/>
      </c>
      <c r="J897" s="89" t="str">
        <f>IF(ISBLANK($H897),"",IF(VLOOKUP($H897,'FX Rates'!$A$1:$BQ$152,_xlfn.XMATCH($B897,'FX Rates'!$A$1:$BQ$1,-1,1),0)=0,"No Exch Rate Data",IF($G897=0,"",$G897/VLOOKUP($H897,'FX Rates'!$A$1:$BQ$152,_xlfn.XMATCH($B897,'FX Rates'!$A$1:$BQ$1,-1,1),0))))</f>
        <v/>
      </c>
    </row>
    <row r="898" spans="2:10" x14ac:dyDescent="0.25">
      <c r="B898" s="87"/>
      <c r="I898" s="111" t="str">
        <f t="shared" si="16"/>
        <v/>
      </c>
      <c r="J898" s="89" t="str">
        <f>IF(ISBLANK($H898),"",IF(VLOOKUP($H898,'FX Rates'!$A$1:$BQ$152,_xlfn.XMATCH($B898,'FX Rates'!$A$1:$BQ$1,-1,1),0)=0,"No Exch Rate Data",IF($G898=0,"",$G898/VLOOKUP($H898,'FX Rates'!$A$1:$BQ$152,_xlfn.XMATCH($B898,'FX Rates'!$A$1:$BQ$1,-1,1),0))))</f>
        <v/>
      </c>
    </row>
    <row r="899" spans="2:10" x14ac:dyDescent="0.25">
      <c r="B899" s="87"/>
      <c r="I899" s="111" t="str">
        <f t="shared" si="16"/>
        <v/>
      </c>
      <c r="J899" s="89" t="str">
        <f>IF(ISBLANK($H899),"",IF(VLOOKUP($H899,'FX Rates'!$A$1:$BQ$152,_xlfn.XMATCH($B899,'FX Rates'!$A$1:$BQ$1,-1,1),0)=0,"No Exch Rate Data",IF($G899=0,"",$G899/VLOOKUP($H899,'FX Rates'!$A$1:$BQ$152,_xlfn.XMATCH($B899,'FX Rates'!$A$1:$BQ$1,-1,1),0))))</f>
        <v/>
      </c>
    </row>
    <row r="900" spans="2:10" x14ac:dyDescent="0.25">
      <c r="B900" s="87"/>
      <c r="I900" s="111" t="str">
        <f t="shared" si="16"/>
        <v/>
      </c>
      <c r="J900" s="89" t="str">
        <f>IF(ISBLANK($H900),"",IF(VLOOKUP($H900,'FX Rates'!$A$1:$BQ$152,_xlfn.XMATCH($B900,'FX Rates'!$A$1:$BQ$1,-1,1),0)=0,"No Exch Rate Data",IF($G900=0,"",$G900/VLOOKUP($H900,'FX Rates'!$A$1:$BQ$152,_xlfn.XMATCH($B900,'FX Rates'!$A$1:$BQ$1,-1,1),0))))</f>
        <v/>
      </c>
    </row>
    <row r="901" spans="2:10" x14ac:dyDescent="0.25">
      <c r="B901" s="87"/>
      <c r="I901" s="111" t="str">
        <f t="shared" si="16"/>
        <v/>
      </c>
      <c r="J901" s="89" t="str">
        <f>IF(ISBLANK($H901),"",IF(VLOOKUP($H901,'FX Rates'!$A$1:$BQ$152,_xlfn.XMATCH($B901,'FX Rates'!$A$1:$BQ$1,-1,1),0)=0,"No Exch Rate Data",IF($G901=0,"",$G901/VLOOKUP($H901,'FX Rates'!$A$1:$BQ$152,_xlfn.XMATCH($B901,'FX Rates'!$A$1:$BQ$1,-1,1),0))))</f>
        <v/>
      </c>
    </row>
    <row r="902" spans="2:10" x14ac:dyDescent="0.25">
      <c r="B902" s="87"/>
      <c r="I902" s="111" t="str">
        <f t="shared" si="16"/>
        <v/>
      </c>
      <c r="J902" s="89" t="str">
        <f>IF(ISBLANK($H902),"",IF(VLOOKUP($H902,'FX Rates'!$A$1:$BQ$152,_xlfn.XMATCH($B902,'FX Rates'!$A$1:$BQ$1,-1,1),0)=0,"No Exch Rate Data",IF($G902=0,"",$G902/VLOOKUP($H902,'FX Rates'!$A$1:$BQ$152,_xlfn.XMATCH($B902,'FX Rates'!$A$1:$BQ$1,-1,1),0))))</f>
        <v/>
      </c>
    </row>
    <row r="903" spans="2:10" x14ac:dyDescent="0.25">
      <c r="B903" s="87"/>
      <c r="I903" s="111" t="str">
        <f t="shared" si="16"/>
        <v/>
      </c>
      <c r="J903" s="89" t="str">
        <f>IF(ISBLANK($H903),"",IF(VLOOKUP($H903,'FX Rates'!$A$1:$BQ$152,_xlfn.XMATCH($B903,'FX Rates'!$A$1:$BQ$1,-1,1),0)=0,"No Exch Rate Data",IF($G903=0,"",$G903/VLOOKUP($H903,'FX Rates'!$A$1:$BQ$152,_xlfn.XMATCH($B903,'FX Rates'!$A$1:$BQ$1,-1,1),0))))</f>
        <v/>
      </c>
    </row>
    <row r="904" spans="2:10" x14ac:dyDescent="0.25">
      <c r="B904" s="87"/>
      <c r="I904" s="111" t="str">
        <f t="shared" si="16"/>
        <v/>
      </c>
      <c r="J904" s="89" t="str">
        <f>IF(ISBLANK($H904),"",IF(VLOOKUP($H904,'FX Rates'!$A$1:$BQ$152,_xlfn.XMATCH($B904,'FX Rates'!$A$1:$BQ$1,-1,1),0)=0,"No Exch Rate Data",IF($G904=0,"",$G904/VLOOKUP($H904,'FX Rates'!$A$1:$BQ$152,_xlfn.XMATCH($B904,'FX Rates'!$A$1:$BQ$1,-1,1),0))))</f>
        <v/>
      </c>
    </row>
    <row r="905" spans="2:10" x14ac:dyDescent="0.25">
      <c r="B905" s="87"/>
      <c r="I905" s="111" t="str">
        <f t="shared" si="16"/>
        <v/>
      </c>
      <c r="J905" s="89" t="str">
        <f>IF(ISBLANK($H905),"",IF(VLOOKUP($H905,'FX Rates'!$A$1:$BQ$152,_xlfn.XMATCH($B905,'FX Rates'!$A$1:$BQ$1,-1,1),0)=0,"No Exch Rate Data",IF($G905=0,"",$G905/VLOOKUP($H905,'FX Rates'!$A$1:$BQ$152,_xlfn.XMATCH($B905,'FX Rates'!$A$1:$BQ$1,-1,1),0))))</f>
        <v/>
      </c>
    </row>
    <row r="906" spans="2:10" x14ac:dyDescent="0.25">
      <c r="B906" s="87"/>
      <c r="I906" s="111" t="str">
        <f t="shared" si="16"/>
        <v/>
      </c>
      <c r="J906" s="89" t="str">
        <f>IF(ISBLANK($H906),"",IF(VLOOKUP($H906,'FX Rates'!$A$1:$BQ$152,_xlfn.XMATCH($B906,'FX Rates'!$A$1:$BQ$1,-1,1),0)=0,"No Exch Rate Data",IF($G906=0,"",$G906/VLOOKUP($H906,'FX Rates'!$A$1:$BQ$152,_xlfn.XMATCH($B906,'FX Rates'!$A$1:$BQ$1,-1,1),0))))</f>
        <v/>
      </c>
    </row>
    <row r="907" spans="2:10" x14ac:dyDescent="0.25">
      <c r="B907" s="87"/>
      <c r="I907" s="111" t="str">
        <f t="shared" si="16"/>
        <v/>
      </c>
      <c r="J907" s="89" t="str">
        <f>IF(ISBLANK($H907),"",IF(VLOOKUP($H907,'FX Rates'!$A$1:$BQ$152,_xlfn.XMATCH($B907,'FX Rates'!$A$1:$BQ$1,-1,1),0)=0,"No Exch Rate Data",IF($G907=0,"",$G907/VLOOKUP($H907,'FX Rates'!$A$1:$BQ$152,_xlfn.XMATCH($B907,'FX Rates'!$A$1:$BQ$1,-1,1),0))))</f>
        <v/>
      </c>
    </row>
    <row r="908" spans="2:10" x14ac:dyDescent="0.25">
      <c r="B908" s="87"/>
      <c r="I908" s="111" t="str">
        <f t="shared" si="16"/>
        <v/>
      </c>
      <c r="J908" s="89" t="str">
        <f>IF(ISBLANK($H908),"",IF(VLOOKUP($H908,'FX Rates'!$A$1:$BQ$152,_xlfn.XMATCH($B908,'FX Rates'!$A$1:$BQ$1,-1,1),0)=0,"No Exch Rate Data",IF($G908=0,"",$G908/VLOOKUP($H908,'FX Rates'!$A$1:$BQ$152,_xlfn.XMATCH($B908,'FX Rates'!$A$1:$BQ$1,-1,1),0))))</f>
        <v/>
      </c>
    </row>
    <row r="909" spans="2:10" x14ac:dyDescent="0.25">
      <c r="B909" s="87"/>
      <c r="I909" s="111" t="str">
        <f t="shared" si="16"/>
        <v/>
      </c>
      <c r="J909" s="89" t="str">
        <f>IF(ISBLANK($H909),"",IF(VLOOKUP($H909,'FX Rates'!$A$1:$BQ$152,_xlfn.XMATCH($B909,'FX Rates'!$A$1:$BQ$1,-1,1),0)=0,"No Exch Rate Data",IF($G909=0,"",$G909/VLOOKUP($H909,'FX Rates'!$A$1:$BQ$152,_xlfn.XMATCH($B909,'FX Rates'!$A$1:$BQ$1,-1,1),0))))</f>
        <v/>
      </c>
    </row>
    <row r="910" spans="2:10" x14ac:dyDescent="0.25">
      <c r="B910" s="87"/>
      <c r="I910" s="111" t="str">
        <f t="shared" si="16"/>
        <v/>
      </c>
      <c r="J910" s="89" t="str">
        <f>IF(ISBLANK($H910),"",IF(VLOOKUP($H910,'FX Rates'!$A$1:$BQ$152,_xlfn.XMATCH($B910,'FX Rates'!$A$1:$BQ$1,-1,1),0)=0,"No Exch Rate Data",IF($G910=0,"",$G910/VLOOKUP($H910,'FX Rates'!$A$1:$BQ$152,_xlfn.XMATCH($B910,'FX Rates'!$A$1:$BQ$1,-1,1),0))))</f>
        <v/>
      </c>
    </row>
    <row r="911" spans="2:10" x14ac:dyDescent="0.25">
      <c r="B911" s="87"/>
      <c r="I911" s="111" t="str">
        <f t="shared" si="16"/>
        <v/>
      </c>
      <c r="J911" s="89" t="str">
        <f>IF(ISBLANK($H911),"",IF(VLOOKUP($H911,'FX Rates'!$A$1:$BQ$152,_xlfn.XMATCH($B911,'FX Rates'!$A$1:$BQ$1,-1,1),0)=0,"No Exch Rate Data",IF($G911=0,"",$G911/VLOOKUP($H911,'FX Rates'!$A$1:$BQ$152,_xlfn.XMATCH($B911,'FX Rates'!$A$1:$BQ$1,-1,1),0))))</f>
        <v/>
      </c>
    </row>
    <row r="912" spans="2:10" x14ac:dyDescent="0.25">
      <c r="B912" s="87"/>
      <c r="I912" s="111" t="str">
        <f t="shared" si="16"/>
        <v/>
      </c>
      <c r="J912" s="89" t="str">
        <f>IF(ISBLANK($H912),"",IF(VLOOKUP($H912,'FX Rates'!$A$1:$BQ$152,_xlfn.XMATCH($B912,'FX Rates'!$A$1:$BQ$1,-1,1),0)=0,"No Exch Rate Data",IF($G912=0,"",$G912/VLOOKUP($H912,'FX Rates'!$A$1:$BQ$152,_xlfn.XMATCH($B912,'FX Rates'!$A$1:$BQ$1,-1,1),0))))</f>
        <v/>
      </c>
    </row>
    <row r="913" spans="2:10" x14ac:dyDescent="0.25">
      <c r="B913" s="87"/>
      <c r="I913" s="111" t="str">
        <f t="shared" si="16"/>
        <v/>
      </c>
      <c r="J913" s="89" t="str">
        <f>IF(ISBLANK($H913),"",IF(VLOOKUP($H913,'FX Rates'!$A$1:$BQ$152,_xlfn.XMATCH($B913,'FX Rates'!$A$1:$BQ$1,-1,1),0)=0,"No Exch Rate Data",IF($G913=0,"",$G913/VLOOKUP($H913,'FX Rates'!$A$1:$BQ$152,_xlfn.XMATCH($B913,'FX Rates'!$A$1:$BQ$1,-1,1),0))))</f>
        <v/>
      </c>
    </row>
    <row r="914" spans="2:10" x14ac:dyDescent="0.25">
      <c r="B914" s="87"/>
      <c r="I914" s="111" t="str">
        <f t="shared" si="16"/>
        <v/>
      </c>
      <c r="J914" s="89" t="str">
        <f>IF(ISBLANK($H914),"",IF(VLOOKUP($H914,'FX Rates'!$A$1:$BQ$152,_xlfn.XMATCH($B914,'FX Rates'!$A$1:$BQ$1,-1,1),0)=0,"No Exch Rate Data",IF($G914=0,"",$G914/VLOOKUP($H914,'FX Rates'!$A$1:$BQ$152,_xlfn.XMATCH($B914,'FX Rates'!$A$1:$BQ$1,-1,1),0))))</f>
        <v/>
      </c>
    </row>
    <row r="915" spans="2:10" x14ac:dyDescent="0.25">
      <c r="B915" s="87"/>
      <c r="I915" s="111" t="str">
        <f t="shared" si="16"/>
        <v/>
      </c>
      <c r="J915" s="89" t="str">
        <f>IF(ISBLANK($H915),"",IF(VLOOKUP($H915,'FX Rates'!$A$1:$BQ$152,_xlfn.XMATCH($B915,'FX Rates'!$A$1:$BQ$1,-1,1),0)=0,"No Exch Rate Data",IF($G915=0,"",$G915/VLOOKUP($H915,'FX Rates'!$A$1:$BQ$152,_xlfn.XMATCH($B915,'FX Rates'!$A$1:$BQ$1,-1,1),0))))</f>
        <v/>
      </c>
    </row>
    <row r="916" spans="2:10" x14ac:dyDescent="0.25">
      <c r="B916" s="87"/>
      <c r="I916" s="111" t="str">
        <f t="shared" si="16"/>
        <v/>
      </c>
      <c r="J916" s="89" t="str">
        <f>IF(ISBLANK($H916),"",IF(VLOOKUP($H916,'FX Rates'!$A$1:$BQ$152,_xlfn.XMATCH($B916,'FX Rates'!$A$1:$BQ$1,-1,1),0)=0,"No Exch Rate Data",IF($G916=0,"",$G916/VLOOKUP($H916,'FX Rates'!$A$1:$BQ$152,_xlfn.XMATCH($B916,'FX Rates'!$A$1:$BQ$1,-1,1),0))))</f>
        <v/>
      </c>
    </row>
    <row r="917" spans="2:10" x14ac:dyDescent="0.25">
      <c r="B917" s="87"/>
      <c r="I917" s="111" t="str">
        <f t="shared" si="16"/>
        <v/>
      </c>
      <c r="J917" s="89" t="str">
        <f>IF(ISBLANK($H917),"",IF(VLOOKUP($H917,'FX Rates'!$A$1:$BQ$152,_xlfn.XMATCH($B917,'FX Rates'!$A$1:$BQ$1,-1,1),0)=0,"No Exch Rate Data",IF($G917=0,"",$G917/VLOOKUP($H917,'FX Rates'!$A$1:$BQ$152,_xlfn.XMATCH($B917,'FX Rates'!$A$1:$BQ$1,-1,1),0))))</f>
        <v/>
      </c>
    </row>
    <row r="918" spans="2:10" x14ac:dyDescent="0.25">
      <c r="B918" s="87"/>
      <c r="I918" s="111" t="str">
        <f t="shared" si="16"/>
        <v/>
      </c>
      <c r="J918" s="89" t="str">
        <f>IF(ISBLANK($H918),"",IF(VLOOKUP($H918,'FX Rates'!$A$1:$BQ$152,_xlfn.XMATCH($B918,'FX Rates'!$A$1:$BQ$1,-1,1),0)=0,"No Exch Rate Data",IF($G918=0,"",$G918/VLOOKUP($H918,'FX Rates'!$A$1:$BQ$152,_xlfn.XMATCH($B918,'FX Rates'!$A$1:$BQ$1,-1,1),0))))</f>
        <v/>
      </c>
    </row>
    <row r="919" spans="2:10" x14ac:dyDescent="0.25">
      <c r="B919" s="87"/>
      <c r="I919" s="111" t="str">
        <f t="shared" si="16"/>
        <v/>
      </c>
      <c r="J919" s="89" t="str">
        <f>IF(ISBLANK($H919),"",IF(VLOOKUP($H919,'FX Rates'!$A$1:$BQ$152,_xlfn.XMATCH($B919,'FX Rates'!$A$1:$BQ$1,-1,1),0)=0,"No Exch Rate Data",IF($G919=0,"",$G919/VLOOKUP($H919,'FX Rates'!$A$1:$BQ$152,_xlfn.XMATCH($B919,'FX Rates'!$A$1:$BQ$1,-1,1),0))))</f>
        <v/>
      </c>
    </row>
    <row r="920" spans="2:10" x14ac:dyDescent="0.25">
      <c r="B920" s="87"/>
      <c r="I920" s="111" t="str">
        <f t="shared" si="16"/>
        <v/>
      </c>
      <c r="J920" s="89" t="str">
        <f>IF(ISBLANK($H920),"",IF(VLOOKUP($H920,'FX Rates'!$A$1:$BQ$152,_xlfn.XMATCH($B920,'FX Rates'!$A$1:$BQ$1,-1,1),0)=0,"No Exch Rate Data",IF($G920=0,"",$G920/VLOOKUP($H920,'FX Rates'!$A$1:$BQ$152,_xlfn.XMATCH($B920,'FX Rates'!$A$1:$BQ$1,-1,1),0))))</f>
        <v/>
      </c>
    </row>
    <row r="921" spans="2:10" x14ac:dyDescent="0.25">
      <c r="B921" s="87"/>
      <c r="I921" s="111" t="str">
        <f t="shared" si="16"/>
        <v/>
      </c>
      <c r="J921" s="89" t="str">
        <f>IF(ISBLANK($H921),"",IF(VLOOKUP($H921,'FX Rates'!$A$1:$BQ$152,_xlfn.XMATCH($B921,'FX Rates'!$A$1:$BQ$1,-1,1),0)=0,"No Exch Rate Data",IF($G921=0,"",$G921/VLOOKUP($H921,'FX Rates'!$A$1:$BQ$152,_xlfn.XMATCH($B921,'FX Rates'!$A$1:$BQ$1,-1,1),0))))</f>
        <v/>
      </c>
    </row>
    <row r="922" spans="2:10" x14ac:dyDescent="0.25">
      <c r="B922" s="87"/>
      <c r="I922" s="111" t="str">
        <f t="shared" si="16"/>
        <v/>
      </c>
      <c r="J922" s="89" t="str">
        <f>IF(ISBLANK($H922),"",IF(VLOOKUP($H922,'FX Rates'!$A$1:$BQ$152,_xlfn.XMATCH($B922,'FX Rates'!$A$1:$BQ$1,-1,1),0)=0,"No Exch Rate Data",IF($G922=0,"",$G922/VLOOKUP($H922,'FX Rates'!$A$1:$BQ$152,_xlfn.XMATCH($B922,'FX Rates'!$A$1:$BQ$1,-1,1),0))))</f>
        <v/>
      </c>
    </row>
    <row r="923" spans="2:10" x14ac:dyDescent="0.25">
      <c r="B923" s="87"/>
      <c r="I923" s="111" t="str">
        <f t="shared" si="16"/>
        <v/>
      </c>
      <c r="J923" s="89" t="str">
        <f>IF(ISBLANK($H923),"",IF(VLOOKUP($H923,'FX Rates'!$A$1:$BQ$152,_xlfn.XMATCH($B923,'FX Rates'!$A$1:$BQ$1,-1,1),0)=0,"No Exch Rate Data",IF($G923=0,"",$G923/VLOOKUP($H923,'FX Rates'!$A$1:$BQ$152,_xlfn.XMATCH($B923,'FX Rates'!$A$1:$BQ$1,-1,1),0))))</f>
        <v/>
      </c>
    </row>
    <row r="924" spans="2:10" x14ac:dyDescent="0.25">
      <c r="B924" s="87"/>
      <c r="I924" s="111" t="str">
        <f t="shared" si="16"/>
        <v/>
      </c>
      <c r="J924" s="89" t="str">
        <f>IF(ISBLANK($H924),"",IF(VLOOKUP($H924,'FX Rates'!$A$1:$BQ$152,_xlfn.XMATCH($B924,'FX Rates'!$A$1:$BQ$1,-1,1),0)=0,"No Exch Rate Data",IF($G924=0,"",$G924/VLOOKUP($H924,'FX Rates'!$A$1:$BQ$152,_xlfn.XMATCH($B924,'FX Rates'!$A$1:$BQ$1,-1,1),0))))</f>
        <v/>
      </c>
    </row>
    <row r="925" spans="2:10" x14ac:dyDescent="0.25">
      <c r="B925" s="87"/>
      <c r="I925" s="111" t="str">
        <f t="shared" si="16"/>
        <v/>
      </c>
      <c r="J925" s="89" t="str">
        <f>IF(ISBLANK($H925),"",IF(VLOOKUP($H925,'FX Rates'!$A$1:$BQ$152,_xlfn.XMATCH($B925,'FX Rates'!$A$1:$BQ$1,-1,1),0)=0,"No Exch Rate Data",IF($G925=0,"",$G925/VLOOKUP($H925,'FX Rates'!$A$1:$BQ$152,_xlfn.XMATCH($B925,'FX Rates'!$A$1:$BQ$1,-1,1),0))))</f>
        <v/>
      </c>
    </row>
    <row r="926" spans="2:10" x14ac:dyDescent="0.25">
      <c r="B926" s="87"/>
      <c r="I926" s="111" t="str">
        <f t="shared" si="16"/>
        <v/>
      </c>
      <c r="J926" s="89" t="str">
        <f>IF(ISBLANK($H926),"",IF(VLOOKUP($H926,'FX Rates'!$A$1:$BQ$152,_xlfn.XMATCH($B926,'FX Rates'!$A$1:$BQ$1,-1,1),0)=0,"No Exch Rate Data",IF($G926=0,"",$G926/VLOOKUP($H926,'FX Rates'!$A$1:$BQ$152,_xlfn.XMATCH($B926,'FX Rates'!$A$1:$BQ$1,-1,1),0))))</f>
        <v/>
      </c>
    </row>
    <row r="927" spans="2:10" x14ac:dyDescent="0.25">
      <c r="B927" s="87"/>
      <c r="I927" s="111" t="str">
        <f t="shared" si="16"/>
        <v/>
      </c>
      <c r="J927" s="89" t="str">
        <f>IF(ISBLANK($H927),"",IF(VLOOKUP($H927,'FX Rates'!$A$1:$BQ$152,_xlfn.XMATCH($B927,'FX Rates'!$A$1:$BQ$1,-1,1),0)=0,"No Exch Rate Data",IF($G927=0,"",$G927/VLOOKUP($H927,'FX Rates'!$A$1:$BQ$152,_xlfn.XMATCH($B927,'FX Rates'!$A$1:$BQ$1,-1,1),0))))</f>
        <v/>
      </c>
    </row>
    <row r="928" spans="2:10" x14ac:dyDescent="0.25">
      <c r="B928" s="87"/>
      <c r="I928" s="111" t="str">
        <f t="shared" si="16"/>
        <v/>
      </c>
      <c r="J928" s="89" t="str">
        <f>IF(ISBLANK($H928),"",IF(VLOOKUP($H928,'FX Rates'!$A$1:$BQ$152,_xlfn.XMATCH($B928,'FX Rates'!$A$1:$BQ$1,-1,1),0)=0,"No Exch Rate Data",IF($G928=0,"",$G928/VLOOKUP($H928,'FX Rates'!$A$1:$BQ$152,_xlfn.XMATCH($B928,'FX Rates'!$A$1:$BQ$1,-1,1),0))))</f>
        <v/>
      </c>
    </row>
    <row r="929" spans="2:10" x14ac:dyDescent="0.25">
      <c r="B929" s="87"/>
      <c r="I929" s="111" t="str">
        <f t="shared" si="16"/>
        <v/>
      </c>
      <c r="J929" s="89" t="str">
        <f>IF(ISBLANK($H929),"",IF(VLOOKUP($H929,'FX Rates'!$A$1:$BQ$152,_xlfn.XMATCH($B929,'FX Rates'!$A$1:$BQ$1,-1,1),0)=0,"No Exch Rate Data",IF($G929=0,"",$G929/VLOOKUP($H929,'FX Rates'!$A$1:$BQ$152,_xlfn.XMATCH($B929,'FX Rates'!$A$1:$BQ$1,-1,1),0))))</f>
        <v/>
      </c>
    </row>
    <row r="930" spans="2:10" x14ac:dyDescent="0.25">
      <c r="B930" s="87"/>
      <c r="I930" s="111" t="str">
        <f t="shared" si="16"/>
        <v/>
      </c>
      <c r="J930" s="89" t="str">
        <f>IF(ISBLANK($H930),"",IF(VLOOKUP($H930,'FX Rates'!$A$1:$BQ$152,_xlfn.XMATCH($B930,'FX Rates'!$A$1:$BQ$1,-1,1),0)=0,"No Exch Rate Data",IF($G930=0,"",$G930/VLOOKUP($H930,'FX Rates'!$A$1:$BQ$152,_xlfn.XMATCH($B930,'FX Rates'!$A$1:$BQ$1,-1,1),0))))</f>
        <v/>
      </c>
    </row>
    <row r="931" spans="2:10" x14ac:dyDescent="0.25">
      <c r="B931" s="87"/>
      <c r="I931" s="111" t="str">
        <f t="shared" si="16"/>
        <v/>
      </c>
      <c r="J931" s="89" t="str">
        <f>IF(ISBLANK($H931),"",IF(VLOOKUP($H931,'FX Rates'!$A$1:$BQ$152,_xlfn.XMATCH($B931,'FX Rates'!$A$1:$BQ$1,-1,1),0)=0,"No Exch Rate Data",IF($G931=0,"",$G931/VLOOKUP($H931,'FX Rates'!$A$1:$BQ$152,_xlfn.XMATCH($B931,'FX Rates'!$A$1:$BQ$1,-1,1),0))))</f>
        <v/>
      </c>
    </row>
    <row r="932" spans="2:10" x14ac:dyDescent="0.25">
      <c r="B932" s="87"/>
      <c r="I932" s="111" t="str">
        <f t="shared" si="16"/>
        <v/>
      </c>
      <c r="J932" s="89" t="str">
        <f>IF(ISBLANK($H932),"",IF(VLOOKUP($H932,'FX Rates'!$A$1:$BQ$152,_xlfn.XMATCH($B932,'FX Rates'!$A$1:$BQ$1,-1,1),0)=0,"No Exch Rate Data",IF($G932=0,"",$G932/VLOOKUP($H932,'FX Rates'!$A$1:$BQ$152,_xlfn.XMATCH($B932,'FX Rates'!$A$1:$BQ$1,-1,1),0))))</f>
        <v/>
      </c>
    </row>
    <row r="933" spans="2:10" x14ac:dyDescent="0.25">
      <c r="B933" s="87"/>
      <c r="I933" s="111" t="str">
        <f t="shared" si="16"/>
        <v/>
      </c>
      <c r="J933" s="89" t="str">
        <f>IF(ISBLANK($H933),"",IF(VLOOKUP($H933,'FX Rates'!$A$1:$BQ$152,_xlfn.XMATCH($B933,'FX Rates'!$A$1:$BQ$1,-1,1),0)=0,"No Exch Rate Data",IF($G933=0,"",$G933/VLOOKUP($H933,'FX Rates'!$A$1:$BQ$152,_xlfn.XMATCH($B933,'FX Rates'!$A$1:$BQ$1,-1,1),0))))</f>
        <v/>
      </c>
    </row>
    <row r="934" spans="2:10" x14ac:dyDescent="0.25">
      <c r="B934" s="87"/>
      <c r="I934" s="111" t="str">
        <f t="shared" si="16"/>
        <v/>
      </c>
      <c r="J934" s="89" t="str">
        <f>IF(ISBLANK($H934),"",IF(VLOOKUP($H934,'FX Rates'!$A$1:$BQ$152,_xlfn.XMATCH($B934,'FX Rates'!$A$1:$BQ$1,-1,1),0)=0,"No Exch Rate Data",IF($G934=0,"",$G934/VLOOKUP($H934,'FX Rates'!$A$1:$BQ$152,_xlfn.XMATCH($B934,'FX Rates'!$A$1:$BQ$1,-1,1),0))))</f>
        <v/>
      </c>
    </row>
    <row r="935" spans="2:10" x14ac:dyDescent="0.25">
      <c r="B935" s="87"/>
      <c r="I935" s="111" t="str">
        <f t="shared" si="16"/>
        <v/>
      </c>
      <c r="J935" s="89" t="str">
        <f>IF(ISBLANK($H935),"",IF(VLOOKUP($H935,'FX Rates'!$A$1:$BQ$152,_xlfn.XMATCH($B935,'FX Rates'!$A$1:$BQ$1,-1,1),0)=0,"No Exch Rate Data",IF($G935=0,"",$G935/VLOOKUP($H935,'FX Rates'!$A$1:$BQ$152,_xlfn.XMATCH($B935,'FX Rates'!$A$1:$BQ$1,-1,1),0))))</f>
        <v/>
      </c>
    </row>
    <row r="936" spans="2:10" x14ac:dyDescent="0.25">
      <c r="B936" s="87"/>
      <c r="I936" s="111" t="str">
        <f t="shared" si="16"/>
        <v/>
      </c>
      <c r="J936" s="89" t="str">
        <f>IF(ISBLANK($H936),"",IF(VLOOKUP($H936,'FX Rates'!$A$1:$BQ$152,_xlfn.XMATCH($B936,'FX Rates'!$A$1:$BQ$1,-1,1),0)=0,"No Exch Rate Data",IF($G936=0,"",$G936/VLOOKUP($H936,'FX Rates'!$A$1:$BQ$152,_xlfn.XMATCH($B936,'FX Rates'!$A$1:$BQ$1,-1,1),0))))</f>
        <v/>
      </c>
    </row>
    <row r="937" spans="2:10" x14ac:dyDescent="0.25">
      <c r="B937" s="87"/>
      <c r="I937" s="111" t="str">
        <f t="shared" si="16"/>
        <v/>
      </c>
      <c r="J937" s="89" t="str">
        <f>IF(ISBLANK($H937),"",IF(VLOOKUP($H937,'FX Rates'!$A$1:$BQ$152,_xlfn.XMATCH($B937,'FX Rates'!$A$1:$BQ$1,-1,1),0)=0,"No Exch Rate Data",IF($G937=0,"",$G937/VLOOKUP($H937,'FX Rates'!$A$1:$BQ$152,_xlfn.XMATCH($B937,'FX Rates'!$A$1:$BQ$1,-1,1),0))))</f>
        <v/>
      </c>
    </row>
    <row r="938" spans="2:10" x14ac:dyDescent="0.25">
      <c r="B938" s="87"/>
      <c r="I938" s="111" t="str">
        <f t="shared" ref="I938:I1000" si="17">IF(ISBLANK($D938),"",_xlfn.XLOOKUP($D938,Item_List,Time_Span,"",0))</f>
        <v/>
      </c>
      <c r="J938" s="89" t="str">
        <f>IF(ISBLANK($H938),"",IF(VLOOKUP($H938,'FX Rates'!$A$1:$BQ$152,_xlfn.XMATCH($B938,'FX Rates'!$A$1:$BQ$1,-1,1),0)=0,"No Exch Rate Data",IF($G938=0,"",$G938/VLOOKUP($H938,'FX Rates'!$A$1:$BQ$152,_xlfn.XMATCH($B938,'FX Rates'!$A$1:$BQ$1,-1,1),0))))</f>
        <v/>
      </c>
    </row>
    <row r="939" spans="2:10" x14ac:dyDescent="0.25">
      <c r="B939" s="87"/>
      <c r="I939" s="111" t="str">
        <f t="shared" si="17"/>
        <v/>
      </c>
      <c r="J939" s="89" t="str">
        <f>IF(ISBLANK($H939),"",IF(VLOOKUP($H939,'FX Rates'!$A$1:$BQ$152,_xlfn.XMATCH($B939,'FX Rates'!$A$1:$BQ$1,-1,1),0)=0,"No Exch Rate Data",IF($G939=0,"",$G939/VLOOKUP($H939,'FX Rates'!$A$1:$BQ$152,_xlfn.XMATCH($B939,'FX Rates'!$A$1:$BQ$1,-1,1),0))))</f>
        <v/>
      </c>
    </row>
    <row r="940" spans="2:10" x14ac:dyDescent="0.25">
      <c r="B940" s="87"/>
      <c r="I940" s="111" t="str">
        <f t="shared" si="17"/>
        <v/>
      </c>
      <c r="J940" s="89" t="str">
        <f>IF(ISBLANK($H940),"",IF(VLOOKUP($H940,'FX Rates'!$A$1:$BQ$152,_xlfn.XMATCH($B940,'FX Rates'!$A$1:$BQ$1,-1,1),0)=0,"No Exch Rate Data",IF($G940=0,"",$G940/VLOOKUP($H940,'FX Rates'!$A$1:$BQ$152,_xlfn.XMATCH($B940,'FX Rates'!$A$1:$BQ$1,-1,1),0))))</f>
        <v/>
      </c>
    </row>
    <row r="941" spans="2:10" x14ac:dyDescent="0.25">
      <c r="B941" s="87"/>
      <c r="I941" s="111" t="str">
        <f t="shared" si="17"/>
        <v/>
      </c>
      <c r="J941" s="89" t="str">
        <f>IF(ISBLANK($H941),"",IF(VLOOKUP($H941,'FX Rates'!$A$1:$BQ$152,_xlfn.XMATCH($B941,'FX Rates'!$A$1:$BQ$1,-1,1),0)=0,"No Exch Rate Data",IF($G941=0,"",$G941/VLOOKUP($H941,'FX Rates'!$A$1:$BQ$152,_xlfn.XMATCH($B941,'FX Rates'!$A$1:$BQ$1,-1,1),0))))</f>
        <v/>
      </c>
    </row>
    <row r="942" spans="2:10" x14ac:dyDescent="0.25">
      <c r="B942" s="87"/>
      <c r="I942" s="111" t="str">
        <f t="shared" si="17"/>
        <v/>
      </c>
      <c r="J942" s="89" t="str">
        <f>IF(ISBLANK($H942),"",IF(VLOOKUP($H942,'FX Rates'!$A$1:$BQ$152,_xlfn.XMATCH($B942,'FX Rates'!$A$1:$BQ$1,-1,1),0)=0,"No Exch Rate Data",IF($G942=0,"",$G942/VLOOKUP($H942,'FX Rates'!$A$1:$BQ$152,_xlfn.XMATCH($B942,'FX Rates'!$A$1:$BQ$1,-1,1),0))))</f>
        <v/>
      </c>
    </row>
    <row r="943" spans="2:10" x14ac:dyDescent="0.25">
      <c r="B943" s="87"/>
      <c r="I943" s="111" t="str">
        <f t="shared" si="17"/>
        <v/>
      </c>
      <c r="J943" s="89" t="str">
        <f>IF(ISBLANK($H943),"",IF(VLOOKUP($H943,'FX Rates'!$A$1:$BQ$152,_xlfn.XMATCH($B943,'FX Rates'!$A$1:$BQ$1,-1,1),0)=0,"No Exch Rate Data",IF($G943=0,"",$G943/VLOOKUP($H943,'FX Rates'!$A$1:$BQ$152,_xlfn.XMATCH($B943,'FX Rates'!$A$1:$BQ$1,-1,1),0))))</f>
        <v/>
      </c>
    </row>
    <row r="944" spans="2:10" x14ac:dyDescent="0.25">
      <c r="B944" s="87"/>
      <c r="I944" s="111" t="str">
        <f t="shared" si="17"/>
        <v/>
      </c>
      <c r="J944" s="89" t="str">
        <f>IF(ISBLANK($H944),"",IF(VLOOKUP($H944,'FX Rates'!$A$1:$BQ$152,_xlfn.XMATCH($B944,'FX Rates'!$A$1:$BQ$1,-1,1),0)=0,"No Exch Rate Data",IF($G944=0,"",$G944/VLOOKUP($H944,'FX Rates'!$A$1:$BQ$152,_xlfn.XMATCH($B944,'FX Rates'!$A$1:$BQ$1,-1,1),0))))</f>
        <v/>
      </c>
    </row>
    <row r="945" spans="2:10" x14ac:dyDescent="0.25">
      <c r="B945" s="87"/>
      <c r="I945" s="111" t="str">
        <f t="shared" si="17"/>
        <v/>
      </c>
      <c r="J945" s="89" t="str">
        <f>IF(ISBLANK($H945),"",IF(VLOOKUP($H945,'FX Rates'!$A$1:$BQ$152,_xlfn.XMATCH($B945,'FX Rates'!$A$1:$BQ$1,-1,1),0)=0,"No Exch Rate Data",IF($G945=0,"",$G945/VLOOKUP($H945,'FX Rates'!$A$1:$BQ$152,_xlfn.XMATCH($B945,'FX Rates'!$A$1:$BQ$1,-1,1),0))))</f>
        <v/>
      </c>
    </row>
    <row r="946" spans="2:10" x14ac:dyDescent="0.25">
      <c r="B946" s="87"/>
      <c r="I946" s="111" t="str">
        <f t="shared" si="17"/>
        <v/>
      </c>
      <c r="J946" s="89" t="str">
        <f>IF(ISBLANK($H946),"",IF(VLOOKUP($H946,'FX Rates'!$A$1:$BQ$152,_xlfn.XMATCH($B946,'FX Rates'!$A$1:$BQ$1,-1,1),0)=0,"No Exch Rate Data",IF($G946=0,"",$G946/VLOOKUP($H946,'FX Rates'!$A$1:$BQ$152,_xlfn.XMATCH($B946,'FX Rates'!$A$1:$BQ$1,-1,1),0))))</f>
        <v/>
      </c>
    </row>
    <row r="947" spans="2:10" x14ac:dyDescent="0.25">
      <c r="B947" s="87"/>
      <c r="I947" s="111" t="str">
        <f t="shared" si="17"/>
        <v/>
      </c>
      <c r="J947" s="89" t="str">
        <f>IF(ISBLANK($H947),"",IF(VLOOKUP($H947,'FX Rates'!$A$1:$BQ$152,_xlfn.XMATCH($B947,'FX Rates'!$A$1:$BQ$1,-1,1),0)=0,"No Exch Rate Data",IF($G947=0,"",$G947/VLOOKUP($H947,'FX Rates'!$A$1:$BQ$152,_xlfn.XMATCH($B947,'FX Rates'!$A$1:$BQ$1,-1,1),0))))</f>
        <v/>
      </c>
    </row>
    <row r="948" spans="2:10" x14ac:dyDescent="0.25">
      <c r="B948" s="87"/>
      <c r="I948" s="111" t="str">
        <f t="shared" si="17"/>
        <v/>
      </c>
      <c r="J948" s="89" t="str">
        <f>IF(ISBLANK($H948),"",IF(VLOOKUP($H948,'FX Rates'!$A$1:$BQ$152,_xlfn.XMATCH($B948,'FX Rates'!$A$1:$BQ$1,-1,1),0)=0,"No Exch Rate Data",IF($G948=0,"",$G948/VLOOKUP($H948,'FX Rates'!$A$1:$BQ$152,_xlfn.XMATCH($B948,'FX Rates'!$A$1:$BQ$1,-1,1),0))))</f>
        <v/>
      </c>
    </row>
    <row r="949" spans="2:10" x14ac:dyDescent="0.25">
      <c r="B949" s="87"/>
      <c r="I949" s="111" t="str">
        <f t="shared" si="17"/>
        <v/>
      </c>
      <c r="J949" s="89" t="str">
        <f>IF(ISBLANK($H949),"",IF(VLOOKUP($H949,'FX Rates'!$A$1:$BQ$152,_xlfn.XMATCH($B949,'FX Rates'!$A$1:$BQ$1,-1,1),0)=0,"No Exch Rate Data",IF($G949=0,"",$G949/VLOOKUP($H949,'FX Rates'!$A$1:$BQ$152,_xlfn.XMATCH($B949,'FX Rates'!$A$1:$BQ$1,-1,1),0))))</f>
        <v/>
      </c>
    </row>
    <row r="950" spans="2:10" x14ac:dyDescent="0.25">
      <c r="B950" s="87"/>
      <c r="I950" s="111" t="str">
        <f t="shared" si="17"/>
        <v/>
      </c>
      <c r="J950" s="89" t="str">
        <f>IF(ISBLANK($H950),"",IF(VLOOKUP($H950,'FX Rates'!$A$1:$BQ$152,_xlfn.XMATCH($B950,'FX Rates'!$A$1:$BQ$1,-1,1),0)=0,"No Exch Rate Data",IF($G950=0,"",$G950/VLOOKUP($H950,'FX Rates'!$A$1:$BQ$152,_xlfn.XMATCH($B950,'FX Rates'!$A$1:$BQ$1,-1,1),0))))</f>
        <v/>
      </c>
    </row>
    <row r="951" spans="2:10" x14ac:dyDescent="0.25">
      <c r="B951" s="87"/>
      <c r="I951" s="111" t="str">
        <f t="shared" si="17"/>
        <v/>
      </c>
      <c r="J951" s="89" t="str">
        <f>IF(ISBLANK($H951),"",IF(VLOOKUP($H951,'FX Rates'!$A$1:$BQ$152,_xlfn.XMATCH($B951,'FX Rates'!$A$1:$BQ$1,-1,1),0)=0,"No Exch Rate Data",IF($G951=0,"",$G951/VLOOKUP($H951,'FX Rates'!$A$1:$BQ$152,_xlfn.XMATCH($B951,'FX Rates'!$A$1:$BQ$1,-1,1),0))))</f>
        <v/>
      </c>
    </row>
    <row r="952" spans="2:10" x14ac:dyDescent="0.25">
      <c r="B952" s="87"/>
      <c r="I952" s="111" t="str">
        <f t="shared" si="17"/>
        <v/>
      </c>
      <c r="J952" s="89" t="str">
        <f>IF(ISBLANK($H952),"",IF(VLOOKUP($H952,'FX Rates'!$A$1:$BQ$152,_xlfn.XMATCH($B952,'FX Rates'!$A$1:$BQ$1,-1,1),0)=0,"No Exch Rate Data",IF($G952=0,"",$G952/VLOOKUP($H952,'FX Rates'!$A$1:$BQ$152,_xlfn.XMATCH($B952,'FX Rates'!$A$1:$BQ$1,-1,1),0))))</f>
        <v/>
      </c>
    </row>
    <row r="953" spans="2:10" x14ac:dyDescent="0.25">
      <c r="B953" s="87"/>
      <c r="I953" s="111" t="str">
        <f t="shared" si="17"/>
        <v/>
      </c>
      <c r="J953" s="89" t="str">
        <f>IF(ISBLANK($H953),"",IF(VLOOKUP($H953,'FX Rates'!$A$1:$BQ$152,_xlfn.XMATCH($B953,'FX Rates'!$A$1:$BQ$1,-1,1),0)=0,"No Exch Rate Data",IF($G953=0,"",$G953/VLOOKUP($H953,'FX Rates'!$A$1:$BQ$152,_xlfn.XMATCH($B953,'FX Rates'!$A$1:$BQ$1,-1,1),0))))</f>
        <v/>
      </c>
    </row>
    <row r="954" spans="2:10" x14ac:dyDescent="0.25">
      <c r="B954" s="87"/>
      <c r="I954" s="111" t="str">
        <f t="shared" si="17"/>
        <v/>
      </c>
      <c r="J954" s="89" t="str">
        <f>IF(ISBLANK($H954),"",IF(VLOOKUP($H954,'FX Rates'!$A$1:$BQ$152,_xlfn.XMATCH($B954,'FX Rates'!$A$1:$BQ$1,-1,1),0)=0,"No Exch Rate Data",IF($G954=0,"",$G954/VLOOKUP($H954,'FX Rates'!$A$1:$BQ$152,_xlfn.XMATCH($B954,'FX Rates'!$A$1:$BQ$1,-1,1),0))))</f>
        <v/>
      </c>
    </row>
    <row r="955" spans="2:10" x14ac:dyDescent="0.25">
      <c r="B955" s="87"/>
      <c r="I955" s="111" t="str">
        <f t="shared" si="17"/>
        <v/>
      </c>
      <c r="J955" s="89" t="str">
        <f>IF(ISBLANK($H955),"",IF(VLOOKUP($H955,'FX Rates'!$A$1:$BQ$152,_xlfn.XMATCH($B955,'FX Rates'!$A$1:$BQ$1,-1,1),0)=0,"No Exch Rate Data",IF($G955=0,"",$G955/VLOOKUP($H955,'FX Rates'!$A$1:$BQ$152,_xlfn.XMATCH($B955,'FX Rates'!$A$1:$BQ$1,-1,1),0))))</f>
        <v/>
      </c>
    </row>
    <row r="956" spans="2:10" x14ac:dyDescent="0.25">
      <c r="B956" s="87"/>
      <c r="I956" s="111" t="str">
        <f t="shared" si="17"/>
        <v/>
      </c>
      <c r="J956" s="89" t="str">
        <f>IF(ISBLANK($H956),"",IF(VLOOKUP($H956,'FX Rates'!$A$1:$BQ$152,_xlfn.XMATCH($B956,'FX Rates'!$A$1:$BQ$1,-1,1),0)=0,"No Exch Rate Data",IF($G956=0,"",$G956/VLOOKUP($H956,'FX Rates'!$A$1:$BQ$152,_xlfn.XMATCH($B956,'FX Rates'!$A$1:$BQ$1,-1,1),0))))</f>
        <v/>
      </c>
    </row>
    <row r="957" spans="2:10" x14ac:dyDescent="0.25">
      <c r="B957" s="87"/>
      <c r="I957" s="111" t="str">
        <f t="shared" si="17"/>
        <v/>
      </c>
      <c r="J957" s="89" t="str">
        <f>IF(ISBLANK($H957),"",IF(VLOOKUP($H957,'FX Rates'!$A$1:$BQ$152,_xlfn.XMATCH($B957,'FX Rates'!$A$1:$BQ$1,-1,1),0)=0,"No Exch Rate Data",IF($G957=0,"",$G957/VLOOKUP($H957,'FX Rates'!$A$1:$BQ$152,_xlfn.XMATCH($B957,'FX Rates'!$A$1:$BQ$1,-1,1),0))))</f>
        <v/>
      </c>
    </row>
    <row r="958" spans="2:10" x14ac:dyDescent="0.25">
      <c r="B958" s="87"/>
      <c r="I958" s="111" t="str">
        <f t="shared" si="17"/>
        <v/>
      </c>
      <c r="J958" s="89" t="str">
        <f>IF(ISBLANK($H958),"",IF(VLOOKUP($H958,'FX Rates'!$A$1:$BQ$152,_xlfn.XMATCH($B958,'FX Rates'!$A$1:$BQ$1,-1,1),0)=0,"No Exch Rate Data",IF($G958=0,"",$G958/VLOOKUP($H958,'FX Rates'!$A$1:$BQ$152,_xlfn.XMATCH($B958,'FX Rates'!$A$1:$BQ$1,-1,1),0))))</f>
        <v/>
      </c>
    </row>
    <row r="959" spans="2:10" x14ac:dyDescent="0.25">
      <c r="B959" s="87"/>
      <c r="I959" s="111" t="str">
        <f t="shared" si="17"/>
        <v/>
      </c>
      <c r="J959" s="89" t="str">
        <f>IF(ISBLANK($H959),"",IF(VLOOKUP($H959,'FX Rates'!$A$1:$BQ$152,_xlfn.XMATCH($B959,'FX Rates'!$A$1:$BQ$1,-1,1),0)=0,"No Exch Rate Data",IF($G959=0,"",$G959/VLOOKUP($H959,'FX Rates'!$A$1:$BQ$152,_xlfn.XMATCH($B959,'FX Rates'!$A$1:$BQ$1,-1,1),0))))</f>
        <v/>
      </c>
    </row>
    <row r="960" spans="2:10" x14ac:dyDescent="0.25">
      <c r="B960" s="87"/>
      <c r="I960" s="111" t="str">
        <f t="shared" si="17"/>
        <v/>
      </c>
      <c r="J960" s="89" t="str">
        <f>IF(ISBLANK($H960),"",IF(VLOOKUP($H960,'FX Rates'!$A$1:$BQ$152,_xlfn.XMATCH($B960,'FX Rates'!$A$1:$BQ$1,-1,1),0)=0,"No Exch Rate Data",IF($G960=0,"",$G960/VLOOKUP($H960,'FX Rates'!$A$1:$BQ$152,_xlfn.XMATCH($B960,'FX Rates'!$A$1:$BQ$1,-1,1),0))))</f>
        <v/>
      </c>
    </row>
    <row r="961" spans="2:10" x14ac:dyDescent="0.25">
      <c r="B961" s="87"/>
      <c r="I961" s="111" t="str">
        <f t="shared" si="17"/>
        <v/>
      </c>
      <c r="J961" s="89" t="str">
        <f>IF(ISBLANK($H961),"",IF(VLOOKUP($H961,'FX Rates'!$A$1:$BQ$152,_xlfn.XMATCH($B961,'FX Rates'!$A$1:$BQ$1,-1,1),0)=0,"No Exch Rate Data",IF($G961=0,"",$G961/VLOOKUP($H961,'FX Rates'!$A$1:$BQ$152,_xlfn.XMATCH($B961,'FX Rates'!$A$1:$BQ$1,-1,1),0))))</f>
        <v/>
      </c>
    </row>
    <row r="962" spans="2:10" x14ac:dyDescent="0.25">
      <c r="B962" s="87"/>
      <c r="I962" s="111" t="str">
        <f t="shared" si="17"/>
        <v/>
      </c>
      <c r="J962" s="89" t="str">
        <f>IF(ISBLANK($H962),"",IF(VLOOKUP($H962,'FX Rates'!$A$1:$BQ$152,_xlfn.XMATCH($B962,'FX Rates'!$A$1:$BQ$1,-1,1),0)=0,"No Exch Rate Data",IF($G962=0,"",$G962/VLOOKUP($H962,'FX Rates'!$A$1:$BQ$152,_xlfn.XMATCH($B962,'FX Rates'!$A$1:$BQ$1,-1,1),0))))</f>
        <v/>
      </c>
    </row>
    <row r="963" spans="2:10" x14ac:dyDescent="0.25">
      <c r="B963" s="87"/>
      <c r="I963" s="111" t="str">
        <f t="shared" si="17"/>
        <v/>
      </c>
      <c r="J963" s="89" t="str">
        <f>IF(ISBLANK($H963),"",IF(VLOOKUP($H963,'FX Rates'!$A$1:$BQ$152,_xlfn.XMATCH($B963,'FX Rates'!$A$1:$BQ$1,-1,1),0)=0,"No Exch Rate Data",IF($G963=0,"",$G963/VLOOKUP($H963,'FX Rates'!$A$1:$BQ$152,_xlfn.XMATCH($B963,'FX Rates'!$A$1:$BQ$1,-1,1),0))))</f>
        <v/>
      </c>
    </row>
    <row r="964" spans="2:10" x14ac:dyDescent="0.25">
      <c r="B964" s="87"/>
      <c r="I964" s="111" t="str">
        <f t="shared" si="17"/>
        <v/>
      </c>
      <c r="J964" s="89" t="str">
        <f>IF(ISBLANK($H964),"",IF(VLOOKUP($H964,'FX Rates'!$A$1:$BQ$152,_xlfn.XMATCH($B964,'FX Rates'!$A$1:$BQ$1,-1,1),0)=0,"No Exch Rate Data",IF($G964=0,"",$G964/VLOOKUP($H964,'FX Rates'!$A$1:$BQ$152,_xlfn.XMATCH($B964,'FX Rates'!$A$1:$BQ$1,-1,1),0))))</f>
        <v/>
      </c>
    </row>
    <row r="965" spans="2:10" x14ac:dyDescent="0.25">
      <c r="B965" s="87"/>
      <c r="I965" s="111" t="str">
        <f t="shared" si="17"/>
        <v/>
      </c>
      <c r="J965" s="89" t="str">
        <f>IF(ISBLANK($H965),"",IF(VLOOKUP($H965,'FX Rates'!$A$1:$BQ$152,_xlfn.XMATCH($B965,'FX Rates'!$A$1:$BQ$1,-1,1),0)=0,"No Exch Rate Data",IF($G965=0,"",$G965/VLOOKUP($H965,'FX Rates'!$A$1:$BQ$152,_xlfn.XMATCH($B965,'FX Rates'!$A$1:$BQ$1,-1,1),0))))</f>
        <v/>
      </c>
    </row>
    <row r="966" spans="2:10" x14ac:dyDescent="0.25">
      <c r="B966" s="87"/>
      <c r="I966" s="111" t="str">
        <f t="shared" si="17"/>
        <v/>
      </c>
      <c r="J966" s="89" t="str">
        <f>IF(ISBLANK($H966),"",IF(VLOOKUP($H966,'FX Rates'!$A$1:$BQ$152,_xlfn.XMATCH($B966,'FX Rates'!$A$1:$BQ$1,-1,1),0)=0,"No Exch Rate Data",IF($G966=0,"",$G966/VLOOKUP($H966,'FX Rates'!$A$1:$BQ$152,_xlfn.XMATCH($B966,'FX Rates'!$A$1:$BQ$1,-1,1),0))))</f>
        <v/>
      </c>
    </row>
    <row r="967" spans="2:10" x14ac:dyDescent="0.25">
      <c r="B967" s="87"/>
      <c r="I967" s="111" t="str">
        <f t="shared" si="17"/>
        <v/>
      </c>
      <c r="J967" s="89" t="str">
        <f>IF(ISBLANK($H967),"",IF(VLOOKUP($H967,'FX Rates'!$A$1:$BQ$152,_xlfn.XMATCH($B967,'FX Rates'!$A$1:$BQ$1,-1,1),0)=0,"No Exch Rate Data",IF($G967=0,"",$G967/VLOOKUP($H967,'FX Rates'!$A$1:$BQ$152,_xlfn.XMATCH($B967,'FX Rates'!$A$1:$BQ$1,-1,1),0))))</f>
        <v/>
      </c>
    </row>
    <row r="968" spans="2:10" x14ac:dyDescent="0.25">
      <c r="B968" s="87"/>
      <c r="I968" s="111" t="str">
        <f t="shared" si="17"/>
        <v/>
      </c>
      <c r="J968" s="89" t="str">
        <f>IF(ISBLANK($H968),"",IF(VLOOKUP($H968,'FX Rates'!$A$1:$BQ$152,_xlfn.XMATCH($B968,'FX Rates'!$A$1:$BQ$1,-1,1),0)=0,"No Exch Rate Data",IF($G968=0,"",$G968/VLOOKUP($H968,'FX Rates'!$A$1:$BQ$152,_xlfn.XMATCH($B968,'FX Rates'!$A$1:$BQ$1,-1,1),0))))</f>
        <v/>
      </c>
    </row>
    <row r="969" spans="2:10" x14ac:dyDescent="0.25">
      <c r="B969" s="87"/>
      <c r="I969" s="111" t="str">
        <f t="shared" si="17"/>
        <v/>
      </c>
      <c r="J969" s="89" t="str">
        <f>IF(ISBLANK($H969),"",IF(VLOOKUP($H969,'FX Rates'!$A$1:$BQ$152,_xlfn.XMATCH($B969,'FX Rates'!$A$1:$BQ$1,-1,1),0)=0,"No Exch Rate Data",IF($G969=0,"",$G969/VLOOKUP($H969,'FX Rates'!$A$1:$BQ$152,_xlfn.XMATCH($B969,'FX Rates'!$A$1:$BQ$1,-1,1),0))))</f>
        <v/>
      </c>
    </row>
    <row r="970" spans="2:10" x14ac:dyDescent="0.25">
      <c r="B970" s="87"/>
      <c r="I970" s="111" t="str">
        <f t="shared" si="17"/>
        <v/>
      </c>
      <c r="J970" s="89" t="str">
        <f>IF(ISBLANK($H970),"",IF(VLOOKUP($H970,'FX Rates'!$A$1:$BQ$152,_xlfn.XMATCH($B970,'FX Rates'!$A$1:$BQ$1,-1,1),0)=0,"No Exch Rate Data",IF($G970=0,"",$G970/VLOOKUP($H970,'FX Rates'!$A$1:$BQ$152,_xlfn.XMATCH($B970,'FX Rates'!$A$1:$BQ$1,-1,1),0))))</f>
        <v/>
      </c>
    </row>
    <row r="971" spans="2:10" x14ac:dyDescent="0.25">
      <c r="B971" s="87"/>
      <c r="I971" s="111" t="str">
        <f t="shared" si="17"/>
        <v/>
      </c>
      <c r="J971" s="89" t="str">
        <f>IF(ISBLANK($H971),"",IF(VLOOKUP($H971,'FX Rates'!$A$1:$BQ$152,_xlfn.XMATCH($B971,'FX Rates'!$A$1:$BQ$1,-1,1),0)=0,"No Exch Rate Data",IF($G971=0,"",$G971/VLOOKUP($H971,'FX Rates'!$A$1:$BQ$152,_xlfn.XMATCH($B971,'FX Rates'!$A$1:$BQ$1,-1,1),0))))</f>
        <v/>
      </c>
    </row>
    <row r="972" spans="2:10" x14ac:dyDescent="0.25">
      <c r="B972" s="87"/>
      <c r="I972" s="111" t="str">
        <f t="shared" si="17"/>
        <v/>
      </c>
      <c r="J972" s="89" t="str">
        <f>IF(ISBLANK($H972),"",IF(VLOOKUP($H972,'FX Rates'!$A$1:$BQ$152,_xlfn.XMATCH($B972,'FX Rates'!$A$1:$BQ$1,-1,1),0)=0,"No Exch Rate Data",IF($G972=0,"",$G972/VLOOKUP($H972,'FX Rates'!$A$1:$BQ$152,_xlfn.XMATCH($B972,'FX Rates'!$A$1:$BQ$1,-1,1),0))))</f>
        <v/>
      </c>
    </row>
    <row r="973" spans="2:10" x14ac:dyDescent="0.25">
      <c r="B973" s="87"/>
      <c r="I973" s="111" t="str">
        <f t="shared" si="17"/>
        <v/>
      </c>
      <c r="J973" s="89" t="str">
        <f>IF(ISBLANK($H973),"",IF(VLOOKUP($H973,'FX Rates'!$A$1:$BQ$152,_xlfn.XMATCH($B973,'FX Rates'!$A$1:$BQ$1,-1,1),0)=0,"No Exch Rate Data",IF($G973=0,"",$G973/VLOOKUP($H973,'FX Rates'!$A$1:$BQ$152,_xlfn.XMATCH($B973,'FX Rates'!$A$1:$BQ$1,-1,1),0))))</f>
        <v/>
      </c>
    </row>
    <row r="974" spans="2:10" x14ac:dyDescent="0.25">
      <c r="B974" s="87"/>
      <c r="I974" s="111" t="str">
        <f t="shared" si="17"/>
        <v/>
      </c>
      <c r="J974" s="89" t="str">
        <f>IF(ISBLANK($H974),"",IF(VLOOKUP($H974,'FX Rates'!$A$1:$BQ$152,_xlfn.XMATCH($B974,'FX Rates'!$A$1:$BQ$1,-1,1),0)=0,"No Exch Rate Data",IF($G974=0,"",$G974/VLOOKUP($H974,'FX Rates'!$A$1:$BQ$152,_xlfn.XMATCH($B974,'FX Rates'!$A$1:$BQ$1,-1,1),0))))</f>
        <v/>
      </c>
    </row>
    <row r="975" spans="2:10" x14ac:dyDescent="0.25">
      <c r="B975" s="87"/>
      <c r="I975" s="111" t="str">
        <f t="shared" si="17"/>
        <v/>
      </c>
      <c r="J975" s="89" t="str">
        <f>IF(ISBLANK($H975),"",IF(VLOOKUP($H975,'FX Rates'!$A$1:$BQ$152,_xlfn.XMATCH($B975,'FX Rates'!$A$1:$BQ$1,-1,1),0)=0,"No Exch Rate Data",IF($G975=0,"",$G975/VLOOKUP($H975,'FX Rates'!$A$1:$BQ$152,_xlfn.XMATCH($B975,'FX Rates'!$A$1:$BQ$1,-1,1),0))))</f>
        <v/>
      </c>
    </row>
    <row r="976" spans="2:10" x14ac:dyDescent="0.25">
      <c r="B976" s="87"/>
      <c r="I976" s="111" t="str">
        <f t="shared" si="17"/>
        <v/>
      </c>
      <c r="J976" s="89" t="str">
        <f>IF(ISBLANK($H976),"",IF(VLOOKUP($H976,'FX Rates'!$A$1:$BQ$152,_xlfn.XMATCH($B976,'FX Rates'!$A$1:$BQ$1,-1,1),0)=0,"No Exch Rate Data",IF($G976=0,"",$G976/VLOOKUP($H976,'FX Rates'!$A$1:$BQ$152,_xlfn.XMATCH($B976,'FX Rates'!$A$1:$BQ$1,-1,1),0))))</f>
        <v/>
      </c>
    </row>
    <row r="977" spans="2:10" x14ac:dyDescent="0.25">
      <c r="B977" s="87"/>
      <c r="I977" s="111" t="str">
        <f t="shared" si="17"/>
        <v/>
      </c>
      <c r="J977" s="89" t="str">
        <f>IF(ISBLANK($H977),"",IF(VLOOKUP($H977,'FX Rates'!$A$1:$BQ$152,_xlfn.XMATCH($B977,'FX Rates'!$A$1:$BQ$1,-1,1),0)=0,"No Exch Rate Data",IF($G977=0,"",$G977/VLOOKUP($H977,'FX Rates'!$A$1:$BQ$152,_xlfn.XMATCH($B977,'FX Rates'!$A$1:$BQ$1,-1,1),0))))</f>
        <v/>
      </c>
    </row>
    <row r="978" spans="2:10" x14ac:dyDescent="0.25">
      <c r="B978" s="87"/>
      <c r="I978" s="111" t="str">
        <f t="shared" si="17"/>
        <v/>
      </c>
      <c r="J978" s="89" t="str">
        <f>IF(ISBLANK($H978),"",IF(VLOOKUP($H978,'FX Rates'!$A$1:$BQ$152,_xlfn.XMATCH($B978,'FX Rates'!$A$1:$BQ$1,-1,1),0)=0,"No Exch Rate Data",IF($G978=0,"",$G978/VLOOKUP($H978,'FX Rates'!$A$1:$BQ$152,_xlfn.XMATCH($B978,'FX Rates'!$A$1:$BQ$1,-1,1),0))))</f>
        <v/>
      </c>
    </row>
    <row r="979" spans="2:10" x14ac:dyDescent="0.25">
      <c r="B979" s="87"/>
      <c r="I979" s="111" t="str">
        <f t="shared" si="17"/>
        <v/>
      </c>
      <c r="J979" s="89" t="str">
        <f>IF(ISBLANK($H979),"",IF(VLOOKUP($H979,'FX Rates'!$A$1:$BQ$152,_xlfn.XMATCH($B979,'FX Rates'!$A$1:$BQ$1,-1,1),0)=0,"No Exch Rate Data",IF($G979=0,"",$G979/VLOOKUP($H979,'FX Rates'!$A$1:$BQ$152,_xlfn.XMATCH($B979,'FX Rates'!$A$1:$BQ$1,-1,1),0))))</f>
        <v/>
      </c>
    </row>
    <row r="980" spans="2:10" x14ac:dyDescent="0.25">
      <c r="B980" s="87"/>
      <c r="I980" s="111" t="str">
        <f t="shared" si="17"/>
        <v/>
      </c>
      <c r="J980" s="89" t="str">
        <f>IF(ISBLANK($H980),"",IF(VLOOKUP($H980,'FX Rates'!$A$1:$BQ$152,_xlfn.XMATCH($B980,'FX Rates'!$A$1:$BQ$1,-1,1),0)=0,"No Exch Rate Data",IF($G980=0,"",$G980/VLOOKUP($H980,'FX Rates'!$A$1:$BQ$152,_xlfn.XMATCH($B980,'FX Rates'!$A$1:$BQ$1,-1,1),0))))</f>
        <v/>
      </c>
    </row>
    <row r="981" spans="2:10" x14ac:dyDescent="0.25">
      <c r="B981" s="87"/>
      <c r="I981" s="111" t="str">
        <f t="shared" si="17"/>
        <v/>
      </c>
      <c r="J981" s="89" t="str">
        <f>IF(ISBLANK($H981),"",IF(VLOOKUP($H981,'FX Rates'!$A$1:$BQ$152,_xlfn.XMATCH($B981,'FX Rates'!$A$1:$BQ$1,-1,1),0)=0,"No Exch Rate Data",IF($G981=0,"",$G981/VLOOKUP($H981,'FX Rates'!$A$1:$BQ$152,_xlfn.XMATCH($B981,'FX Rates'!$A$1:$BQ$1,-1,1),0))))</f>
        <v/>
      </c>
    </row>
    <row r="982" spans="2:10" x14ac:dyDescent="0.25">
      <c r="B982" s="87"/>
      <c r="I982" s="111" t="str">
        <f t="shared" si="17"/>
        <v/>
      </c>
      <c r="J982" s="89" t="str">
        <f>IF(ISBLANK($H982),"",IF(VLOOKUP($H982,'FX Rates'!$A$1:$BQ$152,_xlfn.XMATCH($B982,'FX Rates'!$A$1:$BQ$1,-1,1),0)=0,"No Exch Rate Data",IF($G982=0,"",$G982/VLOOKUP($H982,'FX Rates'!$A$1:$BQ$152,_xlfn.XMATCH($B982,'FX Rates'!$A$1:$BQ$1,-1,1),0))))</f>
        <v/>
      </c>
    </row>
    <row r="983" spans="2:10" x14ac:dyDescent="0.25">
      <c r="B983" s="87"/>
      <c r="I983" s="111" t="str">
        <f t="shared" si="17"/>
        <v/>
      </c>
      <c r="J983" s="89" t="str">
        <f>IF(ISBLANK($H983),"",IF(VLOOKUP($H983,'FX Rates'!$A$1:$BQ$152,_xlfn.XMATCH($B983,'FX Rates'!$A$1:$BQ$1,-1,1),0)=0,"No Exch Rate Data",IF($G983=0,"",$G983/VLOOKUP($H983,'FX Rates'!$A$1:$BQ$152,_xlfn.XMATCH($B983,'FX Rates'!$A$1:$BQ$1,-1,1),0))))</f>
        <v/>
      </c>
    </row>
    <row r="984" spans="2:10" x14ac:dyDescent="0.25">
      <c r="B984" s="87"/>
      <c r="I984" s="111" t="str">
        <f t="shared" si="17"/>
        <v/>
      </c>
      <c r="J984" s="89" t="str">
        <f>IF(ISBLANK($H984),"",IF(VLOOKUP($H984,'FX Rates'!$A$1:$BQ$152,_xlfn.XMATCH($B984,'FX Rates'!$A$1:$BQ$1,-1,1),0)=0,"No Exch Rate Data",IF($G984=0,"",$G984/VLOOKUP($H984,'FX Rates'!$A$1:$BQ$152,_xlfn.XMATCH($B984,'FX Rates'!$A$1:$BQ$1,-1,1),0))))</f>
        <v/>
      </c>
    </row>
    <row r="985" spans="2:10" x14ac:dyDescent="0.25">
      <c r="B985" s="87"/>
      <c r="I985" s="111" t="str">
        <f t="shared" si="17"/>
        <v/>
      </c>
      <c r="J985" s="89" t="str">
        <f>IF(ISBLANK($H985),"",IF(VLOOKUP($H985,'FX Rates'!$A$1:$BQ$152,_xlfn.XMATCH($B985,'FX Rates'!$A$1:$BQ$1,-1,1),0)=0,"No Exch Rate Data",IF($G985=0,"",$G985/VLOOKUP($H985,'FX Rates'!$A$1:$BQ$152,_xlfn.XMATCH($B985,'FX Rates'!$A$1:$BQ$1,-1,1),0))))</f>
        <v/>
      </c>
    </row>
    <row r="986" spans="2:10" x14ac:dyDescent="0.25">
      <c r="B986" s="87"/>
      <c r="I986" s="111" t="str">
        <f t="shared" si="17"/>
        <v/>
      </c>
      <c r="J986" s="89" t="str">
        <f>IF(ISBLANK($H986),"",IF(VLOOKUP($H986,'FX Rates'!$A$1:$BQ$152,_xlfn.XMATCH($B986,'FX Rates'!$A$1:$BQ$1,-1,1),0)=0,"No Exch Rate Data",IF($G986=0,"",$G986/VLOOKUP($H986,'FX Rates'!$A$1:$BQ$152,_xlfn.XMATCH($B986,'FX Rates'!$A$1:$BQ$1,-1,1),0))))</f>
        <v/>
      </c>
    </row>
    <row r="987" spans="2:10" x14ac:dyDescent="0.25">
      <c r="B987" s="87"/>
      <c r="I987" s="111" t="str">
        <f t="shared" si="17"/>
        <v/>
      </c>
      <c r="J987" s="89" t="str">
        <f>IF(ISBLANK($H987),"",IF(VLOOKUP($H987,'FX Rates'!$A$1:$BQ$152,_xlfn.XMATCH($B987,'FX Rates'!$A$1:$BQ$1,-1,1),0)=0,"No Exch Rate Data",IF($G987=0,"",$G987/VLOOKUP($H987,'FX Rates'!$A$1:$BQ$152,_xlfn.XMATCH($B987,'FX Rates'!$A$1:$BQ$1,-1,1),0))))</f>
        <v/>
      </c>
    </row>
    <row r="988" spans="2:10" x14ac:dyDescent="0.25">
      <c r="B988" s="87"/>
      <c r="I988" s="111" t="str">
        <f t="shared" si="17"/>
        <v/>
      </c>
      <c r="J988" s="89" t="str">
        <f>IF(ISBLANK($H988),"",IF(VLOOKUP($H988,'FX Rates'!$A$1:$BQ$152,_xlfn.XMATCH($B988,'FX Rates'!$A$1:$BQ$1,-1,1),0)=0,"No Exch Rate Data",IF($G988=0,"",$G988/VLOOKUP($H988,'FX Rates'!$A$1:$BQ$152,_xlfn.XMATCH($B988,'FX Rates'!$A$1:$BQ$1,-1,1),0))))</f>
        <v/>
      </c>
    </row>
    <row r="989" spans="2:10" x14ac:dyDescent="0.25">
      <c r="B989" s="87"/>
      <c r="I989" s="111" t="str">
        <f t="shared" si="17"/>
        <v/>
      </c>
      <c r="J989" s="89" t="str">
        <f>IF(ISBLANK($H989),"",IF(VLOOKUP($H989,'FX Rates'!$A$1:$BQ$152,_xlfn.XMATCH($B989,'FX Rates'!$A$1:$BQ$1,-1,1),0)=0,"No Exch Rate Data",IF($G989=0,"",$G989/VLOOKUP($H989,'FX Rates'!$A$1:$BQ$152,_xlfn.XMATCH($B989,'FX Rates'!$A$1:$BQ$1,-1,1),0))))</f>
        <v/>
      </c>
    </row>
    <row r="990" spans="2:10" x14ac:dyDescent="0.25">
      <c r="B990" s="87"/>
      <c r="I990" s="111" t="str">
        <f t="shared" si="17"/>
        <v/>
      </c>
      <c r="J990" s="89" t="str">
        <f>IF(ISBLANK($H990),"",IF(VLOOKUP($H990,'FX Rates'!$A$1:$BQ$152,_xlfn.XMATCH($B990,'FX Rates'!$A$1:$BQ$1,-1,1),0)=0,"No Exch Rate Data",IF($G990=0,"",$G990/VLOOKUP($H990,'FX Rates'!$A$1:$BQ$152,_xlfn.XMATCH($B990,'FX Rates'!$A$1:$BQ$1,-1,1),0))))</f>
        <v/>
      </c>
    </row>
    <row r="991" spans="2:10" x14ac:dyDescent="0.25">
      <c r="B991" s="87"/>
      <c r="I991" s="111" t="str">
        <f t="shared" si="17"/>
        <v/>
      </c>
      <c r="J991" s="89" t="str">
        <f>IF(ISBLANK($H991),"",IF(VLOOKUP($H991,'FX Rates'!$A$1:$BQ$152,_xlfn.XMATCH($B991,'FX Rates'!$A$1:$BQ$1,-1,1),0)=0,"No Exch Rate Data",IF($G991=0,"",$G991/VLOOKUP($H991,'FX Rates'!$A$1:$BQ$152,_xlfn.XMATCH($B991,'FX Rates'!$A$1:$BQ$1,-1,1),0))))</f>
        <v/>
      </c>
    </row>
    <row r="992" spans="2:10" x14ac:dyDescent="0.25">
      <c r="B992" s="87"/>
      <c r="I992" s="111" t="str">
        <f t="shared" si="17"/>
        <v/>
      </c>
      <c r="J992" s="89" t="str">
        <f>IF(ISBLANK($H992),"",IF(VLOOKUP($H992,'FX Rates'!$A$1:$BQ$152,_xlfn.XMATCH($B992,'FX Rates'!$A$1:$BQ$1,-1,1),0)=0,"No Exch Rate Data",IF($G992=0,"",$G992/VLOOKUP($H992,'FX Rates'!$A$1:$BQ$152,_xlfn.XMATCH($B992,'FX Rates'!$A$1:$BQ$1,-1,1),0))))</f>
        <v/>
      </c>
    </row>
    <row r="993" spans="2:10" x14ac:dyDescent="0.25">
      <c r="B993" s="87"/>
      <c r="I993" s="111" t="str">
        <f t="shared" si="17"/>
        <v/>
      </c>
      <c r="J993" s="89" t="str">
        <f>IF(ISBLANK($H993),"",IF(VLOOKUP($H993,'FX Rates'!$A$1:$BQ$152,_xlfn.XMATCH($B993,'FX Rates'!$A$1:$BQ$1,-1,1),0)=0,"No Exch Rate Data",IF($G993=0,"",$G993/VLOOKUP($H993,'FX Rates'!$A$1:$BQ$152,_xlfn.XMATCH($B993,'FX Rates'!$A$1:$BQ$1,-1,1),0))))</f>
        <v/>
      </c>
    </row>
    <row r="994" spans="2:10" x14ac:dyDescent="0.25">
      <c r="B994" s="87"/>
      <c r="I994" s="111" t="str">
        <f t="shared" si="17"/>
        <v/>
      </c>
      <c r="J994" s="89" t="str">
        <f>IF(ISBLANK($H994),"",IF(VLOOKUP($H994,'FX Rates'!$A$1:$BQ$152,_xlfn.XMATCH($B994,'FX Rates'!$A$1:$BQ$1,-1,1),0)=0,"No Exch Rate Data",IF($G994=0,"",$G994/VLOOKUP($H994,'FX Rates'!$A$1:$BQ$152,_xlfn.XMATCH($B994,'FX Rates'!$A$1:$BQ$1,-1,1),0))))</f>
        <v/>
      </c>
    </row>
    <row r="995" spans="2:10" x14ac:dyDescent="0.25">
      <c r="B995" s="87"/>
      <c r="I995" s="111" t="str">
        <f t="shared" si="17"/>
        <v/>
      </c>
      <c r="J995" s="89" t="str">
        <f>IF(ISBLANK($H995),"",IF(VLOOKUP($H995,'FX Rates'!$A$1:$BQ$152,_xlfn.XMATCH($B995,'FX Rates'!$A$1:$BQ$1,-1,1),0)=0,"No Exch Rate Data",IF($G995=0,"",$G995/VLOOKUP($H995,'FX Rates'!$A$1:$BQ$152,_xlfn.XMATCH($B995,'FX Rates'!$A$1:$BQ$1,-1,1),0))))</f>
        <v/>
      </c>
    </row>
    <row r="996" spans="2:10" x14ac:dyDescent="0.25">
      <c r="B996" s="87"/>
      <c r="I996" s="111" t="str">
        <f t="shared" si="17"/>
        <v/>
      </c>
      <c r="J996" s="89" t="str">
        <f>IF(ISBLANK($H996),"",IF(VLOOKUP($H996,'FX Rates'!$A$1:$BQ$152,_xlfn.XMATCH($B996,'FX Rates'!$A$1:$BQ$1,-1,1),0)=0,"No Exch Rate Data",IF($G996=0,"",$G996/VLOOKUP($H996,'FX Rates'!$A$1:$BQ$152,_xlfn.XMATCH($B996,'FX Rates'!$A$1:$BQ$1,-1,1),0))))</f>
        <v/>
      </c>
    </row>
    <row r="997" spans="2:10" x14ac:dyDescent="0.25">
      <c r="B997" s="87"/>
      <c r="I997" s="111" t="str">
        <f t="shared" si="17"/>
        <v/>
      </c>
      <c r="J997" s="89" t="str">
        <f>IF(ISBLANK($H997),"",IF(VLOOKUP($H997,'FX Rates'!$A$1:$BQ$152,_xlfn.XMATCH($B997,'FX Rates'!$A$1:$BQ$1,-1,1),0)=0,"No Exch Rate Data",IF($G997=0,"",$G997/VLOOKUP($H997,'FX Rates'!$A$1:$BQ$152,_xlfn.XMATCH($B997,'FX Rates'!$A$1:$BQ$1,-1,1),0))))</f>
        <v/>
      </c>
    </row>
    <row r="998" spans="2:10" x14ac:dyDescent="0.25">
      <c r="B998" s="87"/>
      <c r="I998" s="111" t="str">
        <f t="shared" si="17"/>
        <v/>
      </c>
      <c r="J998" s="89" t="str">
        <f>IF(ISBLANK($H998),"",IF(VLOOKUP($H998,'FX Rates'!$A$1:$BQ$152,_xlfn.XMATCH($B998,'FX Rates'!$A$1:$BQ$1,-1,1),0)=0,"No Exch Rate Data",IF($G998=0,"",$G998/VLOOKUP($H998,'FX Rates'!$A$1:$BQ$152,_xlfn.XMATCH($B998,'FX Rates'!$A$1:$BQ$1,-1,1),0))))</f>
        <v/>
      </c>
    </row>
    <row r="999" spans="2:10" x14ac:dyDescent="0.25">
      <c r="B999" s="87"/>
      <c r="I999" s="111" t="str">
        <f t="shared" si="17"/>
        <v/>
      </c>
      <c r="J999" s="89" t="str">
        <f>IF(ISBLANK($H999),"",IF(VLOOKUP($H999,'FX Rates'!$A$1:$BQ$152,_xlfn.XMATCH($B999,'FX Rates'!$A$1:$BQ$1,-1,1),0)=0,"No Exch Rate Data",IF($G999=0,"",$G999/VLOOKUP($H999,'FX Rates'!$A$1:$BQ$152,_xlfn.XMATCH($B999,'FX Rates'!$A$1:$BQ$1,-1,1),0))))</f>
        <v/>
      </c>
    </row>
    <row r="1000" spans="2:10" x14ac:dyDescent="0.25">
      <c r="B1000" s="87"/>
      <c r="I1000" s="111" t="str">
        <f t="shared" si="17"/>
        <v/>
      </c>
      <c r="J1000" s="89" t="str">
        <f>IF(ISBLANK($H1000),"",IF(VLOOKUP($H1000,'FX Rates'!$A$1:$BQ$152,_xlfn.XMATCH($B1000,'FX Rates'!$A$1:$BQ$1,-1,1),0)=0,"No Exch Rate Data",IF($G1000=0,"",$G1000/VLOOKUP($H1000,'FX Rates'!$A$1:$BQ$152,_xlfn.XMATCH($B1000,'FX Rates'!$A$1:$BQ$1,-1,1),0))))</f>
        <v/>
      </c>
    </row>
  </sheetData>
  <sheetProtection algorithmName="SHA-512" hashValue="H3NS4tRjP+xiqlY2vjrQeACxh0RC2KD69UONp06hVnfP1DkrK7HBzA/v6R4hNZuxlN0Mdd7e1ATYvINeeQLWHQ==" saltValue="EDgdhh7pTsLUrI1fOPgeYQ==" spinCount="100000" sheet="1" objects="1" scenarios="1"/>
  <protectedRanges>
    <protectedRange sqref="B8:H1048576" name="Data Entry Columns"/>
    <protectedRange sqref="C3" name="Duty Station Country"/>
  </protectedRanges>
  <mergeCells count="3">
    <mergeCell ref="G6:J6"/>
    <mergeCell ref="L13:P13"/>
    <mergeCell ref="D1:G5"/>
  </mergeCells>
  <conditionalFormatting sqref="C4">
    <cfRule type="cellIs" dxfId="3" priority="1" operator="equal">
      <formula>"Select duty station above"</formula>
    </cfRule>
  </conditionalFormatting>
  <dataValidations count="7">
    <dataValidation type="list" allowBlank="1" showInputMessage="1" showErrorMessage="1" promptTitle="Item Category" prompt="Select from dropdown" sqref="C6 C8:C1048576" xr:uid="{CC68021C-7685-41AA-B1CB-7E06BE6B5602}">
      <formula1>ItemCategoryList</formula1>
    </dataValidation>
    <dataValidation type="list" allowBlank="1" showErrorMessage="1" error="Select country from drop down" prompt="Select from drop down" sqref="C3" xr:uid="{0F46F683-F3F0-402B-AB70-E6707DB844DE}">
      <formula1>DS_Country_List</formula1>
    </dataValidation>
    <dataValidation type="list" allowBlank="1" showInputMessage="1" showErrorMessage="1" sqref="H8:H1048576" xr:uid="{835E3297-E556-4677-BA01-3C91A1C51E70}">
      <formula1>ISOCodeList</formula1>
    </dataValidation>
    <dataValidation type="date" operator="greaterThanOrEqual" allowBlank="1" showInputMessage="1" showErrorMessage="1" sqref="B8:B1048576" xr:uid="{A0042A73-01A9-4137-BFE8-8F0AF3BCFF6E}">
      <formula1>44197</formula1>
    </dataValidation>
    <dataValidation type="list" allowBlank="1" showInputMessage="1" showErrorMessage="1" sqref="F8:F1048576" xr:uid="{D0B643F2-A654-400C-8604-F04A6F7C869D}">
      <formula1>InsideOutsideList</formula1>
    </dataValidation>
    <dataValidation type="decimal" operator="greaterThanOrEqual" allowBlank="1" showInputMessage="1" showErrorMessage="1" errorTitle="Numeric" error="Enter positive numeric value" sqref="G8:G1048576" xr:uid="{43F0189B-A251-4AE0-9E6C-7891E00A33D9}">
      <formula1>0</formula1>
    </dataValidation>
    <dataValidation type="list" allowBlank="1" showInputMessage="1" showErrorMessage="1" sqref="D8:D1048576" xr:uid="{38297CD1-577F-4FF7-903A-F58649977A47}">
      <formula1>INDIRECT(SUBSTITUTE($C8," ","_"))</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956A-1484-4AAC-ACE4-8629756B0C32}">
  <sheetPr codeName="Sheet2"/>
  <dimension ref="B2:I22"/>
  <sheetViews>
    <sheetView zoomScaleNormal="100" workbookViewId="0">
      <pane ySplit="2" topLeftCell="A3" activePane="bottomLeft" state="frozen"/>
      <selection pane="bottomLeft" activeCell="C4" sqref="C4"/>
    </sheetView>
  </sheetViews>
  <sheetFormatPr defaultRowHeight="15" x14ac:dyDescent="0.25"/>
  <cols>
    <col min="1" max="1" width="2.7109375" style="43" customWidth="1"/>
    <col min="2" max="2" width="1.7109375" style="43" customWidth="1"/>
    <col min="3" max="3" width="60.7109375" style="43" customWidth="1"/>
    <col min="4" max="4" width="30.7109375" style="43" customWidth="1"/>
    <col min="5" max="5" width="25.7109375" style="43" customWidth="1"/>
    <col min="6" max="6" width="20.7109375" style="43" customWidth="1"/>
    <col min="7" max="7" width="15.7109375" style="43" customWidth="1"/>
    <col min="8" max="8" width="9.140625" style="43"/>
    <col min="9" max="9" width="10.42578125" style="43" bestFit="1" customWidth="1"/>
    <col min="10" max="16384" width="9.140625" style="43"/>
  </cols>
  <sheetData>
    <row r="2" spans="2:9" ht="37.5" customHeight="1" x14ac:dyDescent="0.25">
      <c r="B2" s="222" t="s">
        <v>358</v>
      </c>
      <c r="C2" s="223"/>
      <c r="D2" s="223"/>
      <c r="E2" s="223"/>
      <c r="F2" s="223"/>
      <c r="G2" s="224"/>
    </row>
    <row r="3" spans="2:9" ht="22.5" customHeight="1" x14ac:dyDescent="0.25">
      <c r="B3" s="42"/>
      <c r="C3" s="135" t="s">
        <v>605</v>
      </c>
      <c r="D3" s="219" t="str">
        <f>_xlfn.XLOOKUP(SummaryView,Summary_View_List,Summary_View_Explainer)</f>
        <v>Values displayed are the total of all expenses entered in the Data Table</v>
      </c>
      <c r="E3" s="219"/>
      <c r="F3" s="220"/>
      <c r="G3" s="221"/>
    </row>
    <row r="4" spans="2:9" ht="22.5" customHeight="1" x14ac:dyDescent="0.25">
      <c r="B4" s="42"/>
      <c r="C4" s="130" t="s">
        <v>599</v>
      </c>
      <c r="D4" s="219"/>
      <c r="E4" s="219"/>
      <c r="F4" s="220"/>
      <c r="G4" s="221"/>
    </row>
    <row r="5" spans="2:9" ht="350.1" customHeight="1" x14ac:dyDescent="0.25">
      <c r="B5" s="42"/>
      <c r="D5" s="128"/>
      <c r="E5" s="128"/>
      <c r="F5" s="128"/>
      <c r="G5" s="129"/>
    </row>
    <row r="6" spans="2:9" ht="31.5" customHeight="1" x14ac:dyDescent="0.25">
      <c r="B6" s="143"/>
      <c r="C6" s="217" t="str">
        <f>"Exchange rate conversions are based on history of UN Treasury rates from Jan 2021 through "&amp;_xlfn.XLOOKUP(MONTH(MAX('FX Rates'!$1:$1)),Month_Number,Month_List)&amp; " "&amp;YEAR(MAX('FX Rates'!$1:$1))</f>
        <v>Exchange rate conversions are based on history of UN Treasury rates from Jan 2021 through Aug 2026</v>
      </c>
      <c r="D6" s="210" t="str">
        <f>IF(RIGHT(SummaryView,16)="(Local Currency)",LEFT(SummaryView,LEN(SummaryView)-16)&amp;"("&amp;(_xlfn.XLOOKUP(DSCountry,DS_Country_List,DS_Currency_List))&amp;")",SummaryView)</f>
        <v>All Expenditures (USD)</v>
      </c>
      <c r="E6" s="210"/>
      <c r="F6" s="210"/>
      <c r="G6" s="211"/>
      <c r="I6" s="157"/>
    </row>
    <row r="7" spans="2:9" ht="18.75" customHeight="1" x14ac:dyDescent="0.25">
      <c r="B7" s="143"/>
      <c r="C7" s="218"/>
      <c r="D7" s="124" t="s">
        <v>353</v>
      </c>
      <c r="E7" s="124"/>
      <c r="F7" s="124" t="s">
        <v>355</v>
      </c>
      <c r="G7" s="125" t="s">
        <v>356</v>
      </c>
    </row>
    <row r="8" spans="2:9" ht="18.75" customHeight="1" x14ac:dyDescent="0.3">
      <c r="B8" s="131"/>
      <c r="C8" s="133" t="str">
        <f>IF((RIGHT(SummaryView,5))="(USD)","Expenditures from Last 30 Days (USD)","Expenditures from Last 30 Days ("&amp;(_xlfn.XLOOKUP(DSCountry,DS_Country_List,DS_Currency_List))&amp;")")</f>
        <v>Expenditures from Last 30 Days (USD)</v>
      </c>
      <c r="D8" s="212" t="s">
        <v>455</v>
      </c>
      <c r="E8" s="213"/>
      <c r="F8" s="158">
        <f t="shared" ref="F8:F22" si="0">VLOOKUP($D8,SummaryTableToggleTable,_xlfn.XMATCH(SummaryView,Summary_View_List,0)+1,FALSE)</f>
        <v>141.14326040931545</v>
      </c>
      <c r="G8" s="113">
        <f>IF($F8=0,0,$F8/$F$22)</f>
        <v>1</v>
      </c>
    </row>
    <row r="9" spans="2:9" ht="18.75" customHeight="1" x14ac:dyDescent="0.25">
      <c r="B9" s="131"/>
      <c r="C9" s="207">
        <f ca="1">IF((RIGHT(SummaryView,5))="(USD)",SUMIF('Data Table'!B:B,"&lt;="&amp;TODAY(),'Data Table'!J:J)-SUMIF('Data Table'!B:B,"&lt;="&amp;(TODAY()-30),'Data Table'!J:J),(SUMIF('Data Table'!B:B,"&lt;="&amp;TODAY(),'Data Table'!J:J)-SUMIF('Data Table'!B:B,"&lt;="&amp;(TODAY()-30),'Data Table'!J:J))*(VLOOKUP((_xlfn.XLOOKUP(DSCountry,DS_Country_List,DS_Currency_List)),'FX Rates'!$A$1:$BQ$152,2)))</f>
        <v>141.14326040931545</v>
      </c>
      <c r="D9" s="212" t="s">
        <v>3</v>
      </c>
      <c r="E9" s="213"/>
      <c r="F9" s="159">
        <f t="shared" si="0"/>
        <v>0</v>
      </c>
      <c r="G9" s="114">
        <f t="shared" ref="G9:G21" si="1">IF($F9=0,0,$F9/$F$22)</f>
        <v>0</v>
      </c>
    </row>
    <row r="10" spans="2:9" ht="18.75" customHeight="1" x14ac:dyDescent="0.25">
      <c r="B10" s="131"/>
      <c r="C10" s="216"/>
      <c r="D10" s="212" t="s">
        <v>4</v>
      </c>
      <c r="E10" s="213"/>
      <c r="F10" s="160">
        <f t="shared" si="0"/>
        <v>0</v>
      </c>
      <c r="G10" s="115">
        <f t="shared" si="1"/>
        <v>0</v>
      </c>
    </row>
    <row r="11" spans="2:9" ht="18.75" customHeight="1" x14ac:dyDescent="0.25">
      <c r="B11" s="131"/>
      <c r="C11" s="216"/>
      <c r="D11" s="212" t="s">
        <v>597</v>
      </c>
      <c r="E11" s="213"/>
      <c r="F11" s="161">
        <f t="shared" si="0"/>
        <v>0</v>
      </c>
      <c r="G11" s="116">
        <f t="shared" si="1"/>
        <v>0</v>
      </c>
    </row>
    <row r="12" spans="2:9" ht="18.75" customHeight="1" x14ac:dyDescent="0.25">
      <c r="B12" s="131"/>
      <c r="C12" s="216"/>
      <c r="D12" s="212" t="s">
        <v>457</v>
      </c>
      <c r="E12" s="213"/>
      <c r="F12" s="162">
        <f t="shared" si="0"/>
        <v>0</v>
      </c>
      <c r="G12" s="117">
        <f t="shared" si="1"/>
        <v>0</v>
      </c>
    </row>
    <row r="13" spans="2:9" ht="18.75" customHeight="1" x14ac:dyDescent="0.3">
      <c r="B13" s="42"/>
      <c r="C13" s="134" t="str">
        <f>IF((RIGHT(SummaryView,5))="(USD)","Sum of All Expenditures (USD)","Sum of All Expenditures ("&amp;(_xlfn.XLOOKUP(DSCountry,DS_Country_List,DS_Currency_List))&amp;")")</f>
        <v>Sum of All Expenditures (USD)</v>
      </c>
      <c r="D13" s="212" t="s">
        <v>456</v>
      </c>
      <c r="E13" s="213"/>
      <c r="F13" s="163">
        <f t="shared" si="0"/>
        <v>0</v>
      </c>
      <c r="G13" s="118">
        <f t="shared" si="1"/>
        <v>0</v>
      </c>
    </row>
    <row r="14" spans="2:9" ht="18.75" customHeight="1" x14ac:dyDescent="0.25">
      <c r="B14" s="42"/>
      <c r="C14" s="214">
        <f>IF((RIGHT(SummaryView,5))="(USD)",SUM('Data Table'!J:J),SUM('Data Table'!J:J)*(VLOOKUP((_xlfn.XLOOKUP(DSCountry,DS_Country_List,DS_Currency_List)),'FX Rates'!$A$1:$BQ$152,2)))</f>
        <v>141.14326040931545</v>
      </c>
      <c r="D14" s="212" t="s">
        <v>447</v>
      </c>
      <c r="E14" s="213"/>
      <c r="F14" s="164">
        <f t="shared" si="0"/>
        <v>0</v>
      </c>
      <c r="G14" s="119">
        <f t="shared" si="1"/>
        <v>0</v>
      </c>
    </row>
    <row r="15" spans="2:9" ht="18.75" customHeight="1" x14ac:dyDescent="0.25">
      <c r="B15" s="42"/>
      <c r="C15" s="215"/>
      <c r="D15" s="212" t="s">
        <v>390</v>
      </c>
      <c r="E15" s="213"/>
      <c r="F15" s="165">
        <f t="shared" si="0"/>
        <v>0</v>
      </c>
      <c r="G15" s="120">
        <f t="shared" si="1"/>
        <v>0</v>
      </c>
    </row>
    <row r="16" spans="2:9" ht="18.75" customHeight="1" x14ac:dyDescent="0.25">
      <c r="B16" s="42"/>
      <c r="C16" s="215"/>
      <c r="D16" s="212" t="s">
        <v>9</v>
      </c>
      <c r="E16" s="213"/>
      <c r="F16" s="166">
        <f t="shared" si="0"/>
        <v>0</v>
      </c>
      <c r="G16" s="136">
        <f t="shared" si="1"/>
        <v>0</v>
      </c>
    </row>
    <row r="17" spans="2:7" ht="18.75" customHeight="1" x14ac:dyDescent="0.25">
      <c r="B17" s="42"/>
      <c r="C17" s="215"/>
      <c r="D17" s="212" t="s">
        <v>5</v>
      </c>
      <c r="E17" s="213"/>
      <c r="F17" s="172">
        <f t="shared" si="0"/>
        <v>0</v>
      </c>
      <c r="G17" s="173">
        <f t="shared" si="1"/>
        <v>0</v>
      </c>
    </row>
    <row r="18" spans="2:7" ht="18.75" customHeight="1" x14ac:dyDescent="0.3">
      <c r="B18" s="131"/>
      <c r="C18" s="133" t="str">
        <f>IF((RIGHT(SummaryView,5))="(USD)","Estimated Monthly Expenditures (USD)","Estimated Monthly Expenditures ("&amp;(_xlfn.XLOOKUP(DSCountry,DS_Country_List,DS_Currency_List))&amp;")")</f>
        <v>Estimated Monthly Expenditures (USD)</v>
      </c>
      <c r="D18" s="212" t="s">
        <v>396</v>
      </c>
      <c r="E18" s="213"/>
      <c r="F18" s="168">
        <f t="shared" si="0"/>
        <v>0</v>
      </c>
      <c r="G18" s="122">
        <f t="shared" si="1"/>
        <v>0</v>
      </c>
    </row>
    <row r="19" spans="2:7" ht="18.75" customHeight="1" x14ac:dyDescent="0.25">
      <c r="B19" s="131"/>
      <c r="C19" s="207">
        <f ca="1">IF((RIGHT(SummaryView,5))="(USD)",SUMIFS('Data Table'!J:J,'Data Table'!B:B,"&lt;="&amp;TODAY(),'Data Table'!I:I,"M")-SUMIFS('Data Table'!J:J,'Data Table'!B:B,"&lt;="&amp;(TODAY()-30),'Data Table'!I:I,"M")+(SUMIFS('Data Table'!J:J,'Data Table'!B:B,"&lt;="&amp;TODAY(),'Data Table'!I:I,"Y")/12)-(SUMIFS('Data Table'!J:J,'Data Table'!B:B,"&lt;="&amp;(TODAY()-360),'Data Table'!I:I,"Y")/12)+(SUMIFS('Data Table'!J:J,'Data Table'!B:B,"&lt;="&amp;TODAY(),'Data Table'!I:I,"5Y")/60-SUMIFS('Data Table'!J:J,'Data Table'!B:B,"&lt;="&amp;(TODAY()-1826),'Data Table'!I:I,"5Y")/60),'Summary Table Toggle'!$H$18)</f>
        <v>141.14326040931545</v>
      </c>
      <c r="D19" s="212" t="s">
        <v>372</v>
      </c>
      <c r="E19" s="213"/>
      <c r="F19" s="169">
        <f t="shared" si="0"/>
        <v>0</v>
      </c>
      <c r="G19" s="148">
        <f t="shared" si="1"/>
        <v>0</v>
      </c>
    </row>
    <row r="20" spans="2:7" ht="18.75" customHeight="1" x14ac:dyDescent="0.25">
      <c r="B20" s="131"/>
      <c r="C20" s="208"/>
      <c r="D20" s="212" t="s">
        <v>448</v>
      </c>
      <c r="E20" s="213"/>
      <c r="F20" s="170">
        <f t="shared" si="0"/>
        <v>0</v>
      </c>
      <c r="G20" s="123">
        <f t="shared" si="1"/>
        <v>0</v>
      </c>
    </row>
    <row r="21" spans="2:7" ht="18.75" customHeight="1" x14ac:dyDescent="0.25">
      <c r="B21" s="131"/>
      <c r="C21" s="208"/>
      <c r="D21" s="212" t="s">
        <v>8</v>
      </c>
      <c r="E21" s="213"/>
      <c r="F21" s="167">
        <f t="shared" si="0"/>
        <v>0</v>
      </c>
      <c r="G21" s="121">
        <f t="shared" si="1"/>
        <v>0</v>
      </c>
    </row>
    <row r="22" spans="2:7" ht="18.75" customHeight="1" x14ac:dyDescent="0.25">
      <c r="B22" s="132"/>
      <c r="C22" s="209"/>
      <c r="D22" s="126" t="s">
        <v>354</v>
      </c>
      <c r="E22" s="126"/>
      <c r="F22" s="171">
        <f t="shared" si="0"/>
        <v>141.14326040931545</v>
      </c>
      <c r="G22" s="127">
        <f>SUM(G8:G21)</f>
        <v>1</v>
      </c>
    </row>
  </sheetData>
  <sheetProtection algorithmName="SHA-512" hashValue="wBik6Lsu08bnj9ohsCTtXVHh4PDyBo47NUPQPaMTe8XrPGnPxR6v38hveHlOnclLkuHsRgfSGXJ/z8B9i2e/rA==" saltValue="/YzH3CZPl2ex7s0QSRoniw==" spinCount="100000" sheet="1" objects="1" scenarios="1"/>
  <protectedRanges>
    <protectedRange sqref="C4" name="Surrvey View Dropdown"/>
  </protectedRanges>
  <mergeCells count="21">
    <mergeCell ref="D3:G4"/>
    <mergeCell ref="B2:G2"/>
    <mergeCell ref="D10:E10"/>
    <mergeCell ref="D11:E11"/>
    <mergeCell ref="D12:E12"/>
    <mergeCell ref="C19:C22"/>
    <mergeCell ref="D6:G6"/>
    <mergeCell ref="D8:E8"/>
    <mergeCell ref="D9:E9"/>
    <mergeCell ref="D21:E21"/>
    <mergeCell ref="D16:E16"/>
    <mergeCell ref="D17:E17"/>
    <mergeCell ref="D18:E18"/>
    <mergeCell ref="D19:E19"/>
    <mergeCell ref="D20:E20"/>
    <mergeCell ref="C14:C17"/>
    <mergeCell ref="C9:C12"/>
    <mergeCell ref="C6:C7"/>
    <mergeCell ref="D13:E13"/>
    <mergeCell ref="D14:E14"/>
    <mergeCell ref="D15:E15"/>
  </mergeCells>
  <dataValidations count="1">
    <dataValidation type="list" showInputMessage="1" showErrorMessage="1" error="Clear and select summary view option from drop down list" sqref="C4" xr:uid="{90B17EDA-9A0E-4150-849F-DC710DC02D07}">
      <formula1>Summary_View_List</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44712-9B7C-4D10-992C-0B68F8E6B387}">
  <sheetPr codeName="Sheet3"/>
  <dimension ref="B1:I45"/>
  <sheetViews>
    <sheetView workbookViewId="0">
      <pane ySplit="3" topLeftCell="A4" activePane="bottomLeft" state="frozen"/>
      <selection pane="bottomLeft"/>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68"/>
      <c r="C2" s="69"/>
      <c r="D2" s="225" t="s">
        <v>347</v>
      </c>
      <c r="E2" s="230" t="s">
        <v>348</v>
      </c>
      <c r="F2" s="231"/>
      <c r="G2" s="232"/>
      <c r="H2" s="230" t="s">
        <v>349</v>
      </c>
      <c r="I2" s="235"/>
    </row>
    <row r="3" spans="2:9" ht="31.5" customHeight="1" thickBot="1" x14ac:dyDescent="0.3">
      <c r="B3" s="70"/>
      <c r="C3" s="71"/>
      <c r="D3" s="226"/>
      <c r="E3" s="72" t="str">
        <f>IF(ISBLANK(DSCountry),"Specify country in Data Table","Amount Spent in
Local Currency ("&amp;(_xlfn.XLOOKUP(DSCountry,DS_Country_List,DS_Currency_List))&amp;")")</f>
        <v>Amount Spent in
Local Currency (AUD)</v>
      </c>
      <c r="F3" s="233" t="s">
        <v>350</v>
      </c>
      <c r="G3" s="234"/>
      <c r="H3" s="236" t="s">
        <v>351</v>
      </c>
      <c r="I3" s="237"/>
    </row>
    <row r="4" spans="2:9" x14ac:dyDescent="0.25">
      <c r="B4" s="227"/>
      <c r="C4" s="14" t="s">
        <v>6</v>
      </c>
      <c r="D4" s="15"/>
      <c r="E4" s="16"/>
      <c r="F4" s="17"/>
      <c r="G4" s="18"/>
      <c r="H4" s="19"/>
      <c r="I4" s="20"/>
    </row>
    <row r="5" spans="2:9" x14ac:dyDescent="0.25">
      <c r="B5" s="228"/>
      <c r="C5" s="21">
        <v>1</v>
      </c>
      <c r="D5" s="21" t="s">
        <v>22</v>
      </c>
      <c r="E5" s="98">
        <f>SUMIFS('Data Table'!$G$8:$G$1000,'Data Table'!$D$8:$D$1000,_xlfn.XLOOKUP($C5,Item_List_Number,Item_List,"",0),'Data Table'!$F$8:$F$1000,"Inside",'Data Table'!$H$8:$H$1000,_xlfn.XLOOKUP(DSCountry,DS_Country_List,DS_Currency_List))</f>
        <v>200</v>
      </c>
      <c r="F5" s="97">
        <f>SUMIFS('Data Table'!$J$8:$J$1000,'Data Table'!$D$8:$D$1000,_xlfn.XLOOKUP($C5,Item_List_Number,Item_List,"",0),'Data Table'!$F$8:$F$1000,"Inside",'Data Table'!$H$8:$H$1000,"&lt;&gt;"&amp;_xlfn.XLOOKUP(DSCountry,DS_Country_List,DS_Currency_List))</f>
        <v>0</v>
      </c>
      <c r="G5" s="11" t="s">
        <v>124</v>
      </c>
      <c r="H5" s="96">
        <f>SUMIFS('Data Table'!$J$8:$J$1000,'Data Table'!$D$8:$D$1000,_xlfn.XLOOKUP($C5,Item_List_Number,Item_List,"",0),'Data Table'!$F$8:$F$1000,"Outside")</f>
        <v>0</v>
      </c>
      <c r="I5" s="13" t="s">
        <v>124</v>
      </c>
    </row>
    <row r="6" spans="2:9" x14ac:dyDescent="0.25">
      <c r="B6" s="228"/>
      <c r="C6" s="21">
        <v>2</v>
      </c>
      <c r="D6" s="21" t="s">
        <v>28</v>
      </c>
      <c r="E6" s="98">
        <f>SUMIFS('Data Table'!$G$8:$G$1000,'Data Table'!$D$8:$D$1000,'Monthly Expenses'!$J6,'Data Table'!$F$8:$F$1000,"Inside",'Data Table'!$H$8:$H$1000,_xlfn.XLOOKUP(DSCountry,DS_Country_List,DS_Currency_List))</f>
        <v>0</v>
      </c>
      <c r="F6" s="97">
        <f>SUMIFS('Data Table'!$J$8:$J$1000,'Data Table'!$D$8:$D$1000,'Monthly Expenses'!$J6,'Data Table'!$F$8:$F$1000,"Inside",'Data Table'!$H$8:$H$1000,"&lt;&gt;"&amp;_xlfn.XLOOKUP(DSCountry,DS_Country_List,DS_Currency_List))</f>
        <v>0</v>
      </c>
      <c r="G6" s="11" t="s">
        <v>124</v>
      </c>
      <c r="H6" s="96">
        <f>SUMIFS('Data Table'!$J$8:$J$1000,'Data Table'!$D$8:$D$1000,'Monthly Expenses'!$J6,'Data Table'!$F$8:$F$1000,"Outside")</f>
        <v>0</v>
      </c>
      <c r="I6" s="13" t="s">
        <v>124</v>
      </c>
    </row>
    <row r="7" spans="2:9" x14ac:dyDescent="0.25">
      <c r="B7" s="228"/>
      <c r="C7" s="26" t="s">
        <v>3</v>
      </c>
      <c r="D7" s="27"/>
      <c r="E7" s="28"/>
      <c r="F7" s="29"/>
      <c r="G7" s="30"/>
      <c r="H7" s="31"/>
      <c r="I7" s="32"/>
    </row>
    <row r="8" spans="2:9" x14ac:dyDescent="0.25">
      <c r="B8" s="228"/>
      <c r="C8" s="27">
        <v>3</v>
      </c>
      <c r="D8" s="27" t="s">
        <v>21</v>
      </c>
      <c r="E8" s="109">
        <f>SUMIFS('Data Table'!$G$8:$G$1000,'Data Table'!$D$8:$D$1000,_xlfn.XLOOKUP($C8,Item_List_Number,Item_List,"",0),'Data Table'!$F$8:$F$1000,"Inside",'Data Table'!$H$8:$H$1000,_xlfn.XLOOKUP(DSCountry,DS_Country_List,DS_Currency_List))</f>
        <v>0</v>
      </c>
      <c r="F8" s="108">
        <f>SUMIFS('Data Table'!$J$8:$J$1000,'Data Table'!$D$8:$D$1000,_xlfn.XLOOKUP($C8,Item_List_Number,Item_List,"",0),'Data Table'!$F$8:$F$1000,"Inside",'Data Table'!$H$8:$H$1000,"&lt;&gt;"&amp;_xlfn.XLOOKUP(DSCountry,DS_Country_List,DS_Currency_List))</f>
        <v>0</v>
      </c>
      <c r="G8" s="30" t="s">
        <v>124</v>
      </c>
      <c r="H8" s="110">
        <f>SUMIFS('Data Table'!$J$8:$J$1000,'Data Table'!$D$8:$D$1000,_xlfn.XLOOKUP($C8,Item_List_Number,Item_List,"",0),'Data Table'!$F$8:$F$1000,"Outside")</f>
        <v>0</v>
      </c>
      <c r="I8" s="32" t="s">
        <v>124</v>
      </c>
    </row>
    <row r="9" spans="2:9" x14ac:dyDescent="0.25">
      <c r="B9" s="228"/>
      <c r="C9" s="27">
        <v>4</v>
      </c>
      <c r="D9" s="27" t="s">
        <v>27</v>
      </c>
      <c r="E9" s="109">
        <f>SUMIFS('Data Table'!$G$8:$G$1000,'Data Table'!$D$8:$D$1000,_xlfn.XLOOKUP($C9,Item_List_Number,Item_List,"",0),'Data Table'!$F$8:$F$1000,"Inside",'Data Table'!$H$8:$H$1000,_xlfn.XLOOKUP(DSCountry,DS_Country_List,DS_Currency_List))</f>
        <v>0</v>
      </c>
      <c r="F9" s="108">
        <f>SUMIFS('Data Table'!$J$8:$J$1000,'Data Table'!$D$8:$D$1000,_xlfn.XLOOKUP($C9,Item_List_Number,Item_List,"",0),'Data Table'!$F$8:$F$1000,"Inside",'Data Table'!$H$8:$H$1000,"&lt;&gt;"&amp;_xlfn.XLOOKUP(DSCountry,DS_Country_List,DS_Currency_List))</f>
        <v>0</v>
      </c>
      <c r="G9" s="30" t="s">
        <v>124</v>
      </c>
      <c r="H9" s="110">
        <f>SUMIFS('Data Table'!$J$8:$J$1000,'Data Table'!$D$8:$D$1000,_xlfn.XLOOKUP($C9,Item_List_Number,Item_List,"",0),'Data Table'!$F$8:$F$1000,"Outside")</f>
        <v>0</v>
      </c>
      <c r="I9" s="32" t="s">
        <v>124</v>
      </c>
    </row>
    <row r="10" spans="2:9" x14ac:dyDescent="0.25">
      <c r="B10" s="228"/>
      <c r="C10" s="22" t="s">
        <v>4</v>
      </c>
      <c r="D10" s="21"/>
      <c r="E10" s="9"/>
      <c r="F10" s="10"/>
      <c r="G10" s="11"/>
      <c r="H10" s="12"/>
      <c r="I10" s="13"/>
    </row>
    <row r="11" spans="2:9" x14ac:dyDescent="0.25">
      <c r="B11" s="228"/>
      <c r="C11" s="21">
        <v>5</v>
      </c>
      <c r="D11" s="21" t="s">
        <v>619</v>
      </c>
      <c r="E11" s="98">
        <f>SUMIFS('Data Table'!$G$8:$G$1000,'Data Table'!$D$8:$D$1000,_xlfn.XLOOKUP($C11,Item_List_Number,Item_List,"",0),'Data Table'!$F$8:$F$1000,"Inside",'Data Table'!$H$8:$H$1000,_xlfn.XLOOKUP(DSCountry,DS_Country_List,DS_Currency_List))</f>
        <v>0</v>
      </c>
      <c r="F11" s="97">
        <f>SUMIFS('Data Table'!$J$8:$J$1000,'Data Table'!$D$8:$D$1000,_xlfn.XLOOKUP($C11,Item_List_Number,Item_List,"",0),'Data Table'!$F$8:$F$1000,"Inside",'Data Table'!$H$8:$H$1000,"&lt;&gt;"&amp;_xlfn.XLOOKUP(DSCountry,DS_Country_List,DS_Currency_List))</f>
        <v>0</v>
      </c>
      <c r="G11" s="11" t="s">
        <v>124</v>
      </c>
      <c r="H11" s="96">
        <f>SUMIFS('Data Table'!$J$8:$J$1000,'Data Table'!$D$8:$D$1000,_xlfn.XLOOKUP($C11,Item_List_Number,Item_List,"",0),'Data Table'!$F$8:$F$1000,"Outside")</f>
        <v>0</v>
      </c>
      <c r="I11" s="13" t="s">
        <v>124</v>
      </c>
    </row>
    <row r="12" spans="2:9" x14ac:dyDescent="0.25">
      <c r="B12" s="228"/>
      <c r="C12" s="26" t="s">
        <v>7</v>
      </c>
      <c r="D12" s="27"/>
      <c r="E12" s="28"/>
      <c r="F12" s="29"/>
      <c r="G12" s="30"/>
      <c r="H12" s="31"/>
      <c r="I12" s="32"/>
    </row>
    <row r="13" spans="2:9" x14ac:dyDescent="0.25">
      <c r="B13" s="228"/>
      <c r="C13" s="27">
        <v>6</v>
      </c>
      <c r="D13" s="27" t="s">
        <v>620</v>
      </c>
      <c r="E13" s="109">
        <f>SUMIFS('Data Table'!$G$8:$G$1000,'Data Table'!$D$8:$D$1000,_xlfn.XLOOKUP($C13,Item_List_Number,Item_List,"",0),'Data Table'!$F$8:$F$1000,"Inside",'Data Table'!$H$8:$H$1000,_xlfn.XLOOKUP(DSCountry,DS_Country_List,DS_Currency_List))</f>
        <v>0</v>
      </c>
      <c r="F13" s="108">
        <f>SUMIFS('Data Table'!$J$8:$J$1000,'Data Table'!$D$8:$D$1000,_xlfn.XLOOKUP($C13,Item_List_Number,Item_List,"",0),'Data Table'!$F$8:$F$1000,"Inside",'Data Table'!$H$8:$H$1000,"&lt;&gt;"&amp;_xlfn.XLOOKUP(DSCountry,DS_Country_List,DS_Currency_List))</f>
        <v>0</v>
      </c>
      <c r="G13" s="30" t="s">
        <v>124</v>
      </c>
      <c r="H13" s="110">
        <f>SUMIFS('Data Table'!$J$8:$J$1000,'Data Table'!$D$8:$D$1000,_xlfn.XLOOKUP($C13,Item_List_Number,Item_List,"",0),'Data Table'!$F$8:$F$1000,"Outside")</f>
        <v>0</v>
      </c>
      <c r="I13" s="32" t="s">
        <v>124</v>
      </c>
    </row>
    <row r="14" spans="2:9" x14ac:dyDescent="0.25">
      <c r="B14" s="228"/>
      <c r="C14" s="22" t="s">
        <v>359</v>
      </c>
      <c r="D14" s="21"/>
      <c r="E14" s="9"/>
      <c r="F14" s="10"/>
      <c r="G14" s="11"/>
      <c r="H14" s="12"/>
      <c r="I14" s="13"/>
    </row>
    <row r="15" spans="2:9" x14ac:dyDescent="0.25">
      <c r="B15" s="228"/>
      <c r="C15" s="21">
        <v>7</v>
      </c>
      <c r="D15" s="21" t="s">
        <v>491</v>
      </c>
      <c r="E15" s="98">
        <f>SUMIFS('Data Table'!$G$8:$G$1000,'Data Table'!$D$8:$D$1000,_xlfn.XLOOKUP($C15,Item_List_Number,Item_List,"",0),'Data Table'!$F$8:$F$1000,"Inside",'Data Table'!$H$8:$H$1000,_xlfn.XLOOKUP(DSCountry,DS_Country_List,DS_Currency_List))</f>
        <v>0</v>
      </c>
      <c r="F15" s="97">
        <f>SUMIFS('Data Table'!$J$8:$J$1000,'Data Table'!$D$8:$D$1000,_xlfn.XLOOKUP($C15,Item_List_Number,Item_List,"",0),'Data Table'!$F$8:$F$1000,"Inside",'Data Table'!$H$8:$H$1000,"&lt;&gt;"&amp;_xlfn.XLOOKUP(DSCountry,DS_Country_List,DS_Currency_List))</f>
        <v>0</v>
      </c>
      <c r="G15" s="11" t="s">
        <v>124</v>
      </c>
      <c r="H15" s="96">
        <f>SUMIFS('Data Table'!$J$8:$J$1000,'Data Table'!$D$8:$D$1000,_xlfn.XLOOKUP($C15,Item_List_Number,Item_List,"",0),'Data Table'!$F$8:$F$1000,"Outside")</f>
        <v>0</v>
      </c>
      <c r="I15" s="13" t="s">
        <v>124</v>
      </c>
    </row>
    <row r="16" spans="2:9" x14ac:dyDescent="0.25">
      <c r="B16" s="228"/>
      <c r="C16" s="26" t="s">
        <v>10</v>
      </c>
      <c r="D16" s="27"/>
      <c r="E16" s="28"/>
      <c r="F16" s="29"/>
      <c r="G16" s="30"/>
      <c r="H16" s="31"/>
      <c r="I16" s="32"/>
    </row>
    <row r="17" spans="2:9" x14ac:dyDescent="0.25">
      <c r="B17" s="228"/>
      <c r="C17" s="27">
        <v>8</v>
      </c>
      <c r="D17" s="27" t="s">
        <v>33</v>
      </c>
      <c r="E17" s="109">
        <f>SUMIFS('Data Table'!$G$8:$G$1000,'Data Table'!$D$8:$D$1000,_xlfn.XLOOKUP($C17,Item_List_Number,Item_List,"",0),'Data Table'!$F$8:$F$1000,"Inside",'Data Table'!$H$8:$H$1000,_xlfn.XLOOKUP(DSCountry,DS_Country_List,DS_Currency_List))</f>
        <v>0</v>
      </c>
      <c r="F17" s="108">
        <f>SUMIFS('Data Table'!$J$8:$J$1000,'Data Table'!$D$8:$D$1000,_xlfn.XLOOKUP($C17,Item_List_Number,Item_List,"",0),'Data Table'!$F$8:$F$1000,"Inside",'Data Table'!$H$8:$H$1000,"&lt;&gt;"&amp;_xlfn.XLOOKUP(DSCountry,DS_Country_List,DS_Currency_List))</f>
        <v>0</v>
      </c>
      <c r="G17" s="30" t="s">
        <v>124</v>
      </c>
      <c r="H17" s="110">
        <f>SUMIFS('Data Table'!$J$8:$J$1000,'Data Table'!$D$8:$D$1000,_xlfn.XLOOKUP($C17,Item_List_Number,Item_List,"",0),'Data Table'!$F$8:$F$1000,"Outside")</f>
        <v>0</v>
      </c>
      <c r="I17" s="32" t="s">
        <v>124</v>
      </c>
    </row>
    <row r="18" spans="2:9" x14ac:dyDescent="0.25">
      <c r="B18" s="228"/>
      <c r="C18" s="27">
        <v>9</v>
      </c>
      <c r="D18" s="27" t="s">
        <v>364</v>
      </c>
      <c r="E18" s="109">
        <f>SUMIFS('Data Table'!$G$8:$G$1000,'Data Table'!$D$8:$D$1000,_xlfn.XLOOKUP($C18,Item_List_Number,Item_List,"",0),'Data Table'!$F$8:$F$1000,"Inside",'Data Table'!$H$8:$H$1000,_xlfn.XLOOKUP(DSCountry,DS_Country_List,DS_Currency_List))</f>
        <v>0</v>
      </c>
      <c r="F18" s="108">
        <f>SUMIFS('Data Table'!$J$8:$J$1000,'Data Table'!$D$8:$D$1000,_xlfn.XLOOKUP($C18,Item_List_Number,Item_List,"",0),'Data Table'!$F$8:$F$1000,"Inside",'Data Table'!$H$8:$H$1000,"&lt;&gt;"&amp;_xlfn.XLOOKUP(DSCountry,DS_Country_List,DS_Currency_List))</f>
        <v>0</v>
      </c>
      <c r="G18" s="30" t="s">
        <v>124</v>
      </c>
      <c r="H18" s="110">
        <f>SUMIFS('Data Table'!$J$8:$J$1000,'Data Table'!$D$8:$D$1000,_xlfn.XLOOKUP($C18,Item_List_Number,Item_List,"",0),'Data Table'!$F$8:$F$1000,"Outside")</f>
        <v>0</v>
      </c>
      <c r="I18" s="32" t="s">
        <v>124</v>
      </c>
    </row>
    <row r="19" spans="2:9" x14ac:dyDescent="0.25">
      <c r="B19" s="228"/>
      <c r="C19" s="27">
        <v>10</v>
      </c>
      <c r="D19" s="27" t="s">
        <v>365</v>
      </c>
      <c r="E19" s="109">
        <f>SUMIFS('Data Table'!$G$8:$G$1000,'Data Table'!$D$8:$D$1000,_xlfn.XLOOKUP($C19,Item_List_Number,Item_List,"",0),'Data Table'!$F$8:$F$1000,"Inside",'Data Table'!$H$8:$H$1000,_xlfn.XLOOKUP(DSCountry,DS_Country_List,DS_Currency_List))</f>
        <v>0</v>
      </c>
      <c r="F19" s="108">
        <f>SUMIFS('Data Table'!$J$8:$J$1000,'Data Table'!$D$8:$D$1000,_xlfn.XLOOKUP($C19,Item_List_Number,Item_List,"",0),'Data Table'!$F$8:$F$1000,"Inside",'Data Table'!$H$8:$H$1000,"&lt;&gt;"&amp;_xlfn.XLOOKUP(DSCountry,DS_Country_List,DS_Currency_List))</f>
        <v>0</v>
      </c>
      <c r="G19" s="30" t="s">
        <v>124</v>
      </c>
      <c r="H19" s="110">
        <f>SUMIFS('Data Table'!$J$8:$J$1000,'Data Table'!$D$8:$D$1000,_xlfn.XLOOKUP($C19,Item_List_Number,Item_List,"",0),'Data Table'!$F$8:$F$1000,"Outside")</f>
        <v>0</v>
      </c>
      <c r="I19" s="32" t="s">
        <v>124</v>
      </c>
    </row>
    <row r="20" spans="2:9" x14ac:dyDescent="0.25">
      <c r="B20" s="228"/>
      <c r="C20" s="27">
        <v>11</v>
      </c>
      <c r="D20" s="27" t="s">
        <v>366</v>
      </c>
      <c r="E20" s="109">
        <f>SUMIFS('Data Table'!$G$8:$G$1000,'Data Table'!$D$8:$D$1000,_xlfn.XLOOKUP($C20,Item_List_Number,Item_List,"",0),'Data Table'!$F$8:$F$1000,"Inside",'Data Table'!$H$8:$H$1000,_xlfn.XLOOKUP(DSCountry,DS_Country_List,DS_Currency_List))</f>
        <v>0</v>
      </c>
      <c r="F20" s="108">
        <f>SUMIFS('Data Table'!$J$8:$J$1000,'Data Table'!$D$8:$D$1000,_xlfn.XLOOKUP($C20,Item_List_Number,Item_List,"",0),'Data Table'!$F$8:$F$1000,"Inside",'Data Table'!$H$8:$H$1000,"&lt;&gt;"&amp;_xlfn.XLOOKUP(DSCountry,DS_Country_List,DS_Currency_List))</f>
        <v>0</v>
      </c>
      <c r="G20" s="30" t="s">
        <v>124</v>
      </c>
      <c r="H20" s="110">
        <f>SUMIFS('Data Table'!$J$8:$J$1000,'Data Table'!$D$8:$D$1000,_xlfn.XLOOKUP($C20,Item_List_Number,Item_List,"",0),'Data Table'!$F$8:$F$1000,"Outside")</f>
        <v>0</v>
      </c>
      <c r="I20" s="32" t="s">
        <v>124</v>
      </c>
    </row>
    <row r="21" spans="2:9" x14ac:dyDescent="0.25">
      <c r="B21" s="228"/>
      <c r="C21" s="22" t="s">
        <v>390</v>
      </c>
      <c r="D21" s="21"/>
      <c r="E21" s="9"/>
      <c r="F21" s="10"/>
      <c r="G21" s="11"/>
      <c r="H21" s="12"/>
      <c r="I21" s="13"/>
    </row>
    <row r="22" spans="2:9" x14ac:dyDescent="0.25">
      <c r="B22" s="228"/>
      <c r="C22" s="21">
        <v>12</v>
      </c>
      <c r="D22" s="21" t="s">
        <v>360</v>
      </c>
      <c r="E22" s="98">
        <f>SUMIFS('Data Table'!$G$8:$G$1000,'Data Table'!$D$8:$D$1000,_xlfn.XLOOKUP($C22,Item_List_Number,Item_List,"",0),'Data Table'!$F$8:$F$1000,"Inside",'Data Table'!$H$8:$H$1000,_xlfn.XLOOKUP(DSCountry,DS_Country_List,DS_Currency_List))</f>
        <v>0</v>
      </c>
      <c r="F22" s="97">
        <f>SUMIFS('Data Table'!$J$8:$J$1000,'Data Table'!$D$8:$D$1000,_xlfn.XLOOKUP($C22,Item_List_Number,Item_List,"",0),'Data Table'!$F$8:$F$1000,"Inside",'Data Table'!$H$8:$H$1000,"&lt;&gt;"&amp;_xlfn.XLOOKUP(DSCountry,DS_Country_List,DS_Currency_List))</f>
        <v>0</v>
      </c>
      <c r="G22" s="11" t="s">
        <v>124</v>
      </c>
      <c r="H22" s="96">
        <f>SUMIFS('Data Table'!$J$8:$J$1000,'Data Table'!$D$8:$D$1000,_xlfn.XLOOKUP($C22,Item_List_Number,Item_List,"",0),'Data Table'!$F$8:$F$1000,"Outside")</f>
        <v>0</v>
      </c>
      <c r="I22" s="13" t="s">
        <v>124</v>
      </c>
    </row>
    <row r="23" spans="2:9" x14ac:dyDescent="0.25">
      <c r="B23" s="228"/>
      <c r="C23" s="26" t="s">
        <v>367</v>
      </c>
      <c r="D23" s="27"/>
      <c r="E23" s="28"/>
      <c r="F23" s="29"/>
      <c r="G23" s="30"/>
      <c r="H23" s="31"/>
      <c r="I23" s="32"/>
    </row>
    <row r="24" spans="2:9" x14ac:dyDescent="0.25">
      <c r="B24" s="228"/>
      <c r="C24" s="27">
        <v>13</v>
      </c>
      <c r="D24" s="27" t="s">
        <v>361</v>
      </c>
      <c r="E24" s="109">
        <f>SUMIFS('Data Table'!$G$8:$G$1000,'Data Table'!$D$8:$D$1000,_xlfn.XLOOKUP($C24,Item_List_Number,Item_List,"",0),'Data Table'!$F$8:$F$1000,"Inside",'Data Table'!$H$8:$H$1000,_xlfn.XLOOKUP(DSCountry,DS_Country_List,DS_Currency_List))</f>
        <v>0</v>
      </c>
      <c r="F24" s="108">
        <f>SUMIFS('Data Table'!$J$8:$J$1000,'Data Table'!$D$8:$D$1000,_xlfn.XLOOKUP($C24,Item_List_Number,Item_List,"",0),'Data Table'!$F$8:$F$1000,"Inside",'Data Table'!$H$8:$H$1000,"&lt;&gt;"&amp;_xlfn.XLOOKUP(DSCountry,DS_Country_List,DS_Currency_List))</f>
        <v>0</v>
      </c>
      <c r="G24" s="30" t="s">
        <v>124</v>
      </c>
      <c r="H24" s="110">
        <f>SUMIFS('Data Table'!$J$8:$J$1000,'Data Table'!$D$8:$D$1000,_xlfn.XLOOKUP($C24,Item_List_Number,Item_List,"",0),'Data Table'!$F$8:$F$1000,"Outside")</f>
        <v>0</v>
      </c>
      <c r="I24" s="32" t="s">
        <v>124</v>
      </c>
    </row>
    <row r="25" spans="2:9" x14ac:dyDescent="0.25">
      <c r="B25" s="228"/>
      <c r="C25" s="27">
        <v>14</v>
      </c>
      <c r="D25" s="27" t="s">
        <v>362</v>
      </c>
      <c r="E25" s="109">
        <f>SUMIFS('Data Table'!$G$8:$G$1000,'Data Table'!$D$8:$D$1000,_xlfn.XLOOKUP($C25,Item_List_Number,Item_List,"",0),'Data Table'!$F$8:$F$1000,"Inside",'Data Table'!$H$8:$H$1000,_xlfn.XLOOKUP(DSCountry,DS_Country_List,DS_Currency_List))</f>
        <v>0</v>
      </c>
      <c r="F25" s="108">
        <f>SUMIFS('Data Table'!$J$8:$J$1000,'Data Table'!$D$8:$D$1000,_xlfn.XLOOKUP($C25,Item_List_Number,Item_List,"",0),'Data Table'!$F$8:$F$1000,"Inside",'Data Table'!$H$8:$H$1000,"&lt;&gt;"&amp;_xlfn.XLOOKUP(DSCountry,DS_Country_List,DS_Currency_List))</f>
        <v>0</v>
      </c>
      <c r="G25" s="30" t="s">
        <v>124</v>
      </c>
      <c r="H25" s="110">
        <f>SUMIFS('Data Table'!$J$8:$J$1000,'Data Table'!$D$8:$D$1000,_xlfn.XLOOKUP($C25,Item_List_Number,Item_List,"",0),'Data Table'!$F$8:$F$1000,"Outside")</f>
        <v>0</v>
      </c>
      <c r="I25" s="32" t="s">
        <v>124</v>
      </c>
    </row>
    <row r="26" spans="2:9" x14ac:dyDescent="0.25">
      <c r="B26" s="228"/>
      <c r="C26" s="27">
        <v>15</v>
      </c>
      <c r="D26" s="27" t="s">
        <v>363</v>
      </c>
      <c r="E26" s="109">
        <f>SUMIFS('Data Table'!$G$8:$G$1000,'Data Table'!$D$8:$D$1000,_xlfn.XLOOKUP($C26,Item_List_Number,Item_List,"",0),'Data Table'!$F$8:$F$1000,"Inside",'Data Table'!$H$8:$H$1000,_xlfn.XLOOKUP(DSCountry,DS_Country_List,DS_Currency_List))</f>
        <v>0</v>
      </c>
      <c r="F26" s="108">
        <f>SUMIFS('Data Table'!$J$8:$J$1000,'Data Table'!$D$8:$D$1000,_xlfn.XLOOKUP($C26,Item_List_Number,Item_List,"",0),'Data Table'!$F$8:$F$1000,"Inside",'Data Table'!$H$8:$H$1000,"&lt;&gt;"&amp;_xlfn.XLOOKUP(DSCountry,DS_Country_List,DS_Currency_List))</f>
        <v>0</v>
      </c>
      <c r="G26" s="30" t="s">
        <v>124</v>
      </c>
      <c r="H26" s="110">
        <f>SUMIFS('Data Table'!$J$8:$J$1000,'Data Table'!$D$8:$D$1000,_xlfn.XLOOKUP($C26,Item_List_Number,Item_List,"",0),'Data Table'!$F$8:$F$1000,"Outside")</f>
        <v>0</v>
      </c>
      <c r="I26" s="32" t="s">
        <v>124</v>
      </c>
    </row>
    <row r="27" spans="2:9" x14ac:dyDescent="0.25">
      <c r="B27" s="228"/>
      <c r="C27" s="27">
        <v>16</v>
      </c>
      <c r="D27" s="27" t="s">
        <v>368</v>
      </c>
      <c r="E27" s="109">
        <f>SUMIFS('Data Table'!$G$8:$G$1000,'Data Table'!$D$8:$D$1000,_xlfn.XLOOKUP($C27,Item_List_Number,Item_List,"",0),'Data Table'!$F$8:$F$1000,"Inside",'Data Table'!$H$8:$H$1000,_xlfn.XLOOKUP(DSCountry,DS_Country_List,DS_Currency_List))</f>
        <v>0</v>
      </c>
      <c r="F27" s="108">
        <f>SUMIFS('Data Table'!$J$8:$J$1000,'Data Table'!$D$8:$D$1000,_xlfn.XLOOKUP($C27,Item_List_Number,Item_List,"",0),'Data Table'!$F$8:$F$1000,"Inside",'Data Table'!$H$8:$H$1000,"&lt;&gt;"&amp;_xlfn.XLOOKUP(DSCountry,DS_Country_List,DS_Currency_List))</f>
        <v>0</v>
      </c>
      <c r="G27" s="30" t="s">
        <v>124</v>
      </c>
      <c r="H27" s="110">
        <f>SUMIFS('Data Table'!$J$8:$J$1000,'Data Table'!$D$8:$D$1000,_xlfn.XLOOKUP($C27,Item_List_Number,Item_List,"",0),'Data Table'!$F$8:$F$1000,"Outside")</f>
        <v>0</v>
      </c>
      <c r="I27" s="32" t="s">
        <v>124</v>
      </c>
    </row>
    <row r="28" spans="2:9" x14ac:dyDescent="0.25">
      <c r="B28" s="228"/>
      <c r="C28" s="27">
        <v>17</v>
      </c>
      <c r="D28" s="27" t="s">
        <v>369</v>
      </c>
      <c r="E28" s="109">
        <f>SUMIFS('Data Table'!$G$8:$G$1000,'Data Table'!$D$8:$D$1000,_xlfn.XLOOKUP($C28,Item_List_Number,Item_List,"",0),'Data Table'!$F$8:$F$1000,"Inside",'Data Table'!$H$8:$H$1000,_xlfn.XLOOKUP(DSCountry,DS_Country_List,DS_Currency_List))</f>
        <v>0</v>
      </c>
      <c r="F28" s="108">
        <f>SUMIFS('Data Table'!$J$8:$J$1000,'Data Table'!$D$8:$D$1000,_xlfn.XLOOKUP($C28,Item_List_Number,Item_List,"",0),'Data Table'!$F$8:$F$1000,"Inside",'Data Table'!$H$8:$H$1000,"&lt;&gt;"&amp;_xlfn.XLOOKUP(DSCountry,DS_Country_List,DS_Currency_List))</f>
        <v>0</v>
      </c>
      <c r="G28" s="30" t="s">
        <v>124</v>
      </c>
      <c r="H28" s="110">
        <f>SUMIFS('Data Table'!$J$8:$J$1000,'Data Table'!$D$8:$D$1000,_xlfn.XLOOKUP($C28,Item_List_Number,Item_List,"",0),'Data Table'!$F$8:$F$1000,"Outside")</f>
        <v>0</v>
      </c>
      <c r="I28" s="32" t="s">
        <v>124</v>
      </c>
    </row>
    <row r="29" spans="2:9" x14ac:dyDescent="0.25">
      <c r="B29" s="228"/>
      <c r="C29" s="22" t="s">
        <v>396</v>
      </c>
      <c r="D29" s="21"/>
      <c r="E29" s="9"/>
      <c r="F29" s="10"/>
      <c r="G29" s="11"/>
      <c r="H29" s="12"/>
      <c r="I29" s="13"/>
    </row>
    <row r="30" spans="2:9" x14ac:dyDescent="0.25">
      <c r="B30" s="228"/>
      <c r="C30" s="21">
        <v>18</v>
      </c>
      <c r="D30" s="21" t="s">
        <v>370</v>
      </c>
      <c r="E30" s="98">
        <f>SUMIFS('Data Table'!$G$8:$G$1000,'Data Table'!$D$8:$D$1000,_xlfn.XLOOKUP($C30,Item_List_Number,Item_List,"",0),'Data Table'!$F$8:$F$1000,"Inside",'Data Table'!$H$8:$H$1000,_xlfn.XLOOKUP(DSCountry,DS_Country_List,DS_Currency_List))</f>
        <v>0</v>
      </c>
      <c r="F30" s="97">
        <f>SUMIFS('Data Table'!$J$8:$J$1000,'Data Table'!$D$8:$D$1000,_xlfn.XLOOKUP($C30,Item_List_Number,Item_List,"",0),'Data Table'!$F$8:$F$1000,"Inside",'Data Table'!$H$8:$H$1000,"&lt;&gt;"&amp;_xlfn.XLOOKUP(DSCountry,DS_Country_List,DS_Currency_List))</f>
        <v>0</v>
      </c>
      <c r="G30" s="11" t="s">
        <v>124</v>
      </c>
      <c r="H30" s="96">
        <f>SUMIFS('Data Table'!$J$8:$J$1000,'Data Table'!$D$8:$D$1000,_xlfn.XLOOKUP($C30,Item_List_Number,Item_List,"",0),'Data Table'!$F$8:$F$1000,"Outside")</f>
        <v>0</v>
      </c>
      <c r="I30" s="13" t="s">
        <v>124</v>
      </c>
    </row>
    <row r="31" spans="2:9" x14ac:dyDescent="0.25">
      <c r="B31" s="228"/>
      <c r="C31" s="21">
        <v>19</v>
      </c>
      <c r="D31" s="21" t="s">
        <v>371</v>
      </c>
      <c r="E31" s="98">
        <f>SUMIFS('Data Table'!$G$8:$G$1000,'Data Table'!$D$8:$D$1000,_xlfn.XLOOKUP($C31,Item_List_Number,Item_List,"",0),'Data Table'!$F$8:$F$1000,"Inside",'Data Table'!$H$8:$H$1000,_xlfn.XLOOKUP(DSCountry,DS_Country_List,DS_Currency_List))</f>
        <v>0</v>
      </c>
      <c r="F31" s="97">
        <f>SUMIFS('Data Table'!$J$8:$J$1000,'Data Table'!$D$8:$D$1000,_xlfn.XLOOKUP($C31,Item_List_Number,Item_List,"",0),'Data Table'!$F$8:$F$1000,"Inside",'Data Table'!$H$8:$H$1000,"&lt;&gt;"&amp;_xlfn.XLOOKUP(DSCountry,DS_Country_List,DS_Currency_List))</f>
        <v>0</v>
      </c>
      <c r="G31" s="11" t="s">
        <v>124</v>
      </c>
      <c r="H31" s="96">
        <f>SUMIFS('Data Table'!$J$8:$J$1000,'Data Table'!$D$8:$D$1000,_xlfn.XLOOKUP($C31,Item_List_Number,Item_List,"",0),'Data Table'!$F$8:$F$1000,"Outside")</f>
        <v>0</v>
      </c>
      <c r="I31" s="13" t="s">
        <v>124</v>
      </c>
    </row>
    <row r="32" spans="2:9" x14ac:dyDescent="0.25">
      <c r="B32" s="228"/>
      <c r="C32" s="26" t="s">
        <v>372</v>
      </c>
      <c r="D32" s="27"/>
      <c r="E32" s="28"/>
      <c r="F32" s="29"/>
      <c r="G32" s="30"/>
      <c r="H32" s="31"/>
      <c r="I32" s="32"/>
    </row>
    <row r="33" spans="2:9" x14ac:dyDescent="0.25">
      <c r="B33" s="228"/>
      <c r="C33" s="27">
        <v>20</v>
      </c>
      <c r="D33" s="27" t="s">
        <v>373</v>
      </c>
      <c r="E33" s="109">
        <f>SUMIFS('Data Table'!$G$8:$G$1000,'Data Table'!$D$8:$D$1000,_xlfn.XLOOKUP($C33,Item_List_Number,Item_List,"",0),'Data Table'!$F$8:$F$1000,"Inside",'Data Table'!$H$8:$H$1000,_xlfn.XLOOKUP(DSCountry,DS_Country_List,DS_Currency_List))</f>
        <v>0</v>
      </c>
      <c r="F33" s="108">
        <f>SUMIFS('Data Table'!$J$8:$J$1000,'Data Table'!$D$8:$D$1000,_xlfn.XLOOKUP($C33,Item_List_Number,Item_List,"",0),'Data Table'!$F$8:$F$1000,"Inside",'Data Table'!$H$8:$H$1000,"&lt;&gt;"&amp;_xlfn.XLOOKUP(DSCountry,DS_Country_List,DS_Currency_List))</f>
        <v>0</v>
      </c>
      <c r="G33" s="30" t="s">
        <v>124</v>
      </c>
      <c r="H33" s="110">
        <f>SUMIFS('Data Table'!$J$8:$J$1000,'Data Table'!$D$8:$D$1000,_xlfn.XLOOKUP($C33,Item_List_Number,Item_List,"",0),'Data Table'!$F$8:$F$1000,"Outside")</f>
        <v>0</v>
      </c>
      <c r="I33" s="32" t="s">
        <v>124</v>
      </c>
    </row>
    <row r="34" spans="2:9" x14ac:dyDescent="0.25">
      <c r="B34" s="228"/>
      <c r="C34" s="27">
        <v>21</v>
      </c>
      <c r="D34" s="27" t="s">
        <v>374</v>
      </c>
      <c r="E34" s="109">
        <f>SUMIFS('Data Table'!$G$8:$G$1000,'Data Table'!$D$8:$D$1000,_xlfn.XLOOKUP($C34,Item_List_Number,Item_List,"",0),'Data Table'!$F$8:$F$1000,"Inside",'Data Table'!$H$8:$H$1000,_xlfn.XLOOKUP(DSCountry,DS_Country_List,DS_Currency_List))</f>
        <v>0</v>
      </c>
      <c r="F34" s="108">
        <f>SUMIFS('Data Table'!$J$8:$J$1000,'Data Table'!$D$8:$D$1000,_xlfn.XLOOKUP($C34,Item_List_Number,Item_List,"",0),'Data Table'!$F$8:$F$1000,"Inside",'Data Table'!$H$8:$H$1000,"&lt;&gt;"&amp;_xlfn.XLOOKUP(DSCountry,DS_Country_List,DS_Currency_List))</f>
        <v>0</v>
      </c>
      <c r="G34" s="30" t="s">
        <v>124</v>
      </c>
      <c r="H34" s="110">
        <f>SUMIFS('Data Table'!$J$8:$J$1000,'Data Table'!$D$8:$D$1000,_xlfn.XLOOKUP($C34,Item_List_Number,Item_List,"",0),'Data Table'!$F$8:$F$1000,"Outside")</f>
        <v>0</v>
      </c>
      <c r="I34" s="32" t="s">
        <v>124</v>
      </c>
    </row>
    <row r="35" spans="2:9" x14ac:dyDescent="0.25">
      <c r="B35" s="228"/>
      <c r="C35" s="27">
        <v>22</v>
      </c>
      <c r="D35" s="27" t="s">
        <v>375</v>
      </c>
      <c r="E35" s="109">
        <f>SUMIFS('Data Table'!$G$8:$G$1000,'Data Table'!$D$8:$D$1000,_xlfn.XLOOKUP($C35,Item_List_Number,Item_List,"",0),'Data Table'!$F$8:$F$1000,"Inside",'Data Table'!$H$8:$H$1000,_xlfn.XLOOKUP(DSCountry,DS_Country_List,DS_Currency_List))</f>
        <v>0</v>
      </c>
      <c r="F35" s="108">
        <f>SUMIFS('Data Table'!$J$8:$J$1000,'Data Table'!$D$8:$D$1000,_xlfn.XLOOKUP($C35,Item_List_Number,Item_List,"",0),'Data Table'!$F$8:$F$1000,"Inside",'Data Table'!$H$8:$H$1000,"&lt;&gt;"&amp;_xlfn.XLOOKUP(DSCountry,DS_Country_List,DS_Currency_List))</f>
        <v>0</v>
      </c>
      <c r="G35" s="30" t="s">
        <v>124</v>
      </c>
      <c r="H35" s="110">
        <f>SUMIFS('Data Table'!$J$8:$J$1000,'Data Table'!$D$8:$D$1000,_xlfn.XLOOKUP($C35,Item_List_Number,Item_List,"",0),'Data Table'!$F$8:$F$1000,"Outside")</f>
        <v>0</v>
      </c>
      <c r="I35" s="32" t="s">
        <v>124</v>
      </c>
    </row>
    <row r="36" spans="2:9" x14ac:dyDescent="0.25">
      <c r="B36" s="228"/>
      <c r="C36" s="22" t="s">
        <v>376</v>
      </c>
      <c r="D36" s="21"/>
      <c r="E36" s="9"/>
      <c r="F36" s="10"/>
      <c r="G36" s="11"/>
      <c r="H36" s="12"/>
      <c r="I36" s="13"/>
    </row>
    <row r="37" spans="2:9" x14ac:dyDescent="0.25">
      <c r="B37" s="228"/>
      <c r="C37" s="21">
        <v>23</v>
      </c>
      <c r="D37" s="21" t="s">
        <v>38</v>
      </c>
      <c r="E37" s="98">
        <f>SUMIFS('Data Table'!$G$8:$G$1000,'Data Table'!$D$8:$D$1000,_xlfn.XLOOKUP($C37,Item_List_Number,Item_List,"",0),'Data Table'!$F$8:$F$1000,"Inside",'Data Table'!$H$8:$H$1000,_xlfn.XLOOKUP(DSCountry,DS_Country_List,DS_Currency_List))</f>
        <v>0</v>
      </c>
      <c r="F37" s="97">
        <f>SUMIFS('Data Table'!$J$8:$J$1000,'Data Table'!$D$8:$D$1000,_xlfn.XLOOKUP($C37,Item_List_Number,Item_List,"",0),'Data Table'!$F$8:$F$1000,"Inside",'Data Table'!$H$8:$H$1000,"&lt;&gt;"&amp;_xlfn.XLOOKUP(DSCountry,DS_Country_List,DS_Currency_List))</f>
        <v>0</v>
      </c>
      <c r="G37" s="11" t="s">
        <v>124</v>
      </c>
      <c r="H37" s="96">
        <f>SUMIFS('Data Table'!$J$8:$J$1000,'Data Table'!$D$8:$D$1000,_xlfn.XLOOKUP($C37,Item_List_Number,Item_List,"",0),'Data Table'!$F$8:$F$1000,"Outside")</f>
        <v>0</v>
      </c>
      <c r="I37" s="13" t="s">
        <v>124</v>
      </c>
    </row>
    <row r="38" spans="2:9" x14ac:dyDescent="0.25">
      <c r="B38" s="228"/>
      <c r="C38" s="26" t="s">
        <v>344</v>
      </c>
      <c r="D38" s="27"/>
      <c r="E38" s="28"/>
      <c r="F38" s="29"/>
      <c r="G38" s="30"/>
      <c r="H38" s="31"/>
      <c r="I38" s="32"/>
    </row>
    <row r="39" spans="2:9" x14ac:dyDescent="0.25">
      <c r="B39" s="228"/>
      <c r="C39" s="27">
        <v>24</v>
      </c>
      <c r="D39" s="27" t="s">
        <v>32</v>
      </c>
      <c r="E39" s="109">
        <f>SUMIFS('Data Table'!$G$8:$G$1000,'Data Table'!$D$8:$D$1000,_xlfn.XLOOKUP($C39,Item_List_Number,Item_List,"",0),'Data Table'!$F$8:$F$1000,"Inside",'Data Table'!$H$8:$H$1000,_xlfn.XLOOKUP(DSCountry,DS_Country_List,DS_Currency_List))</f>
        <v>0</v>
      </c>
      <c r="F39" s="108">
        <f>SUMIFS('Data Table'!$J$8:$J$1000,'Data Table'!$D$8:$D$1000,_xlfn.XLOOKUP($C39,Item_List_Number,Item_List,"",0),'Data Table'!$F$8:$F$1000,"Inside",'Data Table'!$H$8:$H$1000,"&lt;&gt;"&amp;_xlfn.XLOOKUP(DSCountry,DS_Country_List,DS_Currency_List))</f>
        <v>0</v>
      </c>
      <c r="G39" s="30" t="s">
        <v>124</v>
      </c>
      <c r="H39" s="110">
        <f>SUMIFS('Data Table'!$J$8:$J$1000,'Data Table'!$D$8:$D$1000,_xlfn.XLOOKUP($C39,Item_List_Number,Item_List,"",0),'Data Table'!$F$8:$F$1000,"Outside")</f>
        <v>0</v>
      </c>
      <c r="I39" s="32" t="s">
        <v>124</v>
      </c>
    </row>
    <row r="40" spans="2:9" ht="15.75" thickBot="1" x14ac:dyDescent="0.3">
      <c r="B40" s="228"/>
      <c r="C40" s="27">
        <v>25</v>
      </c>
      <c r="D40" s="27" t="s">
        <v>621</v>
      </c>
      <c r="E40" s="109">
        <f>SUMIFS('Data Table'!$G$8:$G$1000,'Data Table'!$D$8:$D$1000,_xlfn.XLOOKUP($C40,Item_List_Number,Item_List,"",0),'Data Table'!$F$8:$F$1000,"Inside",'Data Table'!$H$8:$H$1000,_xlfn.XLOOKUP(DSCountry,DS_Country_List,DS_Currency_List))</f>
        <v>0</v>
      </c>
      <c r="F40" s="108">
        <f>SUMIFS('Data Table'!$J$8:$J$1000,'Data Table'!$D$8:$D$1000,_xlfn.XLOOKUP($C40,Item_List_Number,Item_List,"",0),'Data Table'!$F$8:$F$1000,"Inside",'Data Table'!$H$8:$H$1000,"&lt;&gt;"&amp;_xlfn.XLOOKUP(DSCountry,DS_Country_List,DS_Currency_List))</f>
        <v>0</v>
      </c>
      <c r="G40" s="30" t="s">
        <v>124</v>
      </c>
      <c r="H40" s="110">
        <f>SUMIFS('Data Table'!$J$8:$J$1000,'Data Table'!$D$8:$D$1000,_xlfn.XLOOKUP($C40,Item_List_Number,Item_List,"",0),'Data Table'!$F$8:$F$1000,"Outside")</f>
        <v>0</v>
      </c>
      <c r="I40" s="32" t="s">
        <v>124</v>
      </c>
    </row>
    <row r="41" spans="2:9" x14ac:dyDescent="0.25">
      <c r="B41" s="228"/>
      <c r="C41" s="137" t="s">
        <v>635</v>
      </c>
      <c r="D41" s="15"/>
      <c r="E41" s="138"/>
      <c r="F41" s="139"/>
      <c r="G41" s="18"/>
      <c r="H41" s="140"/>
      <c r="I41" s="20"/>
    </row>
    <row r="42" spans="2:9" x14ac:dyDescent="0.25">
      <c r="B42" s="228"/>
      <c r="C42" s="141" t="s">
        <v>612</v>
      </c>
      <c r="D42" s="21" t="s">
        <v>617</v>
      </c>
      <c r="E42" s="98">
        <f>SUMIFS('Data Table'!$G$8:$G$1000,'Data Table'!$D$8:$D$1000,_xlfn.XLOOKUP($C42,Item_List_Number,Item_List,"",0),'Data Table'!$F$8:$F$1000,"Inside",'Data Table'!$H$8:$H$1000,_xlfn.XLOOKUP(DSCountry,DS_Country_List,DS_Currency_List))</f>
        <v>0</v>
      </c>
      <c r="F42" s="97">
        <f>SUMIFS('Data Table'!$J$8:$J$1000,'Data Table'!$D$8:$D$1000,_xlfn.XLOOKUP($C42,Item_List_Number,Item_List,"",0),'Data Table'!$F$8:$F$1000,"Inside",'Data Table'!$H$8:$H$1000,"&lt;&gt;"&amp;_xlfn.XLOOKUP(DSCountry,DS_Country_List,DS_Currency_List))</f>
        <v>0</v>
      </c>
      <c r="G42" s="11" t="s">
        <v>124</v>
      </c>
      <c r="H42" s="96">
        <f>SUMIFS('Data Table'!$J$8:$J$1000,'Data Table'!$D$8:$D$1000,_xlfn.XLOOKUP($C42,Item_List_Number,Item_List,"",0),'Data Table'!$F$8:$F$1000,"Outside")</f>
        <v>0</v>
      </c>
      <c r="I42" s="13" t="s">
        <v>124</v>
      </c>
    </row>
    <row r="43" spans="2:9" x14ac:dyDescent="0.25">
      <c r="B43" s="228"/>
      <c r="C43" s="141" t="s">
        <v>613</v>
      </c>
      <c r="D43" s="21" t="s">
        <v>618</v>
      </c>
      <c r="E43" s="98">
        <f>SUMIFS('Data Table'!$G$8:$G$1000,'Data Table'!$D$8:$D$1000,_xlfn.XLOOKUP($C43,Item_List_Number,Item_List,"",0),'Data Table'!$F$8:$F$1000,"Inside",'Data Table'!$H$8:$H$1000,_xlfn.XLOOKUP(DSCountry,DS_Country_List,DS_Currency_List))</f>
        <v>0</v>
      </c>
      <c r="F43" s="97">
        <f>SUMIFS('Data Table'!$J$8:$J$1000,'Data Table'!$D$8:$D$1000,_xlfn.XLOOKUP($C43,Item_List_Number,Item_List,"",0),'Data Table'!$F$8:$F$1000,"Inside",'Data Table'!$H$8:$H$1000,"&lt;&gt;"&amp;_xlfn.XLOOKUP(DSCountry,DS_Country_List,DS_Currency_List))</f>
        <v>0</v>
      </c>
      <c r="G43" s="11" t="s">
        <v>124</v>
      </c>
      <c r="H43" s="96">
        <f>SUMIFS('Data Table'!$J$8:$J$1000,'Data Table'!$D$8:$D$1000,_xlfn.XLOOKUP($C43,Item_List_Number,Item_List,"",0),'Data Table'!$F$8:$F$1000,"Outside")</f>
        <v>0</v>
      </c>
      <c r="I43" s="13" t="s">
        <v>124</v>
      </c>
    </row>
    <row r="44" spans="2:9" ht="15.75" thickBot="1" x14ac:dyDescent="0.3">
      <c r="B44" s="229"/>
      <c r="C44" s="142" t="s">
        <v>614</v>
      </c>
      <c r="D44" s="23" t="s">
        <v>616</v>
      </c>
      <c r="E44" s="107">
        <f>SUMIFS('Data Table'!$G$8:$G$1000,'Data Table'!$D$8:$D$1000,_xlfn.XLOOKUP($C44,Item_List_Number,Item_List,"",0),'Data Table'!$F$8:$F$1000,"Inside",'Data Table'!$H$8:$H$1000,_xlfn.XLOOKUP(DSCountry,DS_Country_List,DS_Currency_List))</f>
        <v>0</v>
      </c>
      <c r="F44" s="106">
        <f>SUMIFS('Data Table'!$J$8:$J$1000,'Data Table'!$D$8:$D$1000,_xlfn.XLOOKUP($C44,Item_List_Number,Item_List,"",0),'Data Table'!$F$8:$F$1000,"Inside",'Data Table'!$H$8:$H$1000,"&lt;&gt;"&amp;_xlfn.XLOOKUP(DSCountry,DS_Country_List,DS_Currency_List))</f>
        <v>0</v>
      </c>
      <c r="G44" s="24" t="s">
        <v>124</v>
      </c>
      <c r="H44" s="105">
        <f>SUMIFS('Data Table'!$J$8:$J$1000,'Data Table'!$D$8:$D$1000,_xlfn.XLOOKUP($C44,Item_List_Number,Item_List,"",0),'Data Table'!$F$8:$F$1000,"Outside")</f>
        <v>0</v>
      </c>
      <c r="I44" s="25" t="s">
        <v>124</v>
      </c>
    </row>
    <row r="45" spans="2:9" ht="15.75" thickTop="1" x14ac:dyDescent="0.25"/>
  </sheetData>
  <sheetProtection algorithmName="SHA-512" hashValue="AgA215VYstFMzNkX1DvnAdT0bLgxoO9PH0KikfZ7FkacR+oSQYgJYf89uJKKcylB5G6MyzpfupyE0kb4s7QeUg==" saltValue="MGT2lhoEAJnFuRWiCYbV9w==" spinCount="100000" sheet="1" objects="1" scenarios="1"/>
  <mergeCells count="6">
    <mergeCell ref="D2:D3"/>
    <mergeCell ref="B4:B44"/>
    <mergeCell ref="E2:G2"/>
    <mergeCell ref="F3:G3"/>
    <mergeCell ref="H2:I2"/>
    <mergeCell ref="H3:I3"/>
  </mergeCells>
  <conditionalFormatting sqref="E3">
    <cfRule type="cellIs" dxfId="2" priority="1" operator="equal">
      <formula>"Specify country in Data Table"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B734-F16E-4A20-BB44-DDEDCED44847}">
  <sheetPr codeName="Sheet4"/>
  <dimension ref="B1:I61"/>
  <sheetViews>
    <sheetView workbookViewId="0">
      <pane ySplit="3" topLeftCell="A4" activePane="bottomLeft" state="frozen"/>
      <selection pane="bottomLeft"/>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73"/>
      <c r="C2" s="74"/>
      <c r="D2" s="241" t="s">
        <v>408</v>
      </c>
      <c r="E2" s="246" t="s">
        <v>348</v>
      </c>
      <c r="F2" s="247"/>
      <c r="G2" s="248"/>
      <c r="H2" s="246" t="s">
        <v>349</v>
      </c>
      <c r="I2" s="249"/>
    </row>
    <row r="3" spans="2:9" ht="31.5" customHeight="1" thickBot="1" x14ac:dyDescent="0.3">
      <c r="B3" s="75"/>
      <c r="C3" s="76"/>
      <c r="D3" s="242"/>
      <c r="E3" s="77" t="str">
        <f>IF(ISBLANK(DSCountry),"Specify country in Data Table","Amount Spent in
Local Currency ("&amp;(_xlfn.XLOOKUP(DSCountry,DS_Country_List,DS_Currency_List))&amp;")")</f>
        <v>Amount Spent in
Local Currency (AUD)</v>
      </c>
      <c r="F3" s="250" t="s">
        <v>350</v>
      </c>
      <c r="G3" s="251"/>
      <c r="H3" s="252" t="s">
        <v>351</v>
      </c>
      <c r="I3" s="253"/>
    </row>
    <row r="4" spans="2:9" x14ac:dyDescent="0.25">
      <c r="B4" s="243"/>
      <c r="C4" s="14" t="s">
        <v>4</v>
      </c>
      <c r="D4" s="15"/>
      <c r="E4" s="16"/>
      <c r="F4" s="17"/>
      <c r="G4" s="18"/>
      <c r="H4" s="19"/>
      <c r="I4" s="20"/>
    </row>
    <row r="5" spans="2:9" x14ac:dyDescent="0.25">
      <c r="B5" s="244"/>
      <c r="C5" s="21">
        <v>26</v>
      </c>
      <c r="D5" s="21" t="s">
        <v>598</v>
      </c>
      <c r="E5" s="98">
        <f>SUMIFS('Data Table'!$G$8:$G$1000,'Data Table'!$D$8:$D$1000,_xlfn.XLOOKUP($C5,Item_List_Number,Item_List,"",0),'Data Table'!$F$8:$F$1000,"Inside",'Data Table'!$H$8:$H$1000,_xlfn.XLOOKUP(DSCountry,DS_Country_List,DS_Currency_List))</f>
        <v>0</v>
      </c>
      <c r="F5" s="97">
        <f>SUMIFS('Data Table'!$J$8:$J$1000,'Data Table'!$D$8:$D$1000,_xlfn.XLOOKUP($C5,Item_List_Number,Item_List,"",0),'Data Table'!$F$8:$F$1000,"Inside",'Data Table'!$H$8:$H$1000,"&lt;&gt;"&amp;_xlfn.XLOOKUP(DSCountry,DS_Country_List,DS_Currency_List))</f>
        <v>0</v>
      </c>
      <c r="G5" s="11" t="s">
        <v>124</v>
      </c>
      <c r="H5" s="96">
        <f>SUMIFS('Data Table'!$J$8:$J$1000,'Data Table'!$D$8:$D$1000,_xlfn.XLOOKUP($C5,Item_List_Number,Item_List,"",0),'Data Table'!$F$8:$F$1000,"Outside")</f>
        <v>0</v>
      </c>
      <c r="I5" s="13" t="s">
        <v>124</v>
      </c>
    </row>
    <row r="6" spans="2:9" x14ac:dyDescent="0.25">
      <c r="B6" s="244"/>
      <c r="C6" s="21">
        <v>27</v>
      </c>
      <c r="D6" s="21" t="s">
        <v>377</v>
      </c>
      <c r="E6" s="98">
        <f>SUMIFS('Data Table'!$G$8:$G$1000,'Data Table'!$D$8:$D$1000,_xlfn.XLOOKUP($C6,Item_List_Number,Item_List,"",0),'Data Table'!$F$8:$F$1000,"Inside",'Data Table'!$H$8:$H$1000,_xlfn.XLOOKUP(DSCountry,DS_Country_List,DS_Currency_List))</f>
        <v>0</v>
      </c>
      <c r="F6" s="97">
        <f>SUMIFS('Data Table'!$J$8:$J$1000,'Data Table'!$D$8:$D$1000,_xlfn.XLOOKUP($C6,Item_List_Number,Item_List,"",0),'Data Table'!$F$8:$F$1000,"Inside",'Data Table'!$H$8:$H$1000,"&lt;&gt;"&amp;_xlfn.XLOOKUP(DSCountry,DS_Country_List,DS_Currency_List))</f>
        <v>0</v>
      </c>
      <c r="G6" s="11" t="s">
        <v>124</v>
      </c>
      <c r="H6" s="96">
        <f>SUMIFS('Data Table'!$J$8:$J$1000,'Data Table'!$D$8:$D$1000,_xlfn.XLOOKUP($C6,Item_List_Number,Item_List,"",0),'Data Table'!$F$8:$F$1000,"Outside")</f>
        <v>0</v>
      </c>
      <c r="I6" s="13" t="s">
        <v>124</v>
      </c>
    </row>
    <row r="7" spans="2:9" x14ac:dyDescent="0.25">
      <c r="B7" s="244"/>
      <c r="C7" s="21">
        <v>28</v>
      </c>
      <c r="D7" s="21" t="s">
        <v>378</v>
      </c>
      <c r="E7" s="98">
        <f>SUMIFS('Data Table'!$G$8:$G$1000,'Data Table'!$D$8:$D$1000,_xlfn.XLOOKUP($C7,Item_List_Number,Item_List,"",0),'Data Table'!$F$8:$F$1000,"Inside",'Data Table'!$H$8:$H$1000,_xlfn.XLOOKUP(DSCountry,DS_Country_List,DS_Currency_List))</f>
        <v>0</v>
      </c>
      <c r="F7" s="97">
        <f>SUMIFS('Data Table'!$J$8:$J$1000,'Data Table'!$D$8:$D$1000,_xlfn.XLOOKUP($C7,Item_List_Number,Item_List,"",0),'Data Table'!$F$8:$F$1000,"Inside",'Data Table'!$H$8:$H$1000,"&lt;&gt;"&amp;_xlfn.XLOOKUP(DSCountry,DS_Country_List,DS_Currency_List))</f>
        <v>0</v>
      </c>
      <c r="G7" s="11" t="s">
        <v>124</v>
      </c>
      <c r="H7" s="96">
        <f>SUMIFS('Data Table'!$J$8:$J$1000,'Data Table'!$D$8:$D$1000,_xlfn.XLOOKUP($C7,Item_List_Number,Item_List,"",0),'Data Table'!$F$8:$F$1000,"Outside")</f>
        <v>0</v>
      </c>
      <c r="I7" s="13" t="s">
        <v>124</v>
      </c>
    </row>
    <row r="8" spans="2:9" x14ac:dyDescent="0.25">
      <c r="B8" s="244"/>
      <c r="C8" s="53" t="s">
        <v>345</v>
      </c>
      <c r="D8" s="54"/>
      <c r="E8" s="55"/>
      <c r="F8" s="56"/>
      <c r="G8" s="57"/>
      <c r="H8" s="58"/>
      <c r="I8" s="59"/>
    </row>
    <row r="9" spans="2:9" x14ac:dyDescent="0.25">
      <c r="B9" s="244"/>
      <c r="C9" s="54">
        <v>29</v>
      </c>
      <c r="D9" s="54" t="s">
        <v>379</v>
      </c>
      <c r="E9" s="101">
        <f>SUMIFS('Data Table'!$G$8:$G$1000,'Data Table'!$D$8:$D$1000,_xlfn.XLOOKUP($C9,Item_List_Number,Item_List,"",0),'Data Table'!$F$8:$F$1000,"Inside",'Data Table'!$H$8:$H$1000,_xlfn.XLOOKUP(DSCountry,DS_Country_List,DS_Currency_List))</f>
        <v>0</v>
      </c>
      <c r="F9" s="100">
        <f>SUMIFS('Data Table'!$J$8:$J$1000,'Data Table'!$D$8:$D$1000,_xlfn.XLOOKUP($C9,Item_List_Number,Item_List,"",0),'Data Table'!$F$8:$F$1000,"Inside",'Data Table'!$H$8:$H$1000,"&lt;&gt;"&amp;_xlfn.XLOOKUP(DSCountry,DS_Country_List,DS_Currency_List))</f>
        <v>0</v>
      </c>
      <c r="G9" s="57" t="s">
        <v>124</v>
      </c>
      <c r="H9" s="99">
        <f>SUMIFS('Data Table'!$J$8:$J$1000,'Data Table'!$D$8:$D$1000,_xlfn.XLOOKUP($C9,Item_List_Number,Item_List,"",0),'Data Table'!$F$8:$F$1000,"Outside")</f>
        <v>0</v>
      </c>
      <c r="I9" s="59" t="s">
        <v>124</v>
      </c>
    </row>
    <row r="10" spans="2:9" x14ac:dyDescent="0.25">
      <c r="B10" s="244"/>
      <c r="C10" s="54">
        <v>30</v>
      </c>
      <c r="D10" s="54" t="s">
        <v>380</v>
      </c>
      <c r="E10" s="101">
        <f>SUMIFS('Data Table'!$G$8:$G$1000,'Data Table'!$D$8:$D$1000,_xlfn.XLOOKUP($C10,Item_List_Number,Item_List,"",0),'Data Table'!$F$8:$F$1000,"Inside",'Data Table'!$H$8:$H$1000,_xlfn.XLOOKUP(DSCountry,DS_Country_List,DS_Currency_List))</f>
        <v>0</v>
      </c>
      <c r="F10" s="100">
        <f>SUMIFS('Data Table'!$J$8:$J$1000,'Data Table'!$D$8:$D$1000,_xlfn.XLOOKUP($C10,Item_List_Number,Item_List,"",0),'Data Table'!$F$8:$F$1000,"Inside",'Data Table'!$H$8:$H$1000,"&lt;&gt;"&amp;_xlfn.XLOOKUP(DSCountry,DS_Country_List,DS_Currency_List))</f>
        <v>0</v>
      </c>
      <c r="G10" s="57" t="s">
        <v>124</v>
      </c>
      <c r="H10" s="99">
        <f>SUMIFS('Data Table'!$J$8:$J$1000,'Data Table'!$D$8:$D$1000,_xlfn.XLOOKUP($C10,Item_List_Number,Item_List,"",0),'Data Table'!$F$8:$F$1000,"Outside")</f>
        <v>0</v>
      </c>
      <c r="I10" s="59" t="s">
        <v>124</v>
      </c>
    </row>
    <row r="11" spans="2:9" x14ac:dyDescent="0.25">
      <c r="B11" s="244"/>
      <c r="C11" s="54">
        <v>31</v>
      </c>
      <c r="D11" s="54" t="s">
        <v>381</v>
      </c>
      <c r="E11" s="101">
        <f>SUMIFS('Data Table'!$G$8:$G$1000,'Data Table'!$D$8:$D$1000,_xlfn.XLOOKUP($C11,Item_List_Number,Item_List,"",0),'Data Table'!$F$8:$F$1000,"Inside",'Data Table'!$H$8:$H$1000,_xlfn.XLOOKUP(DSCountry,DS_Country_List,DS_Currency_List))</f>
        <v>0</v>
      </c>
      <c r="F11" s="100">
        <f>SUMIFS('Data Table'!$J$8:$J$1000,'Data Table'!$D$8:$D$1000,_xlfn.XLOOKUP($C11,Item_List_Number,Item_List,"",0),'Data Table'!$F$8:$F$1000,"Inside",'Data Table'!$H$8:$H$1000,"&lt;&gt;"&amp;_xlfn.XLOOKUP(DSCountry,DS_Country_List,DS_Currency_List))</f>
        <v>0</v>
      </c>
      <c r="G11" s="57" t="s">
        <v>124</v>
      </c>
      <c r="H11" s="99">
        <f>SUMIFS('Data Table'!$J$8:$J$1000,'Data Table'!$D$8:$D$1000,_xlfn.XLOOKUP($C11,Item_List_Number,Item_List,"",0),'Data Table'!$F$8:$F$1000,"Outside")</f>
        <v>0</v>
      </c>
      <c r="I11" s="59" t="s">
        <v>124</v>
      </c>
    </row>
    <row r="12" spans="2:9" x14ac:dyDescent="0.25">
      <c r="B12" s="244"/>
      <c r="C12" s="54">
        <v>32</v>
      </c>
      <c r="D12" s="54" t="s">
        <v>31</v>
      </c>
      <c r="E12" s="101">
        <f>SUMIFS('Data Table'!$G$8:$G$1000,'Data Table'!$D$8:$D$1000,_xlfn.XLOOKUP($C12,Item_List_Number,Item_List,"",0),'Data Table'!$F$8:$F$1000,"Inside",'Data Table'!$H$8:$H$1000,_xlfn.XLOOKUP(DSCountry,DS_Country_List,DS_Currency_List))</f>
        <v>0</v>
      </c>
      <c r="F12" s="100">
        <f>SUMIFS('Data Table'!$J$8:$J$1000,'Data Table'!$D$8:$D$1000,_xlfn.XLOOKUP($C12,Item_List_Number,Item_List,"",0),'Data Table'!$F$8:$F$1000,"Inside",'Data Table'!$H$8:$H$1000,"&lt;&gt;"&amp;_xlfn.XLOOKUP(DSCountry,DS_Country_List,DS_Currency_List))</f>
        <v>0</v>
      </c>
      <c r="G12" s="57" t="s">
        <v>124</v>
      </c>
      <c r="H12" s="99">
        <f>SUMIFS('Data Table'!$J$8:$J$1000,'Data Table'!$D$8:$D$1000,_xlfn.XLOOKUP($C12,Item_List_Number,Item_List,"",0),'Data Table'!$F$8:$F$1000,"Outside")</f>
        <v>0</v>
      </c>
      <c r="I12" s="59" t="s">
        <v>124</v>
      </c>
    </row>
    <row r="13" spans="2:9" x14ac:dyDescent="0.25">
      <c r="B13" s="244"/>
      <c r="C13" s="54">
        <v>33</v>
      </c>
      <c r="D13" s="54" t="s">
        <v>382</v>
      </c>
      <c r="E13" s="101">
        <f>SUMIFS('Data Table'!$G$8:$G$1000,'Data Table'!$D$8:$D$1000,_xlfn.XLOOKUP($C13,Item_List_Number,Item_List,"",0),'Data Table'!$F$8:$F$1000,"Inside",'Data Table'!$H$8:$H$1000,_xlfn.XLOOKUP(DSCountry,DS_Country_List,DS_Currency_List))</f>
        <v>0</v>
      </c>
      <c r="F13" s="100">
        <f>SUMIFS('Data Table'!$J$8:$J$1000,'Data Table'!$D$8:$D$1000,_xlfn.XLOOKUP($C13,Item_List_Number,Item_List,"",0),'Data Table'!$F$8:$F$1000,"Inside",'Data Table'!$H$8:$H$1000,"&lt;&gt;"&amp;_xlfn.XLOOKUP(DSCountry,DS_Country_List,DS_Currency_List))</f>
        <v>0</v>
      </c>
      <c r="G13" s="57" t="s">
        <v>124</v>
      </c>
      <c r="H13" s="99">
        <f>SUMIFS('Data Table'!$J$8:$J$1000,'Data Table'!$D$8:$D$1000,_xlfn.XLOOKUP($C13,Item_List_Number,Item_List,"",0),'Data Table'!$F$8:$F$1000,"Outside")</f>
        <v>0</v>
      </c>
      <c r="I13" s="59" t="s">
        <v>124</v>
      </c>
    </row>
    <row r="14" spans="2:9" x14ac:dyDescent="0.25">
      <c r="B14" s="244"/>
      <c r="C14" s="22" t="s">
        <v>359</v>
      </c>
      <c r="D14" s="21"/>
      <c r="E14" s="9"/>
      <c r="F14" s="10"/>
      <c r="G14" s="11"/>
      <c r="H14" s="12"/>
      <c r="I14" s="13"/>
    </row>
    <row r="15" spans="2:9" x14ac:dyDescent="0.25">
      <c r="B15" s="244"/>
      <c r="C15" s="21">
        <v>34</v>
      </c>
      <c r="D15" s="21" t="s">
        <v>383</v>
      </c>
      <c r="E15" s="98">
        <f>SUMIFS('Data Table'!$G$8:$G$1000,'Data Table'!$D$8:$D$1000,_xlfn.XLOOKUP($C15,Item_List_Number,Item_List,"",0),'Data Table'!$F$8:$F$1000,"Inside",'Data Table'!$H$8:$H$1000,_xlfn.XLOOKUP(DSCountry,DS_Country_List,DS_Currency_List))</f>
        <v>0</v>
      </c>
      <c r="F15" s="97">
        <f>SUMIFS('Data Table'!$J$8:$J$1000,'Data Table'!$D$8:$D$1000,_xlfn.XLOOKUP($C15,Item_List_Number,Item_List,"",0),'Data Table'!$F$8:$F$1000,"Inside",'Data Table'!$H$8:$H$1000,"&lt;&gt;"&amp;_xlfn.XLOOKUP(DSCountry,DS_Country_List,DS_Currency_List))</f>
        <v>0</v>
      </c>
      <c r="G15" s="11" t="s">
        <v>124</v>
      </c>
      <c r="H15" s="96">
        <f>SUMIFS('Data Table'!$J$8:$J$1000,'Data Table'!$D$8:$D$1000,_xlfn.XLOOKUP($C15,Item_List_Number,Item_List,"",0),'Data Table'!$F$8:$F$1000,"Outside")</f>
        <v>0</v>
      </c>
      <c r="I15" s="13" t="s">
        <v>124</v>
      </c>
    </row>
    <row r="16" spans="2:9" x14ac:dyDescent="0.25">
      <c r="B16" s="244"/>
      <c r="C16" s="21">
        <v>35</v>
      </c>
      <c r="D16" s="21" t="s">
        <v>384</v>
      </c>
      <c r="E16" s="98">
        <f>SUMIFS('Data Table'!$G$8:$G$1000,'Data Table'!$D$8:$D$1000,_xlfn.XLOOKUP($C16,Item_List_Number,Item_List,"",0),'Data Table'!$F$8:$F$1000,"Inside",'Data Table'!$H$8:$H$1000,_xlfn.XLOOKUP(DSCountry,DS_Country_List,DS_Currency_List))</f>
        <v>0</v>
      </c>
      <c r="F16" s="97">
        <f>SUMIFS('Data Table'!$J$8:$J$1000,'Data Table'!$D$8:$D$1000,_xlfn.XLOOKUP($C16,Item_List_Number,Item_List,"",0),'Data Table'!$F$8:$F$1000,"Inside",'Data Table'!$H$8:$H$1000,"&lt;&gt;"&amp;_xlfn.XLOOKUP(DSCountry,DS_Country_List,DS_Currency_List))</f>
        <v>0</v>
      </c>
      <c r="G16" s="11" t="s">
        <v>124</v>
      </c>
      <c r="H16" s="96">
        <f>SUMIFS('Data Table'!$J$8:$J$1000,'Data Table'!$D$8:$D$1000,_xlfn.XLOOKUP($C16,Item_List_Number,Item_List,"",0),'Data Table'!$F$8:$F$1000,"Outside")</f>
        <v>0</v>
      </c>
      <c r="I16" s="13" t="s">
        <v>124</v>
      </c>
    </row>
    <row r="17" spans="2:9" x14ac:dyDescent="0.25">
      <c r="B17" s="244"/>
      <c r="C17" s="21">
        <v>36</v>
      </c>
      <c r="D17" s="21" t="s">
        <v>385</v>
      </c>
      <c r="E17" s="98">
        <f>SUMIFS('Data Table'!$G$8:$G$1000,'Data Table'!$D$8:$D$1000,_xlfn.XLOOKUP($C17,Item_List_Number,Item_List,"",0),'Data Table'!$F$8:$F$1000,"Inside",'Data Table'!$H$8:$H$1000,_xlfn.XLOOKUP(DSCountry,DS_Country_List,DS_Currency_List))</f>
        <v>0</v>
      </c>
      <c r="F17" s="97">
        <f>SUMIFS('Data Table'!$J$8:$J$1000,'Data Table'!$D$8:$D$1000,_xlfn.XLOOKUP($C17,Item_List_Number,Item_List,"",0),'Data Table'!$F$8:$F$1000,"Inside",'Data Table'!$H$8:$H$1000,"&lt;&gt;"&amp;_xlfn.XLOOKUP(DSCountry,DS_Country_List,DS_Currency_List))</f>
        <v>0</v>
      </c>
      <c r="G17" s="11" t="s">
        <v>124</v>
      </c>
      <c r="H17" s="96">
        <f>SUMIFS('Data Table'!$J$8:$J$1000,'Data Table'!$D$8:$D$1000,_xlfn.XLOOKUP($C17,Item_List_Number,Item_List,"",0),'Data Table'!$F$8:$F$1000,"Outside")</f>
        <v>0</v>
      </c>
      <c r="I17" s="13" t="s">
        <v>124</v>
      </c>
    </row>
    <row r="18" spans="2:9" x14ac:dyDescent="0.25">
      <c r="B18" s="244"/>
      <c r="C18" s="21">
        <v>37</v>
      </c>
      <c r="D18" s="21" t="s">
        <v>386</v>
      </c>
      <c r="E18" s="98">
        <f>SUMIFS('Data Table'!$G$8:$G$1000,'Data Table'!$D$8:$D$1000,_xlfn.XLOOKUP($C18,Item_List_Number,Item_List,"",0),'Data Table'!$F$8:$F$1000,"Inside",'Data Table'!$H$8:$H$1000,_xlfn.XLOOKUP(DSCountry,DS_Country_List,DS_Currency_List))</f>
        <v>0</v>
      </c>
      <c r="F18" s="97">
        <f>SUMIFS('Data Table'!$J$8:$J$1000,'Data Table'!$D$8:$D$1000,_xlfn.XLOOKUP($C18,Item_List_Number,Item_List,"",0),'Data Table'!$F$8:$F$1000,"Inside",'Data Table'!$H$8:$H$1000,"&lt;&gt;"&amp;_xlfn.XLOOKUP(DSCountry,DS_Country_List,DS_Currency_List))</f>
        <v>0</v>
      </c>
      <c r="G18" s="11" t="s">
        <v>124</v>
      </c>
      <c r="H18" s="96">
        <f>SUMIFS('Data Table'!$J$8:$J$1000,'Data Table'!$D$8:$D$1000,_xlfn.XLOOKUP($C18,Item_List_Number,Item_List,"",0),'Data Table'!$F$8:$F$1000,"Outside")</f>
        <v>0</v>
      </c>
      <c r="I18" s="13" t="s">
        <v>124</v>
      </c>
    </row>
    <row r="19" spans="2:9" x14ac:dyDescent="0.25">
      <c r="B19" s="244"/>
      <c r="C19" s="53" t="s">
        <v>10</v>
      </c>
      <c r="D19" s="54"/>
      <c r="E19" s="55"/>
      <c r="F19" s="56"/>
      <c r="G19" s="57"/>
      <c r="H19" s="58"/>
      <c r="I19" s="59"/>
    </row>
    <row r="20" spans="2:9" x14ac:dyDescent="0.25">
      <c r="B20" s="244"/>
      <c r="C20" s="54">
        <v>38</v>
      </c>
      <c r="D20" s="54" t="s">
        <v>387</v>
      </c>
      <c r="E20" s="101">
        <f>SUMIFS('Data Table'!$G$8:$G$1000,'Data Table'!$D$8:$D$1000,_xlfn.XLOOKUP($C20,Item_List_Number,Item_List,"",0),'Data Table'!$F$8:$F$1000,"Inside",'Data Table'!$H$8:$H$1000,_xlfn.XLOOKUP(DSCountry,DS_Country_List,DS_Currency_List))</f>
        <v>0</v>
      </c>
      <c r="F20" s="100">
        <f>SUMIFS('Data Table'!$J$8:$J$1000,'Data Table'!$D$8:$D$1000,_xlfn.XLOOKUP($C20,Item_List_Number,Item_List,"",0),'Data Table'!$F$8:$F$1000,"Inside",'Data Table'!$H$8:$H$1000,"&lt;&gt;"&amp;_xlfn.XLOOKUP(DSCountry,DS_Country_List,DS_Currency_List))</f>
        <v>0</v>
      </c>
      <c r="G20" s="57" t="s">
        <v>124</v>
      </c>
      <c r="H20" s="99">
        <f>SUMIFS('Data Table'!$J$8:$J$1000,'Data Table'!$D$8:$D$1000,_xlfn.XLOOKUP($C20,Item_List_Number,Item_List,"",0),'Data Table'!$F$8:$F$1000,"Outside")</f>
        <v>0</v>
      </c>
      <c r="I20" s="59" t="s">
        <v>124</v>
      </c>
    </row>
    <row r="21" spans="2:9" x14ac:dyDescent="0.25">
      <c r="B21" s="244"/>
      <c r="C21" s="54">
        <v>39</v>
      </c>
      <c r="D21" s="54" t="s">
        <v>388</v>
      </c>
      <c r="E21" s="101">
        <f>SUMIFS('Data Table'!$G$8:$G$1000,'Data Table'!$D$8:$D$1000,_xlfn.XLOOKUP($C21,Item_List_Number,Item_List,"",0),'Data Table'!$F$8:$F$1000,"Inside",'Data Table'!$H$8:$H$1000,_xlfn.XLOOKUP(DSCountry,DS_Country_List,DS_Currency_List))</f>
        <v>0</v>
      </c>
      <c r="F21" s="100">
        <f>SUMIFS('Data Table'!$J$8:$J$1000,'Data Table'!$D$8:$D$1000,_xlfn.XLOOKUP($C21,Item_List_Number,Item_List,"",0),'Data Table'!$F$8:$F$1000,"Inside",'Data Table'!$H$8:$H$1000,"&lt;&gt;"&amp;_xlfn.XLOOKUP(DSCountry,DS_Country_List,DS_Currency_List))</f>
        <v>0</v>
      </c>
      <c r="G21" s="57" t="s">
        <v>124</v>
      </c>
      <c r="H21" s="99">
        <f>SUMIFS('Data Table'!$J$8:$J$1000,'Data Table'!$D$8:$D$1000,_xlfn.XLOOKUP($C21,Item_List_Number,Item_List,"",0),'Data Table'!$F$8:$F$1000,"Outside")</f>
        <v>0</v>
      </c>
      <c r="I21" s="59" t="s">
        <v>124</v>
      </c>
    </row>
    <row r="22" spans="2:9" x14ac:dyDescent="0.25">
      <c r="B22" s="244"/>
      <c r="C22" s="54">
        <v>40</v>
      </c>
      <c r="D22" s="54" t="s">
        <v>389</v>
      </c>
      <c r="E22" s="101">
        <f>SUMIFS('Data Table'!$G$8:$G$1000,'Data Table'!$D$8:$D$1000,_xlfn.XLOOKUP($C22,Item_List_Number,Item_List,"",0),'Data Table'!$F$8:$F$1000,"Inside",'Data Table'!$H$8:$H$1000,_xlfn.XLOOKUP(DSCountry,DS_Country_List,DS_Currency_List))</f>
        <v>0</v>
      </c>
      <c r="F22" s="100">
        <f>SUMIFS('Data Table'!$J$8:$J$1000,'Data Table'!$D$8:$D$1000,_xlfn.XLOOKUP($C22,Item_List_Number,Item_List,"",0),'Data Table'!$F$8:$F$1000,"Inside",'Data Table'!$H$8:$H$1000,"&lt;&gt;"&amp;_xlfn.XLOOKUP(DSCountry,DS_Country_List,DS_Currency_List))</f>
        <v>0</v>
      </c>
      <c r="G22" s="57" t="s">
        <v>124</v>
      </c>
      <c r="H22" s="99">
        <f>SUMIFS('Data Table'!$J$8:$J$1000,'Data Table'!$D$8:$D$1000,_xlfn.XLOOKUP($C22,Item_List_Number,Item_List,"",0),'Data Table'!$F$8:$F$1000,"Outside")</f>
        <v>0</v>
      </c>
      <c r="I22" s="59" t="s">
        <v>124</v>
      </c>
    </row>
    <row r="23" spans="2:9" x14ac:dyDescent="0.25">
      <c r="B23" s="244"/>
      <c r="C23" s="54">
        <v>41</v>
      </c>
      <c r="D23" s="54" t="s">
        <v>503</v>
      </c>
      <c r="E23" s="101">
        <f>SUMIFS('Data Table'!$G$8:$G$1000,'Data Table'!$D$8:$D$1000,_xlfn.XLOOKUP($C23,Item_List_Number,Item_List,"",0),'Data Table'!$F$8:$F$1000,"Inside",'Data Table'!$H$8:$H$1000,_xlfn.XLOOKUP(DSCountry,DS_Country_List,DS_Currency_List))</f>
        <v>0</v>
      </c>
      <c r="F23" s="100">
        <f>SUMIFS('Data Table'!$J$8:$J$1000,'Data Table'!$D$8:$D$1000,_xlfn.XLOOKUP($C23,Item_List_Number,Item_List,"",0),'Data Table'!$F$8:$F$1000,"Inside",'Data Table'!$H$8:$H$1000,"&lt;&gt;"&amp;_xlfn.XLOOKUP(DSCountry,DS_Country_List,DS_Currency_List))</f>
        <v>0</v>
      </c>
      <c r="G23" s="57" t="s">
        <v>124</v>
      </c>
      <c r="H23" s="99">
        <f>SUMIFS('Data Table'!$J$8:$J$1000,'Data Table'!$D$8:$D$1000,_xlfn.XLOOKUP($C23,Item_List_Number,Item_List,"",0),'Data Table'!$F$8:$F$1000,"Outside")</f>
        <v>0</v>
      </c>
      <c r="I23" s="59" t="s">
        <v>124</v>
      </c>
    </row>
    <row r="24" spans="2:9" x14ac:dyDescent="0.25">
      <c r="B24" s="244"/>
      <c r="C24" s="22" t="s">
        <v>390</v>
      </c>
      <c r="D24" s="21"/>
      <c r="E24" s="9"/>
      <c r="F24" s="10"/>
      <c r="G24" s="11"/>
      <c r="H24" s="12"/>
      <c r="I24" s="13"/>
    </row>
    <row r="25" spans="2:9" x14ac:dyDescent="0.25">
      <c r="B25" s="244"/>
      <c r="C25" s="21">
        <v>42</v>
      </c>
      <c r="D25" s="21" t="s">
        <v>391</v>
      </c>
      <c r="E25" s="98">
        <f>SUMIFS('Data Table'!$G$8:$G$1000,'Data Table'!$D$8:$D$1000,_xlfn.XLOOKUP($C25,Item_List_Number,Item_List,"",0),'Data Table'!$F$8:$F$1000,"Inside",'Data Table'!$H$8:$H$1000,_xlfn.XLOOKUP(DSCountry,DS_Country_List,DS_Currency_List))</f>
        <v>0</v>
      </c>
      <c r="F25" s="97">
        <f>SUMIFS('Data Table'!$J$8:$J$1000,'Data Table'!$D$8:$D$1000,_xlfn.XLOOKUP($C25,Item_List_Number,Item_List,"",0),'Data Table'!$F$8:$F$1000,"Inside",'Data Table'!$H$8:$H$1000,"&lt;&gt;"&amp;_xlfn.XLOOKUP(DSCountry,DS_Country_List,DS_Currency_List))</f>
        <v>0</v>
      </c>
      <c r="G25" s="11" t="s">
        <v>124</v>
      </c>
      <c r="H25" s="96">
        <f>SUMIFS('Data Table'!$J$8:$J$1000,'Data Table'!$D$8:$D$1000,_xlfn.XLOOKUP($C25,Item_List_Number,Item_List,"",0),'Data Table'!$F$8:$F$1000,"Outside")</f>
        <v>0</v>
      </c>
      <c r="I25" s="13" t="s">
        <v>124</v>
      </c>
    </row>
    <row r="26" spans="2:9" x14ac:dyDescent="0.25">
      <c r="B26" s="244"/>
      <c r="C26" s="53" t="s">
        <v>9</v>
      </c>
      <c r="D26" s="54"/>
      <c r="E26" s="55"/>
      <c r="F26" s="56"/>
      <c r="G26" s="57"/>
      <c r="H26" s="58"/>
      <c r="I26" s="59"/>
    </row>
    <row r="27" spans="2:9" x14ac:dyDescent="0.25">
      <c r="B27" s="244"/>
      <c r="C27" s="54">
        <v>43</v>
      </c>
      <c r="D27" s="54" t="s">
        <v>392</v>
      </c>
      <c r="E27" s="101">
        <f>SUMIFS('Data Table'!$G$8:$G$1000,'Data Table'!$D$8:$D$1000,_xlfn.XLOOKUP($C27,Item_List_Number,Item_List,"",0),'Data Table'!$F$8:$F$1000,"Inside",'Data Table'!$H$8:$H$1000,_xlfn.XLOOKUP(DSCountry,DS_Country_List,DS_Currency_List))</f>
        <v>0</v>
      </c>
      <c r="F27" s="100">
        <f>SUMIFS('Data Table'!$J$8:$J$1000,'Data Table'!$D$8:$D$1000,_xlfn.XLOOKUP($C27,Item_List_Number,Item_List,"",0),'Data Table'!$F$8:$F$1000,"Inside",'Data Table'!$H$8:$H$1000,"&lt;&gt;"&amp;_xlfn.XLOOKUP(DSCountry,DS_Country_List,DS_Currency_List))</f>
        <v>0</v>
      </c>
      <c r="G27" s="57" t="s">
        <v>124</v>
      </c>
      <c r="H27" s="99">
        <f>SUMIFS('Data Table'!$J$8:$J$1000,'Data Table'!$D$8:$D$1000,_xlfn.XLOOKUP($C27,Item_List_Number,Item_List,"",0),'Data Table'!$F$8:$F$1000,"Outside")</f>
        <v>0</v>
      </c>
      <c r="I27" s="59" t="s">
        <v>124</v>
      </c>
    </row>
    <row r="28" spans="2:9" x14ac:dyDescent="0.25">
      <c r="B28" s="244"/>
      <c r="C28" s="54">
        <v>44</v>
      </c>
      <c r="D28" s="54" t="s">
        <v>393</v>
      </c>
      <c r="E28" s="101">
        <f>SUMIFS('Data Table'!$G$8:$G$1000,'Data Table'!$D$8:$D$1000,_xlfn.XLOOKUP($C28,Item_List_Number,Item_List,"",0),'Data Table'!$F$8:$F$1000,"Inside",'Data Table'!$H$8:$H$1000,_xlfn.XLOOKUP(DSCountry,DS_Country_List,DS_Currency_List))</f>
        <v>0</v>
      </c>
      <c r="F28" s="100">
        <f>SUMIFS('Data Table'!$J$8:$J$1000,'Data Table'!$D$8:$D$1000,_xlfn.XLOOKUP($C28,Item_List_Number,Item_List,"",0),'Data Table'!$F$8:$F$1000,"Inside",'Data Table'!$H$8:$H$1000,"&lt;&gt;"&amp;_xlfn.XLOOKUP(DSCountry,DS_Country_List,DS_Currency_List))</f>
        <v>0</v>
      </c>
      <c r="G28" s="57" t="s">
        <v>124</v>
      </c>
      <c r="H28" s="99">
        <f>SUMIFS('Data Table'!$J$8:$J$1000,'Data Table'!$D$8:$D$1000,_xlfn.XLOOKUP($C28,Item_List_Number,Item_List,"",0),'Data Table'!$F$8:$F$1000,"Outside")</f>
        <v>0</v>
      </c>
      <c r="I28" s="59" t="s">
        <v>124</v>
      </c>
    </row>
    <row r="29" spans="2:9" x14ac:dyDescent="0.25">
      <c r="B29" s="244"/>
      <c r="C29" s="54">
        <v>45</v>
      </c>
      <c r="D29" s="54" t="s">
        <v>394</v>
      </c>
      <c r="E29" s="101">
        <f>SUMIFS('Data Table'!$G$8:$G$1000,'Data Table'!$D$8:$D$1000,_xlfn.XLOOKUP($C29,Item_List_Number,Item_List,"",0),'Data Table'!$F$8:$F$1000,"Inside",'Data Table'!$H$8:$H$1000,_xlfn.XLOOKUP(DSCountry,DS_Country_List,DS_Currency_List))</f>
        <v>0</v>
      </c>
      <c r="F29" s="100">
        <f>SUMIFS('Data Table'!$J$8:$J$1000,'Data Table'!$D$8:$D$1000,_xlfn.XLOOKUP($C29,Item_List_Number,Item_List,"",0),'Data Table'!$F$8:$F$1000,"Inside",'Data Table'!$H$8:$H$1000,"&lt;&gt;"&amp;_xlfn.XLOOKUP(DSCountry,DS_Country_List,DS_Currency_List))</f>
        <v>0</v>
      </c>
      <c r="G29" s="57" t="s">
        <v>124</v>
      </c>
      <c r="H29" s="99">
        <f>SUMIFS('Data Table'!$J$8:$J$1000,'Data Table'!$D$8:$D$1000,_xlfn.XLOOKUP($C29,Item_List_Number,Item_List,"",0),'Data Table'!$F$8:$F$1000,"Outside")</f>
        <v>0</v>
      </c>
      <c r="I29" s="59" t="s">
        <v>124</v>
      </c>
    </row>
    <row r="30" spans="2:9" x14ac:dyDescent="0.25">
      <c r="B30" s="244"/>
      <c r="C30" s="54">
        <v>46</v>
      </c>
      <c r="D30" s="54" t="s">
        <v>395</v>
      </c>
      <c r="E30" s="101">
        <f>SUMIFS('Data Table'!$G$8:$G$1000,'Data Table'!$D$8:$D$1000,_xlfn.XLOOKUP($C30,Item_List_Number,Item_List,"",0),'Data Table'!$F$8:$F$1000,"Inside",'Data Table'!$H$8:$H$1000,_xlfn.XLOOKUP(DSCountry,DS_Country_List,DS_Currency_List))</f>
        <v>0</v>
      </c>
      <c r="F30" s="100">
        <f>SUMIFS('Data Table'!$J$8:$J$1000,'Data Table'!$D$8:$D$1000,_xlfn.XLOOKUP($C30,Item_List_Number,Item_List,"",0),'Data Table'!$F$8:$F$1000,"Inside",'Data Table'!$H$8:$H$1000,"&lt;&gt;"&amp;_xlfn.XLOOKUP(DSCountry,DS_Country_List,DS_Currency_List))</f>
        <v>0</v>
      </c>
      <c r="G30" s="57" t="s">
        <v>124</v>
      </c>
      <c r="H30" s="99">
        <f>SUMIFS('Data Table'!$J$8:$J$1000,'Data Table'!$D$8:$D$1000,_xlfn.XLOOKUP($C30,Item_List_Number,Item_List,"",0),'Data Table'!$F$8:$F$1000,"Outside")</f>
        <v>0</v>
      </c>
      <c r="I30" s="59" t="s">
        <v>124</v>
      </c>
    </row>
    <row r="31" spans="2:9" x14ac:dyDescent="0.25">
      <c r="B31" s="244"/>
      <c r="C31" s="22" t="s">
        <v>396</v>
      </c>
      <c r="D31" s="21"/>
      <c r="E31" s="9"/>
      <c r="F31" s="10"/>
      <c r="G31" s="11"/>
      <c r="H31" s="12"/>
      <c r="I31" s="13"/>
    </row>
    <row r="32" spans="2:9" x14ac:dyDescent="0.25">
      <c r="B32" s="244"/>
      <c r="C32" s="21">
        <v>47</v>
      </c>
      <c r="D32" s="21" t="s">
        <v>397</v>
      </c>
      <c r="E32" s="98">
        <f>SUMIFS('Data Table'!$G$8:$G$1000,'Data Table'!$D$8:$D$1000,_xlfn.XLOOKUP($C32,Item_List_Number,Item_List,"",0),'Data Table'!$F$8:$F$1000,"Inside",'Data Table'!$H$8:$H$1000,_xlfn.XLOOKUP(DSCountry,DS_Country_List,DS_Currency_List))</f>
        <v>0</v>
      </c>
      <c r="F32" s="97">
        <f>SUMIFS('Data Table'!$J$8:$J$1000,'Data Table'!$D$8:$D$1000,_xlfn.XLOOKUP($C32,Item_List_Number,Item_List,"",0),'Data Table'!$F$8:$F$1000,"Inside",'Data Table'!$H$8:$H$1000,"&lt;&gt;"&amp;_xlfn.XLOOKUP(DSCountry,DS_Country_List,DS_Currency_List))</f>
        <v>0</v>
      </c>
      <c r="G32" s="11" t="s">
        <v>124</v>
      </c>
      <c r="H32" s="96">
        <f>SUMIFS('Data Table'!$J$8:$J$1000,'Data Table'!$D$8:$D$1000,_xlfn.XLOOKUP($C32,Item_List_Number,Item_List,"",0),'Data Table'!$F$8:$F$1000,"Outside")</f>
        <v>0</v>
      </c>
      <c r="I32" s="13" t="s">
        <v>124</v>
      </c>
    </row>
    <row r="33" spans="2:9" x14ac:dyDescent="0.25">
      <c r="B33" s="244"/>
      <c r="C33" s="53" t="s">
        <v>372</v>
      </c>
      <c r="D33" s="54"/>
      <c r="E33" s="55"/>
      <c r="F33" s="56"/>
      <c r="G33" s="57"/>
      <c r="H33" s="58"/>
      <c r="I33" s="59"/>
    </row>
    <row r="34" spans="2:9" x14ac:dyDescent="0.25">
      <c r="B34" s="244"/>
      <c r="C34" s="54">
        <v>48</v>
      </c>
      <c r="D34" s="54" t="s">
        <v>398</v>
      </c>
      <c r="E34" s="101">
        <f>SUMIFS('Data Table'!$G$8:$G$1000,'Data Table'!$D$8:$D$1000,_xlfn.XLOOKUP($C34,Item_List_Number,Item_List,"",0),'Data Table'!$F$8:$F$1000,"Inside",'Data Table'!$H$8:$H$1000,_xlfn.XLOOKUP(DSCountry,DS_Country_List,DS_Currency_List))</f>
        <v>0</v>
      </c>
      <c r="F34" s="100">
        <f>SUMIFS('Data Table'!$J$8:$J$1000,'Data Table'!$D$8:$D$1000,_xlfn.XLOOKUP($C34,Item_List_Number,Item_List,"",0),'Data Table'!$F$8:$F$1000,"Inside",'Data Table'!$H$8:$H$1000,"&lt;&gt;"&amp;_xlfn.XLOOKUP(DSCountry,DS_Country_List,DS_Currency_List))</f>
        <v>0</v>
      </c>
      <c r="G34" s="57" t="s">
        <v>124</v>
      </c>
      <c r="H34" s="99">
        <f>SUMIFS('Data Table'!$J$8:$J$1000,'Data Table'!$D$8:$D$1000,_xlfn.XLOOKUP($C34,Item_List_Number,Item_List,"",0),'Data Table'!$F$8:$F$1000,"Outside")</f>
        <v>0</v>
      </c>
      <c r="I34" s="59" t="s">
        <v>124</v>
      </c>
    </row>
    <row r="35" spans="2:9" x14ac:dyDescent="0.25">
      <c r="B35" s="244"/>
      <c r="C35" s="22" t="s">
        <v>376</v>
      </c>
      <c r="D35" s="21"/>
      <c r="E35" s="9"/>
      <c r="F35" s="10"/>
      <c r="G35" s="11"/>
      <c r="H35" s="12"/>
      <c r="I35" s="13"/>
    </row>
    <row r="36" spans="2:9" x14ac:dyDescent="0.25">
      <c r="B36" s="244"/>
      <c r="C36" s="8" t="s">
        <v>399</v>
      </c>
      <c r="D36" s="21" t="s">
        <v>404</v>
      </c>
      <c r="E36" s="98">
        <f>SUMIFS('Data Table'!$G$8:$G$1000,'Data Table'!$D$8:$D$1000,_xlfn.XLOOKUP($C36,Item_List_Number,Item_List,"",0),'Data Table'!$F$8:$F$1000,"Inside",'Data Table'!$H$8:$H$1000,_xlfn.XLOOKUP(DSCountry,DS_Country_List,DS_Currency_List))</f>
        <v>0</v>
      </c>
      <c r="F36" s="97">
        <f>SUMIFS('Data Table'!$J$8:$J$1000,'Data Table'!$D$8:$D$1000,_xlfn.XLOOKUP($C36,Item_List_Number,Item_List,"",0),'Data Table'!$F$8:$F$1000,"Inside",'Data Table'!$H$8:$H$1000,"&lt;&gt;"&amp;_xlfn.XLOOKUP(DSCountry,DS_Country_List,DS_Currency_List))</f>
        <v>0</v>
      </c>
      <c r="G36" s="11" t="s">
        <v>124</v>
      </c>
      <c r="H36" s="96">
        <f>SUMIFS('Data Table'!$J$8:$J$1000,'Data Table'!$D$8:$D$1000,_xlfn.XLOOKUP($C36,Item_List_Number,Item_List,"",0),'Data Table'!$F$8:$F$1000,"Outside")</f>
        <v>0</v>
      </c>
      <c r="I36" s="13" t="s">
        <v>124</v>
      </c>
    </row>
    <row r="37" spans="2:9" x14ac:dyDescent="0.25">
      <c r="B37" s="244"/>
      <c r="C37" s="8" t="s">
        <v>400</v>
      </c>
      <c r="D37" s="21" t="s">
        <v>405</v>
      </c>
      <c r="E37" s="98">
        <f>SUMIFS('Data Table'!$G$8:$G$1000,'Data Table'!$D$8:$D$1000,_xlfn.XLOOKUP($C37,Item_List_Number,Item_List,"",0),'Data Table'!$F$8:$F$1000,"Inside",'Data Table'!$H$8:$H$1000,_xlfn.XLOOKUP(DSCountry,DS_Country_List,DS_Currency_List))</f>
        <v>0</v>
      </c>
      <c r="F37" s="97">
        <f>SUMIFS('Data Table'!$J$8:$J$1000,'Data Table'!$D$8:$D$1000,_xlfn.XLOOKUP($C37,Item_List_Number,Item_List,"",0),'Data Table'!$F$8:$F$1000,"Inside",'Data Table'!$H$8:$H$1000,"&lt;&gt;"&amp;_xlfn.XLOOKUP(DSCountry,DS_Country_List,DS_Currency_List))</f>
        <v>0</v>
      </c>
      <c r="G37" s="11" t="s">
        <v>124</v>
      </c>
      <c r="H37" s="96">
        <f>SUMIFS('Data Table'!$J$8:$J$1000,'Data Table'!$D$8:$D$1000,_xlfn.XLOOKUP($C37,Item_List_Number,Item_List,"",0),'Data Table'!$F$8:$F$1000,"Outside")</f>
        <v>0</v>
      </c>
      <c r="I37" s="13" t="s">
        <v>124</v>
      </c>
    </row>
    <row r="38" spans="2:9" x14ac:dyDescent="0.25">
      <c r="B38" s="244"/>
      <c r="C38" s="8" t="s">
        <v>401</v>
      </c>
      <c r="D38" s="21" t="s">
        <v>406</v>
      </c>
      <c r="E38" s="98">
        <f>SUMIFS('Data Table'!$G$8:$G$1000,'Data Table'!$D$8:$D$1000,_xlfn.XLOOKUP($C38,Item_List_Number,Item_List,"",0),'Data Table'!$F$8:$F$1000,"Inside",'Data Table'!$H$8:$H$1000,_xlfn.XLOOKUP(DSCountry,DS_Country_List,DS_Currency_List))</f>
        <v>0</v>
      </c>
      <c r="F38" s="97">
        <f>SUMIFS('Data Table'!$J$8:$J$1000,'Data Table'!$D$8:$D$1000,_xlfn.XLOOKUP($C38,Item_List_Number,Item_List,"",0),'Data Table'!$F$8:$F$1000,"Inside",'Data Table'!$H$8:$H$1000,"&lt;&gt;"&amp;_xlfn.XLOOKUP(DSCountry,DS_Country_List,DS_Currency_List))</f>
        <v>0</v>
      </c>
      <c r="G38" s="11" t="s">
        <v>124</v>
      </c>
      <c r="H38" s="96">
        <f>SUMIFS('Data Table'!$J$8:$J$1000,'Data Table'!$D$8:$D$1000,_xlfn.XLOOKUP($C38,Item_List_Number,Item_List,"",0),'Data Table'!$F$8:$F$1000,"Outside")</f>
        <v>0</v>
      </c>
      <c r="I38" s="13" t="s">
        <v>124</v>
      </c>
    </row>
    <row r="39" spans="2:9" x14ac:dyDescent="0.25">
      <c r="B39" s="244"/>
      <c r="C39" s="8" t="s">
        <v>402</v>
      </c>
      <c r="D39" s="21" t="s">
        <v>40</v>
      </c>
      <c r="E39" s="98">
        <f>SUMIFS('Data Table'!$G$8:$G$1000,'Data Table'!$D$8:$D$1000,_xlfn.XLOOKUP($C39,Item_List_Number,Item_List,"",0),'Data Table'!$F$8:$F$1000,"Inside",'Data Table'!$H$8:$H$1000,_xlfn.XLOOKUP(DSCountry,DS_Country_List,DS_Currency_List))</f>
        <v>0</v>
      </c>
      <c r="F39" s="97">
        <f>SUMIFS('Data Table'!$J$8:$J$1000,'Data Table'!$D$8:$D$1000,_xlfn.XLOOKUP($C39,Item_List_Number,Item_List,"",0),'Data Table'!$F$8:$F$1000,"Inside",'Data Table'!$H$8:$H$1000,"&lt;&gt;"&amp;_xlfn.XLOOKUP(DSCountry,DS_Country_List,DS_Currency_List))</f>
        <v>0</v>
      </c>
      <c r="G39" s="11" t="s">
        <v>124</v>
      </c>
      <c r="H39" s="96">
        <f>SUMIFS('Data Table'!$J$8:$J$1000,'Data Table'!$D$8:$D$1000,_xlfn.XLOOKUP($C39,Item_List_Number,Item_List,"",0),'Data Table'!$F$8:$F$1000,"Outside")</f>
        <v>0</v>
      </c>
      <c r="I39" s="13" t="s">
        <v>124</v>
      </c>
    </row>
    <row r="40" spans="2:9" x14ac:dyDescent="0.25">
      <c r="B40" s="244"/>
      <c r="C40" s="8" t="s">
        <v>403</v>
      </c>
      <c r="D40" s="21" t="s">
        <v>407</v>
      </c>
      <c r="E40" s="98">
        <f>SUMIFS('Data Table'!$G$8:$G$1000,'Data Table'!$D$8:$D$1000,_xlfn.XLOOKUP($C40,Item_List_Number,Item_List,"",0),'Data Table'!$F$8:$F$1000,"Inside",'Data Table'!$H$8:$H$1000,_xlfn.XLOOKUP(DSCountry,DS_Country_List,DS_Currency_List))</f>
        <v>0</v>
      </c>
      <c r="F40" s="97">
        <f>SUMIFS('Data Table'!$J$8:$J$1000,'Data Table'!$D$8:$D$1000,_xlfn.XLOOKUP($C40,Item_List_Number,Item_List,"",0),'Data Table'!$F$8:$F$1000,"Inside",'Data Table'!$H$8:$H$1000,"&lt;&gt;"&amp;_xlfn.XLOOKUP(DSCountry,DS_Country_List,DS_Currency_List))</f>
        <v>0</v>
      </c>
      <c r="G40" s="11" t="s">
        <v>124</v>
      </c>
      <c r="H40" s="96">
        <f>SUMIFS('Data Table'!$J$8:$J$1000,'Data Table'!$D$8:$D$1000,_xlfn.XLOOKUP($C40,Item_List_Number,Item_List,"",0),'Data Table'!$F$8:$F$1000,"Outside")</f>
        <v>0</v>
      </c>
      <c r="I40" s="13" t="s">
        <v>124</v>
      </c>
    </row>
    <row r="41" spans="2:9" x14ac:dyDescent="0.25">
      <c r="B41" s="244"/>
      <c r="C41" s="53" t="s">
        <v>8</v>
      </c>
      <c r="D41" s="54"/>
      <c r="E41" s="55"/>
      <c r="F41" s="56"/>
      <c r="G41" s="57"/>
      <c r="H41" s="58"/>
      <c r="I41" s="59"/>
    </row>
    <row r="42" spans="2:9" ht="15.75" thickBot="1" x14ac:dyDescent="0.3">
      <c r="B42" s="245"/>
      <c r="C42" s="60">
        <v>51</v>
      </c>
      <c r="D42" s="60" t="s">
        <v>622</v>
      </c>
      <c r="E42" s="104">
        <f>SUMIFS('Data Table'!$G$8:$G$1000,'Data Table'!$D$8:$D$1000,_xlfn.XLOOKUP($C42,Item_List_Number,Item_List,"",0),'Data Table'!$F$8:$F$1000,"Inside",'Data Table'!$H$8:$H$1000,_xlfn.XLOOKUP(DSCountry,DS_Country_List,DS_Currency_List))</f>
        <v>0</v>
      </c>
      <c r="F42" s="103">
        <f>SUMIFS('Data Table'!$J$8:$J$1000,'Data Table'!$D$8:$D$1000,_xlfn.XLOOKUP($C42,Item_List_Number,Item_List,"",0),'Data Table'!$F$8:$F$1000,"Inside",'Data Table'!$H$8:$H$1000,"&lt;&gt;"&amp;_xlfn.XLOOKUP(DSCountry,DS_Country_List,DS_Currency_List))</f>
        <v>0</v>
      </c>
      <c r="G42" s="61" t="s">
        <v>124</v>
      </c>
      <c r="H42" s="102">
        <f>SUMIFS('Data Table'!$J$8:$J$1000,'Data Table'!$D$8:$D$1000,_xlfn.XLOOKUP($C42,Item_List_Number,Item_List,"",0),'Data Table'!$F$8:$F$1000,"Outside")</f>
        <v>0</v>
      </c>
      <c r="I42" s="62" t="s">
        <v>124</v>
      </c>
    </row>
    <row r="43" spans="2:9" x14ac:dyDescent="0.25">
      <c r="B43" s="238"/>
      <c r="C43" s="22" t="s">
        <v>409</v>
      </c>
      <c r="D43" s="21"/>
      <c r="E43" s="9"/>
      <c r="F43" s="10"/>
      <c r="G43" s="11"/>
      <c r="H43" s="12"/>
      <c r="I43" s="13"/>
    </row>
    <row r="44" spans="2:9" x14ac:dyDescent="0.25">
      <c r="B44" s="239"/>
      <c r="C44" s="8" t="s">
        <v>410</v>
      </c>
      <c r="D44" s="21" t="s">
        <v>43</v>
      </c>
      <c r="E44" s="98">
        <f>SUMIFS('Data Table'!$G$8:$G$1000,'Data Table'!$D$8:$D$1000,_xlfn.XLOOKUP($C44,Item_List_Number,Item_List,"",0),'Data Table'!$F$8:$F$1000,"Inside",'Data Table'!$H$8:$H$1000,_xlfn.XLOOKUP(DSCountry,DS_Country_List,DS_Currency_List))</f>
        <v>0</v>
      </c>
      <c r="F44" s="97">
        <f>SUMIFS('Data Table'!$J$8:$J$1000,'Data Table'!$D$8:$D$1000,_xlfn.XLOOKUP($C44,Item_List_Number,Item_List,"",0),'Data Table'!$F$8:$F$1000,"Inside",'Data Table'!$H$8:$H$1000,"&lt;&gt;"&amp;_xlfn.XLOOKUP(DSCountry,DS_Country_List,DS_Currency_List))</f>
        <v>0</v>
      </c>
      <c r="G44" s="11" t="s">
        <v>124</v>
      </c>
      <c r="H44" s="96">
        <f>SUMIFS('Data Table'!$J$8:$J$1000,'Data Table'!$D$8:$D$1000,_xlfn.XLOOKUP($C44,Item_List_Number,Item_List,"",0),'Data Table'!$F$8:$F$1000,"Outside")</f>
        <v>0</v>
      </c>
      <c r="I44" s="13" t="s">
        <v>124</v>
      </c>
    </row>
    <row r="45" spans="2:9" x14ac:dyDescent="0.25">
      <c r="B45" s="239"/>
      <c r="C45" s="8" t="s">
        <v>411</v>
      </c>
      <c r="D45" s="21" t="s">
        <v>424</v>
      </c>
      <c r="E45" s="98">
        <f>SUMIFS('Data Table'!$G$8:$G$1000,'Data Table'!$D$8:$D$1000,_xlfn.XLOOKUP($C45,Item_List_Number,Item_List,"",0),'Data Table'!$F$8:$F$1000,"Inside",'Data Table'!$H$8:$H$1000,_xlfn.XLOOKUP(DSCountry,DS_Country_List,DS_Currency_List))</f>
        <v>0</v>
      </c>
      <c r="F45" s="97">
        <f>SUMIFS('Data Table'!$J$8:$J$1000,'Data Table'!$D$8:$D$1000,_xlfn.XLOOKUP($C45,Item_List_Number,Item_List,"",0),'Data Table'!$F$8:$F$1000,"Inside",'Data Table'!$H$8:$H$1000,"&lt;&gt;"&amp;_xlfn.XLOOKUP(DSCountry,DS_Country_List,DS_Currency_List))</f>
        <v>0</v>
      </c>
      <c r="G45" s="11" t="s">
        <v>124</v>
      </c>
      <c r="H45" s="96">
        <f>SUMIFS('Data Table'!$J$8:$J$1000,'Data Table'!$D$8:$D$1000,_xlfn.XLOOKUP($C45,Item_List_Number,Item_List,"",0),'Data Table'!$F$8:$F$1000,"Outside")</f>
        <v>0</v>
      </c>
      <c r="I45" s="13" t="s">
        <v>124</v>
      </c>
    </row>
    <row r="46" spans="2:9" x14ac:dyDescent="0.25">
      <c r="B46" s="239"/>
      <c r="C46" s="8" t="s">
        <v>412</v>
      </c>
      <c r="D46" s="21" t="s">
        <v>415</v>
      </c>
      <c r="E46" s="98">
        <f>SUMIFS('Data Table'!$G$8:$G$1000,'Data Table'!$D$8:$D$1000,_xlfn.XLOOKUP($C46,Item_List_Number,Item_List,"",0),'Data Table'!$F$8:$F$1000,"Inside",'Data Table'!$H$8:$H$1000,_xlfn.XLOOKUP(DSCountry,DS_Country_List,DS_Currency_List))</f>
        <v>0</v>
      </c>
      <c r="F46" s="97">
        <f>SUMIFS('Data Table'!$J$8:$J$1000,'Data Table'!$D$8:$D$1000,_xlfn.XLOOKUP($C46,Item_List_Number,Item_List,"",0),'Data Table'!$F$8:$F$1000,"Inside",'Data Table'!$H$8:$H$1000,"&lt;&gt;"&amp;_xlfn.XLOOKUP(DSCountry,DS_Country_List,DS_Currency_List))</f>
        <v>0</v>
      </c>
      <c r="G46" s="11" t="s">
        <v>124</v>
      </c>
      <c r="H46" s="96">
        <f>SUMIFS('Data Table'!$J$8:$J$1000,'Data Table'!$D$8:$D$1000,_xlfn.XLOOKUP($C46,Item_List_Number,Item_List,"",0),'Data Table'!$F$8:$F$1000,"Outside")</f>
        <v>0</v>
      </c>
      <c r="I46" s="13" t="s">
        <v>124</v>
      </c>
    </row>
    <row r="47" spans="2:9" x14ac:dyDescent="0.25">
      <c r="B47" s="239"/>
      <c r="C47" s="8" t="s">
        <v>413</v>
      </c>
      <c r="D47" s="21" t="s">
        <v>416</v>
      </c>
      <c r="E47" s="98">
        <f>SUMIFS('Data Table'!$G$8:$G$1000,'Data Table'!$D$8:$D$1000,_xlfn.XLOOKUP($C47,Item_List_Number,Item_List,"",0),'Data Table'!$F$8:$F$1000,"Inside",'Data Table'!$H$8:$H$1000,_xlfn.XLOOKUP(DSCountry,DS_Country_List,DS_Currency_List))</f>
        <v>0</v>
      </c>
      <c r="F47" s="97">
        <f>SUMIFS('Data Table'!$J$8:$J$1000,'Data Table'!$D$8:$D$1000,_xlfn.XLOOKUP($C47,Item_List_Number,Item_List,"",0),'Data Table'!$F$8:$F$1000,"Inside",'Data Table'!$H$8:$H$1000,"&lt;&gt;"&amp;_xlfn.XLOOKUP(DSCountry,DS_Country_List,DS_Currency_List))</f>
        <v>0</v>
      </c>
      <c r="G47" s="11" t="s">
        <v>124</v>
      </c>
      <c r="H47" s="96">
        <f>SUMIFS('Data Table'!$J$8:$J$1000,'Data Table'!$D$8:$D$1000,_xlfn.XLOOKUP($C47,Item_List_Number,Item_List,"",0),'Data Table'!$F$8:$F$1000,"Outside")</f>
        <v>0</v>
      </c>
      <c r="I47" s="13" t="s">
        <v>124</v>
      </c>
    </row>
    <row r="48" spans="2:9" x14ac:dyDescent="0.25">
      <c r="B48" s="239"/>
      <c r="C48" s="8" t="s">
        <v>420</v>
      </c>
      <c r="D48" s="21" t="s">
        <v>417</v>
      </c>
      <c r="E48" s="98">
        <f>SUMIFS('Data Table'!$G$8:$G$1000,'Data Table'!$D$8:$D$1000,_xlfn.XLOOKUP($C48,Item_List_Number,Item_List,"",0),'Data Table'!$F$8:$F$1000,"Inside",'Data Table'!$H$8:$H$1000,_xlfn.XLOOKUP(DSCountry,DS_Country_List,DS_Currency_List))</f>
        <v>0</v>
      </c>
      <c r="F48" s="97">
        <f>SUMIFS('Data Table'!$J$8:$J$1000,'Data Table'!$D$8:$D$1000,_xlfn.XLOOKUP($C48,Item_List_Number,Item_List,"",0),'Data Table'!$F$8:$F$1000,"Inside",'Data Table'!$H$8:$H$1000,"&lt;&gt;"&amp;_xlfn.XLOOKUP(DSCountry,DS_Country_List,DS_Currency_List))</f>
        <v>0</v>
      </c>
      <c r="G48" s="11" t="s">
        <v>124</v>
      </c>
      <c r="H48" s="96">
        <f>SUMIFS('Data Table'!$J$8:$J$1000,'Data Table'!$D$8:$D$1000,_xlfn.XLOOKUP($C48,Item_List_Number,Item_List,"",0),'Data Table'!$F$8:$F$1000,"Outside")</f>
        <v>0</v>
      </c>
      <c r="I48" s="13" t="s">
        <v>124</v>
      </c>
    </row>
    <row r="49" spans="2:9" x14ac:dyDescent="0.25">
      <c r="B49" s="239"/>
      <c r="C49" s="8" t="s">
        <v>421</v>
      </c>
      <c r="D49" s="21" t="s">
        <v>418</v>
      </c>
      <c r="E49" s="98">
        <f>SUMIFS('Data Table'!$G$8:$G$1000,'Data Table'!$D$8:$D$1000,_xlfn.XLOOKUP($C49,Item_List_Number,Item_List,"",0),'Data Table'!$F$8:$F$1000,"Inside",'Data Table'!$H$8:$H$1000,_xlfn.XLOOKUP(DSCountry,DS_Country_List,DS_Currency_List))</f>
        <v>0</v>
      </c>
      <c r="F49" s="97">
        <f>SUMIFS('Data Table'!$J$8:$J$1000,'Data Table'!$D$8:$D$1000,_xlfn.XLOOKUP($C49,Item_List_Number,Item_List,"",0),'Data Table'!$F$8:$F$1000,"Inside",'Data Table'!$H$8:$H$1000,"&lt;&gt;"&amp;_xlfn.XLOOKUP(DSCountry,DS_Country_List,DS_Currency_List))</f>
        <v>0</v>
      </c>
      <c r="G49" s="11" t="s">
        <v>124</v>
      </c>
      <c r="H49" s="96">
        <f>SUMIFS('Data Table'!$J$8:$J$1000,'Data Table'!$D$8:$D$1000,_xlfn.XLOOKUP($C49,Item_List_Number,Item_List,"",0),'Data Table'!$F$8:$F$1000,"Outside")</f>
        <v>0</v>
      </c>
      <c r="I49" s="13" t="s">
        <v>124</v>
      </c>
    </row>
    <row r="50" spans="2:9" x14ac:dyDescent="0.25">
      <c r="B50" s="239"/>
      <c r="C50" s="8" t="s">
        <v>422</v>
      </c>
      <c r="D50" s="21" t="s">
        <v>419</v>
      </c>
      <c r="E50" s="98">
        <f>SUMIFS('Data Table'!$G$8:$G$1000,'Data Table'!$D$8:$D$1000,_xlfn.XLOOKUP($C50,Item_List_Number,Item_List,"",0),'Data Table'!$F$8:$F$1000,"Inside",'Data Table'!$H$8:$H$1000,_xlfn.XLOOKUP(DSCountry,DS_Country_List,DS_Currency_List))</f>
        <v>0</v>
      </c>
      <c r="F50" s="97">
        <f>SUMIFS('Data Table'!$J$8:$J$1000,'Data Table'!$D$8:$D$1000,_xlfn.XLOOKUP($C50,Item_List_Number,Item_List,"",0),'Data Table'!$F$8:$F$1000,"Inside",'Data Table'!$H$8:$H$1000,"&lt;&gt;"&amp;_xlfn.XLOOKUP(DSCountry,DS_Country_List,DS_Currency_List))</f>
        <v>0</v>
      </c>
      <c r="G50" s="11" t="s">
        <v>124</v>
      </c>
      <c r="H50" s="96">
        <f>SUMIFS('Data Table'!$J$8:$J$1000,'Data Table'!$D$8:$D$1000,_xlfn.XLOOKUP($C50,Item_List_Number,Item_List,"",0),'Data Table'!$F$8:$F$1000,"Outside")</f>
        <v>0</v>
      </c>
      <c r="I50" s="13" t="s">
        <v>124</v>
      </c>
    </row>
    <row r="51" spans="2:9" x14ac:dyDescent="0.25">
      <c r="B51" s="239"/>
      <c r="C51" s="53" t="s">
        <v>423</v>
      </c>
      <c r="D51" s="54"/>
      <c r="E51" s="55"/>
      <c r="F51" s="56"/>
      <c r="G51" s="57"/>
      <c r="H51" s="58"/>
      <c r="I51" s="59"/>
    </row>
    <row r="52" spans="2:9" x14ac:dyDescent="0.25">
      <c r="B52" s="239"/>
      <c r="C52" s="63" t="s">
        <v>425</v>
      </c>
      <c r="D52" s="54" t="s">
        <v>43</v>
      </c>
      <c r="E52" s="101">
        <f>SUMIFS('Data Table'!$G$8:$G$1000,'Data Table'!$D$8:$D$1000,_xlfn.XLOOKUP($C52,Item_List_Number,Item_List,"",0),'Data Table'!$F$8:$F$1000,"Inside",'Data Table'!$H$8:$H$1000,_xlfn.XLOOKUP(DSCountry,DS_Country_List,DS_Currency_List))</f>
        <v>0</v>
      </c>
      <c r="F52" s="100">
        <f>SUMIFS('Data Table'!$J$8:$J$1000,'Data Table'!$D$8:$D$1000,_xlfn.XLOOKUP($C52,Item_List_Number,Item_List,"",0),'Data Table'!$F$8:$F$1000,"Inside",'Data Table'!$H$8:$H$1000,"&lt;&gt;"&amp;_xlfn.XLOOKUP(DSCountry,DS_Country_List,DS_Currency_List))</f>
        <v>0</v>
      </c>
      <c r="G52" s="57" t="s">
        <v>124</v>
      </c>
      <c r="H52" s="99">
        <f>SUMIFS('Data Table'!$J$8:$J$1000,'Data Table'!$D$8:$D$1000,_xlfn.XLOOKUP($C52,Item_List_Number,Item_List,"",0),'Data Table'!$F$8:$F$1000,"Outside")</f>
        <v>0</v>
      </c>
      <c r="I52" s="59" t="s">
        <v>124</v>
      </c>
    </row>
    <row r="53" spans="2:9" x14ac:dyDescent="0.25">
      <c r="B53" s="239"/>
      <c r="C53" s="63" t="s">
        <v>426</v>
      </c>
      <c r="D53" s="54" t="s">
        <v>414</v>
      </c>
      <c r="E53" s="101">
        <f>SUMIFS('Data Table'!$G$8:$G$1000,'Data Table'!$D$8:$D$1000,_xlfn.XLOOKUP($C53,Item_List_Number,Item_List,"",0),'Data Table'!$F$8:$F$1000,"Inside",'Data Table'!$H$8:$H$1000,_xlfn.XLOOKUP(DSCountry,DS_Country_List,DS_Currency_List))</f>
        <v>0</v>
      </c>
      <c r="F53" s="100">
        <f>SUMIFS('Data Table'!$J$8:$J$1000,'Data Table'!$D$8:$D$1000,_xlfn.XLOOKUP($C53,Item_List_Number,Item_List,"",0),'Data Table'!$F$8:$F$1000,"Inside",'Data Table'!$H$8:$H$1000,"&lt;&gt;"&amp;_xlfn.XLOOKUP(DSCountry,DS_Country_List,DS_Currency_List))</f>
        <v>0</v>
      </c>
      <c r="G53" s="57" t="s">
        <v>124</v>
      </c>
      <c r="H53" s="99">
        <f>SUMIFS('Data Table'!$J$8:$J$1000,'Data Table'!$D$8:$D$1000,_xlfn.XLOOKUP($C53,Item_List_Number,Item_List,"",0),'Data Table'!$F$8:$F$1000,"Outside")</f>
        <v>0</v>
      </c>
      <c r="I53" s="59" t="s">
        <v>124</v>
      </c>
    </row>
    <row r="54" spans="2:9" x14ac:dyDescent="0.25">
      <c r="B54" s="239"/>
      <c r="C54" s="63" t="s">
        <v>427</v>
      </c>
      <c r="D54" s="54" t="s">
        <v>415</v>
      </c>
      <c r="E54" s="101">
        <f>SUMIFS('Data Table'!$G$8:$G$1000,'Data Table'!$D$8:$D$1000,_xlfn.XLOOKUP($C54,Item_List_Number,Item_List,"",0),'Data Table'!$F$8:$F$1000,"Inside",'Data Table'!$H$8:$H$1000,_xlfn.XLOOKUP(DSCountry,DS_Country_List,DS_Currency_List))</f>
        <v>0</v>
      </c>
      <c r="F54" s="100">
        <f>SUMIFS('Data Table'!$J$8:$J$1000,'Data Table'!$D$8:$D$1000,_xlfn.XLOOKUP($C54,Item_List_Number,Item_List,"",0),'Data Table'!$F$8:$F$1000,"Inside",'Data Table'!$H$8:$H$1000,"&lt;&gt;"&amp;_xlfn.XLOOKUP(DSCountry,DS_Country_List,DS_Currency_List))</f>
        <v>0</v>
      </c>
      <c r="G54" s="57" t="s">
        <v>124</v>
      </c>
      <c r="H54" s="99">
        <f>SUMIFS('Data Table'!$J$8:$J$1000,'Data Table'!$D$8:$D$1000,_xlfn.XLOOKUP($C54,Item_List_Number,Item_List,"",0),'Data Table'!$F$8:$F$1000,"Outside")</f>
        <v>0</v>
      </c>
      <c r="I54" s="59" t="s">
        <v>124</v>
      </c>
    </row>
    <row r="55" spans="2:9" x14ac:dyDescent="0.25">
      <c r="B55" s="239"/>
      <c r="C55" s="63" t="s">
        <v>428</v>
      </c>
      <c r="D55" s="54" t="s">
        <v>416</v>
      </c>
      <c r="E55" s="101">
        <f>SUMIFS('Data Table'!$G$8:$G$1000,'Data Table'!$D$8:$D$1000,_xlfn.XLOOKUP($C55,Item_List_Number,Item_List,"",0),'Data Table'!$F$8:$F$1000,"Inside",'Data Table'!$H$8:$H$1000,_xlfn.XLOOKUP(DSCountry,DS_Country_List,DS_Currency_List))</f>
        <v>0</v>
      </c>
      <c r="F55" s="100">
        <f>SUMIFS('Data Table'!$J$8:$J$1000,'Data Table'!$D$8:$D$1000,_xlfn.XLOOKUP($C55,Item_List_Number,Item_List,"",0),'Data Table'!$F$8:$F$1000,"Inside",'Data Table'!$H$8:$H$1000,"&lt;&gt;"&amp;_xlfn.XLOOKUP(DSCountry,DS_Country_List,DS_Currency_List))</f>
        <v>0</v>
      </c>
      <c r="G55" s="57" t="s">
        <v>124</v>
      </c>
      <c r="H55" s="99">
        <f>SUMIFS('Data Table'!$J$8:$J$1000,'Data Table'!$D$8:$D$1000,_xlfn.XLOOKUP($C55,Item_List_Number,Item_List,"",0),'Data Table'!$F$8:$F$1000,"Outside")</f>
        <v>0</v>
      </c>
      <c r="I55" s="59" t="s">
        <v>124</v>
      </c>
    </row>
    <row r="56" spans="2:9" x14ac:dyDescent="0.25">
      <c r="B56" s="239"/>
      <c r="C56" s="63" t="s">
        <v>429</v>
      </c>
      <c r="D56" s="54" t="s">
        <v>417</v>
      </c>
      <c r="E56" s="101">
        <f>SUMIFS('Data Table'!$G$8:$G$1000,'Data Table'!$D$8:$D$1000,_xlfn.XLOOKUP($C56,Item_List_Number,Item_List,"",0),'Data Table'!$F$8:$F$1000,"Inside",'Data Table'!$H$8:$H$1000,_xlfn.XLOOKUP(DSCountry,DS_Country_List,DS_Currency_List))</f>
        <v>0</v>
      </c>
      <c r="F56" s="100">
        <f>SUMIFS('Data Table'!$J$8:$J$1000,'Data Table'!$D$8:$D$1000,_xlfn.XLOOKUP($C56,Item_List_Number,Item_List,"",0),'Data Table'!$F$8:$F$1000,"Inside",'Data Table'!$H$8:$H$1000,"&lt;&gt;"&amp;_xlfn.XLOOKUP(DSCountry,DS_Country_List,DS_Currency_List))</f>
        <v>0</v>
      </c>
      <c r="G56" s="57" t="s">
        <v>124</v>
      </c>
      <c r="H56" s="99">
        <f>SUMIFS('Data Table'!$J$8:$J$1000,'Data Table'!$D$8:$D$1000,_xlfn.XLOOKUP($C56,Item_List_Number,Item_List,"",0),'Data Table'!$F$8:$F$1000,"Outside")</f>
        <v>0</v>
      </c>
      <c r="I56" s="59" t="s">
        <v>124</v>
      </c>
    </row>
    <row r="57" spans="2:9" x14ac:dyDescent="0.25">
      <c r="B57" s="239"/>
      <c r="C57" s="63" t="s">
        <v>430</v>
      </c>
      <c r="D57" s="54" t="s">
        <v>418</v>
      </c>
      <c r="E57" s="101">
        <f>SUMIFS('Data Table'!$G$8:$G$1000,'Data Table'!$D$8:$D$1000,_xlfn.XLOOKUP($C57,Item_List_Number,Item_List,"",0),'Data Table'!$F$8:$F$1000,"Inside",'Data Table'!$H$8:$H$1000,_xlfn.XLOOKUP(DSCountry,DS_Country_List,DS_Currency_List))</f>
        <v>0</v>
      </c>
      <c r="F57" s="100">
        <f>SUMIFS('Data Table'!$J$8:$J$1000,'Data Table'!$D$8:$D$1000,_xlfn.XLOOKUP($C57,Item_List_Number,Item_List,"",0),'Data Table'!$F$8:$F$1000,"Inside",'Data Table'!$H$8:$H$1000,"&lt;&gt;"&amp;_xlfn.XLOOKUP(DSCountry,DS_Country_List,DS_Currency_List))</f>
        <v>0</v>
      </c>
      <c r="G57" s="57" t="s">
        <v>124</v>
      </c>
      <c r="H57" s="99">
        <f>SUMIFS('Data Table'!$J$8:$J$1000,'Data Table'!$D$8:$D$1000,_xlfn.XLOOKUP($C57,Item_List_Number,Item_List,"",0),'Data Table'!$F$8:$F$1000,"Outside")</f>
        <v>0</v>
      </c>
      <c r="I57" s="59" t="s">
        <v>124</v>
      </c>
    </row>
    <row r="58" spans="2:9" x14ac:dyDescent="0.25">
      <c r="B58" s="239"/>
      <c r="C58" s="63" t="s">
        <v>431</v>
      </c>
      <c r="D58" s="54" t="s">
        <v>419</v>
      </c>
      <c r="E58" s="101">
        <f>SUMIFS('Data Table'!$G$8:$G$1000,'Data Table'!$D$8:$D$1000,_xlfn.XLOOKUP($C58,Item_List_Number,Item_List,"",0),'Data Table'!$F$8:$F$1000,"Inside",'Data Table'!$H$8:$H$1000,_xlfn.XLOOKUP(DSCountry,DS_Country_List,DS_Currency_List))</f>
        <v>0</v>
      </c>
      <c r="F58" s="100">
        <f>SUMIFS('Data Table'!$J$8:$J$1000,'Data Table'!$D$8:$D$1000,_xlfn.XLOOKUP($C58,Item_List_Number,Item_List,"",0),'Data Table'!$F$8:$F$1000,"Inside",'Data Table'!$H$8:$H$1000,"&lt;&gt;"&amp;_xlfn.XLOOKUP(DSCountry,DS_Country_List,DS_Currency_List))</f>
        <v>0</v>
      </c>
      <c r="G58" s="57" t="s">
        <v>124</v>
      </c>
      <c r="H58" s="99">
        <f>SUMIFS('Data Table'!$J$8:$J$1000,'Data Table'!$D$8:$D$1000,_xlfn.XLOOKUP($C58,Item_List_Number,Item_List,"",0),'Data Table'!$F$8:$F$1000,"Outside")</f>
        <v>0</v>
      </c>
      <c r="I58" s="59" t="s">
        <v>124</v>
      </c>
    </row>
    <row r="59" spans="2:9" x14ac:dyDescent="0.25">
      <c r="B59" s="239"/>
      <c r="C59" s="22" t="s">
        <v>432</v>
      </c>
      <c r="D59" s="21"/>
      <c r="E59" s="9"/>
      <c r="F59" s="10"/>
      <c r="G59" s="11"/>
      <c r="H59" s="12"/>
      <c r="I59" s="13"/>
    </row>
    <row r="60" spans="2:9" ht="15.75" thickBot="1" x14ac:dyDescent="0.3">
      <c r="B60" s="240"/>
      <c r="C60" s="52" t="s">
        <v>346</v>
      </c>
      <c r="D60" s="23" t="s">
        <v>43</v>
      </c>
      <c r="E60" s="107">
        <f>SUMIFS('Data Table'!$G$8:$G$1000,'Data Table'!$D$8:$D$1000,_xlfn.XLOOKUP($C60,Item_List_Number,Item_List,"",0),'Data Table'!$F$8:$F$1000,"Inside",'Data Table'!$H$8:$H$1000,_xlfn.XLOOKUP(DSCountry,DS_Country_List,DS_Currency_List))</f>
        <v>0</v>
      </c>
      <c r="F60" s="106">
        <f>SUMIFS('Data Table'!$J$8:$J$1000,'Data Table'!$D$8:$D$1000,_xlfn.XLOOKUP($C60,Item_List_Number,Item_List,"",0),'Data Table'!$F$8:$F$1000,"Inside",'Data Table'!$H$8:$H$1000,"&lt;&gt;"&amp;_xlfn.XLOOKUP(DSCountry,DS_Country_List,DS_Currency_List))</f>
        <v>0</v>
      </c>
      <c r="G60" s="24" t="s">
        <v>124</v>
      </c>
      <c r="H60" s="105">
        <f>SUMIFS('Data Table'!$J$8:$J$1000,'Data Table'!$D$8:$D$1000,_xlfn.XLOOKUP($C60,Item_List_Number,Item_List,"",0),'Data Table'!$F$8:$F$1000,"Outside")</f>
        <v>0</v>
      </c>
      <c r="I60" s="25" t="s">
        <v>124</v>
      </c>
    </row>
    <row r="61" spans="2:9" ht="15.75" thickTop="1" x14ac:dyDescent="0.25"/>
  </sheetData>
  <sheetProtection algorithmName="SHA-512" hashValue="/Aqi5SeJ3bPfzk0V7ZDqL3yv8tqfBkZRhQFq69MvSfb9FogJk591M6ZSUMGZUkjy72hUxM53UAUnBsy/jk3Mog==" saltValue="rQBiW5N7TMNBrP55NqvOxg==" spinCount="100000" sheet="1" objects="1" scenarios="1"/>
  <mergeCells count="7">
    <mergeCell ref="B43:B60"/>
    <mergeCell ref="D2:D3"/>
    <mergeCell ref="B4:B42"/>
    <mergeCell ref="E2:G2"/>
    <mergeCell ref="H2:I2"/>
    <mergeCell ref="F3:G3"/>
    <mergeCell ref="H3:I3"/>
  </mergeCells>
  <conditionalFormatting sqref="E3">
    <cfRule type="cellIs" dxfId="1" priority="1" operator="equal">
      <formula>"Specify country in Data Table"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B41E-948C-4775-80AE-D42EA28D0563}">
  <sheetPr codeName="Sheet5"/>
  <dimension ref="B1:I15"/>
  <sheetViews>
    <sheetView workbookViewId="0">
      <pane ySplit="3" topLeftCell="A4" activePane="bottomLeft" state="frozen"/>
      <selection pane="bottomLeft"/>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78"/>
      <c r="C2" s="79"/>
      <c r="D2" s="257" t="s">
        <v>446</v>
      </c>
      <c r="E2" s="259" t="s">
        <v>348</v>
      </c>
      <c r="F2" s="260"/>
      <c r="G2" s="261"/>
      <c r="H2" s="259" t="s">
        <v>349</v>
      </c>
      <c r="I2" s="262"/>
    </row>
    <row r="3" spans="2:9" ht="31.5" customHeight="1" thickBot="1" x14ac:dyDescent="0.3">
      <c r="B3" s="80"/>
      <c r="C3" s="81"/>
      <c r="D3" s="258"/>
      <c r="E3" s="82" t="str">
        <f>IF(ISBLANK(DSCountry),"Specify country in Data Table","Amount Spent in
Local Currency ("&amp;(_xlfn.XLOOKUP(DSCountry,DS_Country_List,DS_Currency_List))&amp;")")</f>
        <v>Amount Spent in
Local Currency (AUD)</v>
      </c>
      <c r="F3" s="263" t="s">
        <v>350</v>
      </c>
      <c r="G3" s="264"/>
      <c r="H3" s="265" t="s">
        <v>351</v>
      </c>
      <c r="I3" s="266"/>
    </row>
    <row r="4" spans="2:9" x14ac:dyDescent="0.25">
      <c r="B4" s="254"/>
      <c r="C4" s="14" t="s">
        <v>433</v>
      </c>
      <c r="D4" s="15"/>
      <c r="E4" s="16"/>
      <c r="F4" s="17"/>
      <c r="G4" s="18"/>
      <c r="H4" s="19"/>
      <c r="I4" s="20"/>
    </row>
    <row r="5" spans="2:9" x14ac:dyDescent="0.25">
      <c r="B5" s="255"/>
      <c r="C5" s="21">
        <v>55</v>
      </c>
      <c r="D5" s="21" t="s">
        <v>623</v>
      </c>
      <c r="E5" s="98">
        <f>SUMIFS('Data Table'!$G$8:$G$1000,'Data Table'!$D$8:$D$1000,_xlfn.XLOOKUP($C5,Item_List_Number,Item_List,"",0),'Data Table'!$F$8:$F$1000,"Inside",'Data Table'!$H$8:$H$1000,_xlfn.XLOOKUP(DSCountry,DS_Country_List,DS_Currency_List))</f>
        <v>0</v>
      </c>
      <c r="F5" s="97">
        <f>SUMIFS('Data Table'!$J$8:$J$1000,'Data Table'!$D$8:$D$1000,_xlfn.XLOOKUP($C5,Item_List_Number,Item_List,"",0),'Data Table'!$F$8:$F$1000,"Inside",'Data Table'!$H$8:$H$1000,"&lt;&gt;"&amp;_xlfn.XLOOKUP(DSCountry,DS_Country_List,DS_Currency_List))</f>
        <v>0</v>
      </c>
      <c r="G5" s="11" t="s">
        <v>124</v>
      </c>
      <c r="H5" s="96">
        <f>SUMIFS('Data Table'!$J$8:$J$1000,'Data Table'!$D$8:$D$1000,_xlfn.XLOOKUP($C5,Item_List_Number,Item_List,"",0),'Data Table'!$F$8:$F$1000,"Outside")</f>
        <v>0</v>
      </c>
      <c r="I5" s="13" t="s">
        <v>124</v>
      </c>
    </row>
    <row r="6" spans="2:9" x14ac:dyDescent="0.25">
      <c r="B6" s="255"/>
      <c r="C6" s="33" t="s">
        <v>367</v>
      </c>
      <c r="D6" s="34"/>
      <c r="E6" s="35"/>
      <c r="F6" s="36"/>
      <c r="G6" s="37"/>
      <c r="H6" s="38"/>
      <c r="I6" s="39"/>
    </row>
    <row r="7" spans="2:9" x14ac:dyDescent="0.25">
      <c r="B7" s="255"/>
      <c r="C7" s="34">
        <v>56</v>
      </c>
      <c r="D7" s="34" t="s">
        <v>434</v>
      </c>
      <c r="E7" s="95">
        <f>SUMIFS('Data Table'!$G$8:$G$1000,'Data Table'!$D$8:$D$1000,_xlfn.XLOOKUP($C7,Item_List_Number,Item_List,"",0),'Data Table'!$F$8:$F$1000,"Inside",'Data Table'!$H$8:$H$1000,_xlfn.XLOOKUP(DSCountry,DS_Country_List,DS_Currency_List))</f>
        <v>0</v>
      </c>
      <c r="F7" s="94">
        <f>SUMIFS('Data Table'!$J$8:$J$1000,'Data Table'!$D$8:$D$1000,_xlfn.XLOOKUP($C7,Item_List_Number,Item_List,"",0),'Data Table'!$F$8:$F$1000,"Inside",'Data Table'!$H$8:$H$1000,"&lt;&gt;"&amp;_xlfn.XLOOKUP(DSCountry,DS_Country_List,DS_Currency_List))</f>
        <v>0</v>
      </c>
      <c r="G7" s="37" t="s">
        <v>124</v>
      </c>
      <c r="H7" s="93">
        <f>SUMIFS('Data Table'!$J$8:$J$1000,'Data Table'!$D$8:$D$1000,_xlfn.XLOOKUP($C7,Item_List_Number,Item_List,"",0),'Data Table'!$F$8:$F$1000,"Outside")</f>
        <v>0</v>
      </c>
      <c r="I7" s="39" t="s">
        <v>124</v>
      </c>
    </row>
    <row r="8" spans="2:9" x14ac:dyDescent="0.25">
      <c r="B8" s="255"/>
      <c r="C8" s="22" t="s">
        <v>436</v>
      </c>
      <c r="D8" s="21"/>
      <c r="E8" s="9"/>
      <c r="F8" s="10"/>
      <c r="G8" s="11"/>
      <c r="H8" s="12"/>
      <c r="I8" s="13"/>
    </row>
    <row r="9" spans="2:9" x14ac:dyDescent="0.25">
      <c r="B9" s="255"/>
      <c r="C9" s="21">
        <v>57</v>
      </c>
      <c r="D9" s="21" t="s">
        <v>435</v>
      </c>
      <c r="E9" s="98">
        <f>SUMIFS('Data Table'!$G$8:$G$1000,'Data Table'!$D$8:$D$1000,_xlfn.XLOOKUP($C9,Item_List_Number,Item_List,"",0),'Data Table'!$F$8:$F$1000,"Inside",'Data Table'!$H$8:$H$1000,_xlfn.XLOOKUP(DSCountry,DS_Country_List,DS_Currency_List))</f>
        <v>0</v>
      </c>
      <c r="F9" s="97">
        <f>SUMIFS('Data Table'!$J$8:$J$1000,'Data Table'!$D$8:$D$1000,_xlfn.XLOOKUP($C9,Item_List_Number,Item_List,"",0),'Data Table'!$F$8:$F$1000,"Inside",'Data Table'!$H$8:$H$1000,"&lt;&gt;"&amp;_xlfn.XLOOKUP(DSCountry,DS_Country_List,DS_Currency_List))</f>
        <v>0</v>
      </c>
      <c r="G9" s="11" t="s">
        <v>124</v>
      </c>
      <c r="H9" s="96">
        <f>SUMIFS('Data Table'!$J$8:$J$1000,'Data Table'!$D$8:$D$1000,_xlfn.XLOOKUP($C9,Item_List_Number,Item_List,"",0),'Data Table'!$F$8:$F$1000,"Outside")</f>
        <v>0</v>
      </c>
      <c r="I9" s="13" t="s">
        <v>124</v>
      </c>
    </row>
    <row r="10" spans="2:9" x14ac:dyDescent="0.25">
      <c r="B10" s="255"/>
      <c r="C10" s="33" t="s">
        <v>437</v>
      </c>
      <c r="D10" s="34"/>
      <c r="E10" s="35"/>
      <c r="F10" s="36"/>
      <c r="G10" s="37"/>
      <c r="H10" s="38"/>
      <c r="I10" s="39"/>
    </row>
    <row r="11" spans="2:9" x14ac:dyDescent="0.25">
      <c r="B11" s="255"/>
      <c r="C11" s="40" t="s">
        <v>438</v>
      </c>
      <c r="D11" s="34" t="s">
        <v>440</v>
      </c>
      <c r="E11" s="95">
        <f>SUMIFS('Data Table'!$G$8:$G$1000,'Data Table'!$D$8:$D$1000,_xlfn.XLOOKUP($C11,Item_List_Number,Item_List,"",0),'Data Table'!$F$8:$F$1000,"Inside",'Data Table'!$H$8:$H$1000,_xlfn.XLOOKUP(DSCountry,DS_Country_List,DS_Currency_List))</f>
        <v>0</v>
      </c>
      <c r="F11" s="94">
        <f>SUMIFS('Data Table'!$J$8:$J$1000,'Data Table'!$D$8:$D$1000,_xlfn.XLOOKUP($C11,Item_List_Number,Item_List,"",0),'Data Table'!$F$8:$F$1000,"Inside",'Data Table'!$H$8:$H$1000,"&lt;&gt;"&amp;_xlfn.XLOOKUP(DSCountry,DS_Country_List,DS_Currency_List))</f>
        <v>0</v>
      </c>
      <c r="G11" s="37" t="s">
        <v>124</v>
      </c>
      <c r="H11" s="93">
        <f>SUMIFS('Data Table'!$J$8:$J$1000,'Data Table'!$D$8:$D$1000,_xlfn.XLOOKUP($C11,Item_List_Number,Item_List,"",0),'Data Table'!$F$8:$F$1000,"Outside")</f>
        <v>0</v>
      </c>
      <c r="I11" s="39" t="s">
        <v>124</v>
      </c>
    </row>
    <row r="12" spans="2:9" x14ac:dyDescent="0.25">
      <c r="B12" s="255"/>
      <c r="C12" s="40" t="s">
        <v>439</v>
      </c>
      <c r="D12" s="34" t="s">
        <v>441</v>
      </c>
      <c r="E12" s="95">
        <f>SUMIFS('Data Table'!$G$8:$G$1000,'Data Table'!$D$8:$D$1000,_xlfn.XLOOKUP($C12,Item_List_Number,Item_List,"",0),'Data Table'!$F$8:$F$1000,"Inside",'Data Table'!$H$8:$H$1000,_xlfn.XLOOKUP(DSCountry,DS_Country_List,DS_Currency_List))</f>
        <v>0</v>
      </c>
      <c r="F12" s="94">
        <f>SUMIFS('Data Table'!$J$8:$J$1000,'Data Table'!$D$8:$D$1000,_xlfn.XLOOKUP($C12,Item_List_Number,Item_List,"",0),'Data Table'!$F$8:$F$1000,"Inside",'Data Table'!$H$8:$H$1000,"&lt;&gt;"&amp;_xlfn.XLOOKUP(DSCountry,DS_Country_List,DS_Currency_List))</f>
        <v>0</v>
      </c>
      <c r="G12" s="37" t="s">
        <v>124</v>
      </c>
      <c r="H12" s="93">
        <f>SUMIFS('Data Table'!$J$8:$J$1000,'Data Table'!$D$8:$D$1000,_xlfn.XLOOKUP($C12,Item_List_Number,Item_List,"",0),'Data Table'!$F$8:$F$1000,"Outside")</f>
        <v>0</v>
      </c>
      <c r="I12" s="39" t="s">
        <v>124</v>
      </c>
    </row>
    <row r="13" spans="2:9" x14ac:dyDescent="0.25">
      <c r="B13" s="255"/>
      <c r="C13" s="40" t="s">
        <v>442</v>
      </c>
      <c r="D13" s="34" t="s">
        <v>444</v>
      </c>
      <c r="E13" s="95">
        <f>SUMIFS('Data Table'!$G$8:$G$1000,'Data Table'!$D$8:$D$1000,_xlfn.XLOOKUP($C13,Item_List_Number,Item_List,"",0),'Data Table'!$F$8:$F$1000,"Inside",'Data Table'!$H$8:$H$1000,_xlfn.XLOOKUP(DSCountry,DS_Country_List,DS_Currency_List))</f>
        <v>0</v>
      </c>
      <c r="F13" s="94">
        <f>SUMIFS('Data Table'!$J$8:$J$1000,'Data Table'!$D$8:$D$1000,_xlfn.XLOOKUP($C13,Item_List_Number,Item_List,"",0),'Data Table'!$F$8:$F$1000,"Inside",'Data Table'!$H$8:$H$1000,"&lt;&gt;"&amp;_xlfn.XLOOKUP(DSCountry,DS_Country_List,DS_Currency_List))</f>
        <v>0</v>
      </c>
      <c r="G13" s="37" t="s">
        <v>124</v>
      </c>
      <c r="H13" s="93">
        <f>SUMIFS('Data Table'!$J$8:$J$1000,'Data Table'!$D$8:$D$1000,_xlfn.XLOOKUP($C13,Item_List_Number,Item_List,"",0),'Data Table'!$F$8:$F$1000,"Outside")</f>
        <v>0</v>
      </c>
      <c r="I13" s="39" t="s">
        <v>124</v>
      </c>
    </row>
    <row r="14" spans="2:9" ht="15.75" thickBot="1" x14ac:dyDescent="0.3">
      <c r="B14" s="256"/>
      <c r="C14" s="64" t="s">
        <v>443</v>
      </c>
      <c r="D14" s="65" t="s">
        <v>445</v>
      </c>
      <c r="E14" s="92">
        <f>SUMIFS('Data Table'!$G$8:$G$1000,'Data Table'!$D$8:$D$1000,_xlfn.XLOOKUP($C14,Item_List_Number,Item_List,"",0),'Data Table'!$F$8:$F$1000,"Inside",'Data Table'!$H$8:$H$1000,_xlfn.XLOOKUP(DSCountry,DS_Country_List,DS_Currency_List))</f>
        <v>0</v>
      </c>
      <c r="F14" s="91">
        <f>SUMIFS('Data Table'!$J$8:$J$1000,'Data Table'!$D$8:$D$1000,_xlfn.XLOOKUP($C14,Item_List_Number,Item_List,"",0),'Data Table'!$F$8:$F$1000,"Inside",'Data Table'!$H$8:$H$1000,"&lt;&gt;"&amp;_xlfn.XLOOKUP(DSCountry,DS_Country_List,DS_Currency_List))</f>
        <v>0</v>
      </c>
      <c r="G14" s="66" t="s">
        <v>124</v>
      </c>
      <c r="H14" s="90">
        <f>SUMIFS('Data Table'!$J$8:$J$1000,'Data Table'!$D$8:$D$1000,_xlfn.XLOOKUP($C14,Item_List_Number,Item_List,"",0),'Data Table'!$F$8:$F$1000,"Outside")</f>
        <v>0</v>
      </c>
      <c r="I14" s="67" t="s">
        <v>124</v>
      </c>
    </row>
    <row r="15" spans="2:9" ht="15.75" thickTop="1" x14ac:dyDescent="0.25"/>
  </sheetData>
  <sheetProtection algorithmName="SHA-512" hashValue="iStPHL8KkH9PMD1Audk5aaG9KQsCarSPi/Fkx7x5bbMKgud/GJLBDqb0d9tLEGxL9Cuw+k9kb/rd1LGUy764Uw==" saltValue="s473RYRhobFjb1JA7KMY8g==" spinCount="100000" sheet="1" objects="1" scenarios="1"/>
  <mergeCells count="6">
    <mergeCell ref="B4:B14"/>
    <mergeCell ref="D2:D3"/>
    <mergeCell ref="E2:G2"/>
    <mergeCell ref="H2:I2"/>
    <mergeCell ref="F3:G3"/>
    <mergeCell ref="H3:I3"/>
  </mergeCells>
  <conditionalFormatting sqref="E3">
    <cfRule type="cellIs" dxfId="0" priority="1" operator="equal">
      <formula>"Specify country in Data Table"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73CD-26DD-4AF3-AE4D-C0F14AE8CD28}">
  <sheetPr codeName="Sheet6"/>
  <dimension ref="A1:BQ152"/>
  <sheetViews>
    <sheetView workbookViewId="0">
      <pane xSplit="1" ySplit="1" topLeftCell="B2" activePane="bottomRight" state="frozen"/>
      <selection activeCell="G18" sqref="G18"/>
      <selection pane="topRight" activeCell="G18" sqref="G18"/>
      <selection pane="bottomLeft" activeCell="G18" sqref="G18"/>
      <selection pane="bottomRight" activeCell="B7" sqref="B7"/>
    </sheetView>
  </sheetViews>
  <sheetFormatPr defaultRowHeight="15" x14ac:dyDescent="0.25"/>
  <cols>
    <col min="2" max="2" width="11.7109375" bestFit="1" customWidth="1"/>
    <col min="3" max="3" width="10.85546875" style="2" bestFit="1" customWidth="1"/>
    <col min="4" max="69" width="12.7109375" customWidth="1"/>
  </cols>
  <sheetData>
    <row r="1" spans="1:69" s="1" customFormat="1" x14ac:dyDescent="0.25">
      <c r="B1" s="1" cm="1">
        <f t="array" ref="B1:BQ1">'UN Treasury'!$B$1:$BQ$1</f>
        <v>46249</v>
      </c>
      <c r="C1" s="1">
        <v>46218</v>
      </c>
      <c r="D1" s="1">
        <v>46188</v>
      </c>
      <c r="E1" s="1">
        <v>46157</v>
      </c>
      <c r="F1" s="1">
        <v>46127</v>
      </c>
      <c r="G1" s="1">
        <v>46096</v>
      </c>
      <c r="H1" s="1">
        <v>46068</v>
      </c>
      <c r="I1" s="1">
        <v>46037</v>
      </c>
      <c r="J1" s="1">
        <v>46006</v>
      </c>
      <c r="K1" s="1">
        <v>45976</v>
      </c>
      <c r="L1" s="1">
        <v>45945</v>
      </c>
      <c r="M1" s="1">
        <v>45915</v>
      </c>
      <c r="N1" s="1">
        <v>45884</v>
      </c>
      <c r="O1" s="1">
        <v>45853</v>
      </c>
      <c r="P1" s="1">
        <v>45823</v>
      </c>
      <c r="Q1" s="1">
        <v>45792</v>
      </c>
      <c r="R1" s="1">
        <v>45762</v>
      </c>
      <c r="S1" s="1">
        <v>45731</v>
      </c>
      <c r="T1" s="1">
        <v>45703</v>
      </c>
      <c r="U1" s="1">
        <v>45672</v>
      </c>
      <c r="V1" s="1">
        <v>45641</v>
      </c>
      <c r="W1" s="1">
        <v>45611</v>
      </c>
      <c r="X1" s="1">
        <v>45580</v>
      </c>
      <c r="Y1" s="1">
        <v>45550</v>
      </c>
      <c r="Z1" s="1">
        <v>45519</v>
      </c>
      <c r="AA1" s="1">
        <v>45488</v>
      </c>
      <c r="AB1" s="1">
        <v>45458</v>
      </c>
      <c r="AC1" s="1">
        <v>45427</v>
      </c>
      <c r="AD1" s="1">
        <v>45397</v>
      </c>
      <c r="AE1" s="1">
        <v>45366</v>
      </c>
      <c r="AF1" s="1">
        <v>45337</v>
      </c>
      <c r="AG1" s="1">
        <v>45306</v>
      </c>
      <c r="AH1" s="1">
        <v>45275</v>
      </c>
      <c r="AI1" s="1">
        <v>45245</v>
      </c>
      <c r="AJ1" s="1">
        <v>45214</v>
      </c>
      <c r="AK1" s="1">
        <v>45184</v>
      </c>
      <c r="AL1" s="1">
        <v>45153</v>
      </c>
      <c r="AM1" s="1">
        <v>45122</v>
      </c>
      <c r="AN1" s="1">
        <v>45092</v>
      </c>
      <c r="AO1" s="1">
        <v>45061</v>
      </c>
      <c r="AP1" s="1">
        <v>45031</v>
      </c>
      <c r="AQ1" s="1">
        <v>45000</v>
      </c>
      <c r="AR1" s="1">
        <v>44972</v>
      </c>
      <c r="AS1" s="1">
        <v>44941</v>
      </c>
      <c r="AT1" s="1">
        <v>44910</v>
      </c>
      <c r="AU1" s="1">
        <v>44880</v>
      </c>
      <c r="AV1" s="1">
        <v>44848</v>
      </c>
      <c r="AW1" s="1">
        <v>44819</v>
      </c>
      <c r="AX1" s="1">
        <v>44788</v>
      </c>
      <c r="AY1" s="1">
        <v>44757</v>
      </c>
      <c r="AZ1" s="1">
        <v>44727</v>
      </c>
      <c r="BA1" s="1">
        <v>44694</v>
      </c>
      <c r="BB1" s="1">
        <v>44665</v>
      </c>
      <c r="BC1" s="1">
        <v>44635</v>
      </c>
      <c r="BD1" s="1">
        <v>44607</v>
      </c>
      <c r="BE1" s="1">
        <v>44575</v>
      </c>
      <c r="BF1" s="1">
        <v>44545</v>
      </c>
      <c r="BG1" s="1">
        <v>44515</v>
      </c>
      <c r="BH1" s="1">
        <v>44470</v>
      </c>
      <c r="BI1" s="1">
        <v>44454</v>
      </c>
      <c r="BJ1" s="1">
        <v>44409</v>
      </c>
      <c r="BK1" s="1">
        <v>44392</v>
      </c>
      <c r="BL1" s="1">
        <v>44348</v>
      </c>
      <c r="BM1" s="1">
        <v>44317</v>
      </c>
      <c r="BN1" s="1">
        <v>44301</v>
      </c>
      <c r="BO1" s="1">
        <v>44270</v>
      </c>
      <c r="BP1" s="1">
        <v>44242</v>
      </c>
      <c r="BQ1" s="1">
        <v>44211</v>
      </c>
    </row>
    <row r="2" spans="1:69" x14ac:dyDescent="0.25">
      <c r="A2" t="s">
        <v>23</v>
      </c>
      <c r="B2">
        <f>VLOOKUP($A2,'UN Treasury'!$A$1:$BQ$224,_xlfn.XMATCH(B$1,'UN Treasury'!$A$1:$BQ$1,-1,1),FALSE)</f>
        <v>3.673</v>
      </c>
      <c r="C2">
        <f>VLOOKUP($A2,'UN Treasury'!$A$1:$BQ$224,_xlfn.XMATCH(C$1,'UN Treasury'!$A$1:$BQ$1,-1,1),FALSE)</f>
        <v>3.673</v>
      </c>
      <c r="D2">
        <f>VLOOKUP($A2,'UN Treasury'!$A$1:$BQ$224,_xlfn.XMATCH(D$1,'UN Treasury'!$A$1:$BQ$1,-1,1),FALSE)</f>
        <v>3.673</v>
      </c>
      <c r="E2">
        <f>VLOOKUP($A2,'UN Treasury'!$A$1:$BQ$224,_xlfn.XMATCH(E$1,'UN Treasury'!$A$1:$BQ$1,-1,1),FALSE)</f>
        <v>3.673</v>
      </c>
      <c r="F2">
        <f>VLOOKUP($A2,'UN Treasury'!$A$1:$BQ$224,_xlfn.XMATCH(F$1,'UN Treasury'!$A$1:$BQ$1,-1,1),FALSE)</f>
        <v>3.673</v>
      </c>
      <c r="G2">
        <f>VLOOKUP($A2,'UN Treasury'!$A$1:$BQ$224,_xlfn.XMATCH(G$1,'UN Treasury'!$A$1:$BQ$1,-1,1),FALSE)</f>
        <v>3.673</v>
      </c>
      <c r="H2">
        <f>VLOOKUP($A2,'UN Treasury'!$A$1:$BQ$224,_xlfn.XMATCH(H$1,'UN Treasury'!$A$1:$BQ$1,-1,1),FALSE)</f>
        <v>3.673</v>
      </c>
      <c r="I2">
        <f>VLOOKUP($A2,'UN Treasury'!$A$1:$BQ$224,_xlfn.XMATCH(I$1,'UN Treasury'!$A$1:$BQ$1,-1,1),FALSE)</f>
        <v>3.673</v>
      </c>
      <c r="J2">
        <f>VLOOKUP($A2,'UN Treasury'!$A$1:$BQ$224,_xlfn.XMATCH(J$1,'UN Treasury'!$A$1:$BQ$1,-1,1),FALSE)</f>
        <v>3.673</v>
      </c>
      <c r="K2">
        <f>VLOOKUP($A2,'UN Treasury'!$A$1:$BQ$224,_xlfn.XMATCH(K$1,'UN Treasury'!$A$1:$BQ$1,-1,1),FALSE)</f>
        <v>3.673</v>
      </c>
      <c r="L2">
        <f>VLOOKUP($A2,'UN Treasury'!$A$1:$BQ$224,_xlfn.XMATCH(L$1,'UN Treasury'!$A$1:$BQ$1,-1,1),FALSE)</f>
        <v>3.6720000000000002</v>
      </c>
      <c r="M2">
        <f>VLOOKUP($A2,'UN Treasury'!$A$1:$BQ$224,_xlfn.XMATCH(M$1,'UN Treasury'!$A$1:$BQ$1,-1,1),FALSE)</f>
        <v>3.673</v>
      </c>
      <c r="N2">
        <f>VLOOKUP($A2,'UN Treasury'!$A$1:$BQ$224,_xlfn.XMATCH(N$1,'UN Treasury'!$A$1:$BQ$1,-1,1),FALSE)</f>
        <v>3.673</v>
      </c>
      <c r="O2">
        <f>VLOOKUP($A2,'UN Treasury'!$A$1:$BQ$224,_xlfn.XMATCH(O$1,'UN Treasury'!$A$1:$BQ$1,-1,1),FALSE)</f>
        <v>3.673</v>
      </c>
      <c r="P2">
        <f>VLOOKUP($A2,'UN Treasury'!$A$1:$BQ$224,_xlfn.XMATCH(P$1,'UN Treasury'!$A$1:$BQ$1,-1,1),FALSE)</f>
        <v>3.673</v>
      </c>
      <c r="Q2">
        <f>VLOOKUP($A2,'UN Treasury'!$A$1:$BQ$224,_xlfn.XMATCH(Q$1,'UN Treasury'!$A$1:$BQ$1,-1,1),FALSE)</f>
        <v>3.673</v>
      </c>
      <c r="R2">
        <f>VLOOKUP($A2,'UN Treasury'!$A$1:$BQ$224,_xlfn.XMATCH(R$1,'UN Treasury'!$A$1:$BQ$1,-1,1),FALSE)</f>
        <v>3.673</v>
      </c>
      <c r="S2">
        <f>VLOOKUP($A2,'UN Treasury'!$A$1:$BQ$224,_xlfn.XMATCH(S$1,'UN Treasury'!$A$1:$BQ$1,-1,1),FALSE)</f>
        <v>3.673</v>
      </c>
      <c r="T2">
        <f>VLOOKUP($A2,'UN Treasury'!$A$1:$BQ$224,_xlfn.XMATCH(T$1,'UN Treasury'!$A$1:$BQ$1,-1,1),FALSE)</f>
        <v>3.673</v>
      </c>
      <c r="U2">
        <f>VLOOKUP($A2,'UN Treasury'!$A$1:$BQ$224,_xlfn.XMATCH(U$1,'UN Treasury'!$A$1:$BQ$1,-1,1),FALSE)</f>
        <v>3.673</v>
      </c>
      <c r="V2">
        <f>VLOOKUP($A2,'UN Treasury'!$A$1:$BQ$224,_xlfn.XMATCH(V$1,'UN Treasury'!$A$1:$BQ$1,-1,1),FALSE)</f>
        <v>3.673</v>
      </c>
      <c r="W2">
        <f>VLOOKUP($A2,'UN Treasury'!$A$1:$BQ$224,_xlfn.XMATCH(W$1,'UN Treasury'!$A$1:$BQ$1,-1,1),FALSE)</f>
        <v>3.673</v>
      </c>
      <c r="X2">
        <f>VLOOKUP($A2,'UN Treasury'!$A$1:$BQ$224,_xlfn.XMATCH(X$1,'UN Treasury'!$A$1:$BQ$1,-1,1),FALSE)</f>
        <v>3.673</v>
      </c>
      <c r="Y2">
        <f>VLOOKUP($A2,'UN Treasury'!$A$1:$BQ$224,_xlfn.XMATCH(Y$1,'UN Treasury'!$A$1:$BQ$1,-1,1),FALSE)</f>
        <v>3.673</v>
      </c>
      <c r="Z2">
        <f>VLOOKUP($A2,'UN Treasury'!$A$1:$BQ$224,_xlfn.XMATCH(Z$1,'UN Treasury'!$A$1:$BQ$1,-1,1),FALSE)</f>
        <v>3.673</v>
      </c>
      <c r="AA2">
        <f>VLOOKUP($A2,'UN Treasury'!$A$1:$BQ$224,_xlfn.XMATCH(AA$1,'UN Treasury'!$A$1:$BQ$1,-1,1),FALSE)</f>
        <v>3.673</v>
      </c>
      <c r="AB2">
        <f>VLOOKUP($A2,'UN Treasury'!$A$1:$BQ$224,_xlfn.XMATCH(AB$1,'UN Treasury'!$A$1:$BQ$1,-1,1),FALSE)</f>
        <v>3.673</v>
      </c>
      <c r="AC2">
        <f>VLOOKUP($A2,'UN Treasury'!$A$1:$BQ$224,_xlfn.XMATCH(AC$1,'UN Treasury'!$A$1:$BQ$1,-1,1),FALSE)</f>
        <v>3.673</v>
      </c>
      <c r="AD2">
        <f>VLOOKUP($A2,'UN Treasury'!$A$1:$BQ$224,_xlfn.XMATCH(AD$1,'UN Treasury'!$A$1:$BQ$1,-1,1),FALSE)</f>
        <v>3.6720000000000002</v>
      </c>
      <c r="AE2">
        <f>VLOOKUP($A2,'UN Treasury'!$A$1:$BQ$224,_xlfn.XMATCH(AE$1,'UN Treasury'!$A$1:$BQ$1,-1,1),FALSE)</f>
        <v>3.673</v>
      </c>
      <c r="AF2">
        <f>VLOOKUP($A2,'UN Treasury'!$A$1:$BQ$224,_xlfn.XMATCH(AF$1,'UN Treasury'!$A$1:$BQ$1,-1,1),FALSE)</f>
        <v>3.673</v>
      </c>
      <c r="AG2">
        <f>VLOOKUP($A2,'UN Treasury'!$A$1:$BQ$224,_xlfn.XMATCH(AG$1,'UN Treasury'!$A$1:$BQ$1,-1,1),FALSE)</f>
        <v>3.673</v>
      </c>
      <c r="AH2">
        <f>VLOOKUP($A2,'UN Treasury'!$A$1:$BQ$224,_xlfn.XMATCH(AH$1,'UN Treasury'!$A$1:$BQ$1,-1,1),FALSE)</f>
        <v>3.6720000000000002</v>
      </c>
      <c r="AI2">
        <f>VLOOKUP($A2,'UN Treasury'!$A$1:$BQ$224,_xlfn.XMATCH(AI$1,'UN Treasury'!$A$1:$BQ$1,-1,1),FALSE)</f>
        <v>3.673</v>
      </c>
      <c r="AJ2">
        <f>VLOOKUP($A2,'UN Treasury'!$A$1:$BQ$224,_xlfn.XMATCH(AJ$1,'UN Treasury'!$A$1:$BQ$1,-1,1),FALSE)</f>
        <v>3.673</v>
      </c>
      <c r="AK2">
        <f>VLOOKUP($A2,'UN Treasury'!$A$1:$BQ$224,_xlfn.XMATCH(AK$1,'UN Treasury'!$A$1:$BQ$1,-1,1),FALSE)</f>
        <v>3.673</v>
      </c>
      <c r="AL2">
        <f>VLOOKUP($A2,'UN Treasury'!$A$1:$BQ$224,_xlfn.XMATCH(AL$1,'UN Treasury'!$A$1:$BQ$1,-1,1),FALSE)</f>
        <v>3.673</v>
      </c>
      <c r="AM2">
        <f>VLOOKUP($A2,'UN Treasury'!$A$1:$BQ$224,_xlfn.XMATCH(AM$1,'UN Treasury'!$A$1:$BQ$1,-1,1),FALSE)</f>
        <v>3.673</v>
      </c>
      <c r="AN2">
        <f>VLOOKUP($A2,'UN Treasury'!$A$1:$BQ$224,_xlfn.XMATCH(AN$1,'UN Treasury'!$A$1:$BQ$1,-1,1),FALSE)</f>
        <v>3.673</v>
      </c>
      <c r="AO2">
        <f>VLOOKUP($A2,'UN Treasury'!$A$1:$BQ$224,_xlfn.XMATCH(AO$1,'UN Treasury'!$A$1:$BQ$1,-1,1),FALSE)</f>
        <v>3.6720000000000002</v>
      </c>
      <c r="AP2">
        <f>VLOOKUP($A2,'UN Treasury'!$A$1:$BQ$224,_xlfn.XMATCH(AP$1,'UN Treasury'!$A$1:$BQ$1,-1,1),FALSE)</f>
        <v>3.6720000000000002</v>
      </c>
      <c r="AQ2">
        <f>VLOOKUP($A2,'UN Treasury'!$A$1:$BQ$224,_xlfn.XMATCH(AQ$1,'UN Treasury'!$A$1:$BQ$1,-1,1),FALSE)</f>
        <v>3.673</v>
      </c>
      <c r="AR2">
        <f>VLOOKUP($A2,'UN Treasury'!$A$1:$BQ$224,_xlfn.XMATCH(AR$1,'UN Treasury'!$A$1:$BQ$1,-1,1),FALSE)</f>
        <v>3.673</v>
      </c>
      <c r="AS2">
        <f>VLOOKUP($A2,'UN Treasury'!$A$1:$BQ$224,_xlfn.XMATCH(AS$1,'UN Treasury'!$A$1:$BQ$1,-1,1),FALSE)</f>
        <v>3.673</v>
      </c>
      <c r="AT2">
        <f>VLOOKUP($A2,'UN Treasury'!$A$1:$BQ$224,_xlfn.XMATCH(AT$1,'UN Treasury'!$A$1:$BQ$1,-1,1),FALSE)</f>
        <v>3.673</v>
      </c>
      <c r="AU2">
        <f>VLOOKUP($A2,'UN Treasury'!$A$1:$BQ$224,_xlfn.XMATCH(AU$1,'UN Treasury'!$A$1:$BQ$1,-1,1),FALSE)</f>
        <v>3.673</v>
      </c>
      <c r="AV2">
        <f>VLOOKUP($A2,'UN Treasury'!$A$1:$BQ$224,_xlfn.XMATCH(AV$1,'UN Treasury'!$A$1:$BQ$1,-1,1),FALSE)</f>
        <v>3.673</v>
      </c>
      <c r="AW2">
        <f>VLOOKUP($A2,'UN Treasury'!$A$1:$BQ$224,_xlfn.XMATCH(AW$1,'UN Treasury'!$A$1:$BQ$1,-1,1),FALSE)</f>
        <v>3.673</v>
      </c>
      <c r="AX2">
        <f>VLOOKUP($A2,'UN Treasury'!$A$1:$BQ$224,_xlfn.XMATCH(AX$1,'UN Treasury'!$A$1:$BQ$1,-1,1),FALSE)</f>
        <v>3.673</v>
      </c>
      <c r="AY2">
        <f>VLOOKUP($A2,'UN Treasury'!$A$1:$BQ$224,_xlfn.XMATCH(AY$1,'UN Treasury'!$A$1:$BQ$1,-1,1),FALSE)</f>
        <v>3.673</v>
      </c>
      <c r="AZ2">
        <f>VLOOKUP($A2,'UN Treasury'!$A$1:$BQ$224,_xlfn.XMATCH(AZ$1,'UN Treasury'!$A$1:$BQ$1,-1,1),FALSE)</f>
        <v>3.673</v>
      </c>
      <c r="BA2">
        <f>VLOOKUP($A2,'UN Treasury'!$A$1:$BQ$224,_xlfn.XMATCH(BA$1,'UN Treasury'!$A$1:$BQ$1,-1,1),FALSE)</f>
        <v>3.673</v>
      </c>
      <c r="BB2">
        <f>VLOOKUP($A2,'UN Treasury'!$A$1:$BQ$224,_xlfn.XMATCH(BB$1,'UN Treasury'!$A$1:$BQ$1,-1,1),FALSE)</f>
        <v>3.673</v>
      </c>
      <c r="BC2">
        <f>VLOOKUP($A2,'UN Treasury'!$A$1:$BQ$224,_xlfn.XMATCH(BC$1,'UN Treasury'!$A$1:$BQ$1,-1,1),FALSE)</f>
        <v>3.673</v>
      </c>
      <c r="BD2">
        <f>VLOOKUP($A2,'UN Treasury'!$A$1:$BQ$224,_xlfn.XMATCH(BD$1,'UN Treasury'!$A$1:$BQ$1,-1,1),FALSE)</f>
        <v>3.673</v>
      </c>
      <c r="BE2">
        <f>VLOOKUP($A2,'UN Treasury'!$A$1:$BQ$224,_xlfn.XMATCH(BE$1,'UN Treasury'!$A$1:$BQ$1,-1,1),FALSE)</f>
        <v>3.673</v>
      </c>
      <c r="BF2">
        <f>VLOOKUP($A2,'UN Treasury'!$A$1:$BQ$224,_xlfn.XMATCH(BF$1,'UN Treasury'!$A$1:$BQ$1,-1,1),FALSE)</f>
        <v>3.673</v>
      </c>
      <c r="BG2">
        <f>VLOOKUP($A2,'UN Treasury'!$A$1:$BQ$224,_xlfn.XMATCH(BG$1,'UN Treasury'!$A$1:$BQ$1,-1,1),FALSE)</f>
        <v>3.673</v>
      </c>
      <c r="BH2">
        <f>VLOOKUP($A2,'UN Treasury'!$A$1:$BQ$224,_xlfn.XMATCH(BH$1,'UN Treasury'!$A$1:$BQ$1,-1,1),FALSE)</f>
        <v>3.673</v>
      </c>
      <c r="BI2">
        <f>VLOOKUP($A2,'UN Treasury'!$A$1:$BQ$224,_xlfn.XMATCH(BI$1,'UN Treasury'!$A$1:$BQ$1,-1,1),FALSE)</f>
        <v>3.673</v>
      </c>
      <c r="BJ2">
        <f>VLOOKUP($A2,'UN Treasury'!$A$1:$BQ$224,_xlfn.XMATCH(BJ$1,'UN Treasury'!$A$1:$BQ$1,-1,1),FALSE)</f>
        <v>3.673</v>
      </c>
      <c r="BK2">
        <f>VLOOKUP($A2,'UN Treasury'!$A$1:$BQ$224,_xlfn.XMATCH(BK$1,'UN Treasury'!$A$1:$BQ$1,-1,1),FALSE)</f>
        <v>3.673</v>
      </c>
      <c r="BL2">
        <f>VLOOKUP($A2,'UN Treasury'!$A$1:$BQ$224,_xlfn.XMATCH(BL$1,'UN Treasury'!$A$1:$BQ$1,-1,1),FALSE)</f>
        <v>3.673</v>
      </c>
      <c r="BM2">
        <f>VLOOKUP($A2,'UN Treasury'!$A$1:$BQ$224,_xlfn.XMATCH(BM$1,'UN Treasury'!$A$1:$BQ$1,-1,1),FALSE)</f>
        <v>3.673</v>
      </c>
      <c r="BN2">
        <f>VLOOKUP($A2,'UN Treasury'!$A$1:$BQ$224,_xlfn.XMATCH(BN$1,'UN Treasury'!$A$1:$BQ$1,-1,1),FALSE)</f>
        <v>3.673</v>
      </c>
      <c r="BO2">
        <f>VLOOKUP($A2,'UN Treasury'!$A$1:$BQ$224,_xlfn.XMATCH(BO$1,'UN Treasury'!$A$1:$BQ$1,-1,1),FALSE)</f>
        <v>3.673</v>
      </c>
      <c r="BP2">
        <f>VLOOKUP($A2,'UN Treasury'!$A$1:$BQ$224,_xlfn.XMATCH(BP$1,'UN Treasury'!$A$1:$BQ$1,-1,1),FALSE)</f>
        <v>3.673</v>
      </c>
      <c r="BQ2">
        <f>VLOOKUP($A2,'UN Treasury'!$A$1:$BQ$224,_xlfn.XMATCH(BQ$1,'UN Treasury'!$A$1:$BQ$1,-1,1),FALSE)</f>
        <v>3.673</v>
      </c>
    </row>
    <row r="3" spans="1:69" x14ac:dyDescent="0.25">
      <c r="A3" t="s">
        <v>1</v>
      </c>
      <c r="B3">
        <f>VLOOKUP($A3,'UN Treasury'!$A$1:$BQ$224,_xlfn.XMATCH(B$1,'UN Treasury'!$A$1:$BQ$1,-1,1),FALSE)</f>
        <v>65.007999999999996</v>
      </c>
      <c r="C3">
        <f>VLOOKUP($A3,'UN Treasury'!$A$1:$BQ$224,_xlfn.XMATCH(C$1,'UN Treasury'!$A$1:$BQ$1,-1,1),FALSE)</f>
        <v>65.445999999999998</v>
      </c>
      <c r="D3">
        <f>VLOOKUP($A3,'UN Treasury'!$A$1:$BQ$224,_xlfn.XMATCH(D$1,'UN Treasury'!$A$1:$BQ$1,-1,1),FALSE)</f>
        <v>63.944000000000003</v>
      </c>
      <c r="E3">
        <f>VLOOKUP($A3,'UN Treasury'!$A$1:$BQ$224,_xlfn.XMATCH(E$1,'UN Treasury'!$A$1:$BQ$1,-1,1),FALSE)</f>
        <v>64.05</v>
      </c>
      <c r="F3">
        <f>VLOOKUP($A3,'UN Treasury'!$A$1:$BQ$224,_xlfn.XMATCH(F$1,'UN Treasury'!$A$1:$BQ$1,-1,1),FALSE)</f>
        <v>64.394000000000005</v>
      </c>
      <c r="G3">
        <f>VLOOKUP($A3,'UN Treasury'!$A$1:$BQ$224,_xlfn.XMATCH(G$1,'UN Treasury'!$A$1:$BQ$1,-1,1),FALSE)</f>
        <v>63.488999999999997</v>
      </c>
      <c r="H3">
        <f>VLOOKUP($A3,'UN Treasury'!$A$1:$BQ$224,_xlfn.XMATCH(H$1,'UN Treasury'!$A$1:$BQ$1,-1,1),FALSE)</f>
        <v>63.716999999999999</v>
      </c>
      <c r="I3">
        <f>VLOOKUP($A3,'UN Treasury'!$A$1:$BQ$224,_xlfn.XMATCH(I$1,'UN Treasury'!$A$1:$BQ$1,-1,1),FALSE)</f>
        <v>66.078999999999994</v>
      </c>
      <c r="J3">
        <f>VLOOKUP($A3,'UN Treasury'!$A$1:$BQ$224,_xlfn.XMATCH(J$1,'UN Treasury'!$A$1:$BQ$1,-1,1),FALSE)</f>
        <v>66.094999999999999</v>
      </c>
      <c r="K3">
        <f>VLOOKUP($A3,'UN Treasury'!$A$1:$BQ$224,_xlfn.XMATCH(K$1,'UN Treasury'!$A$1:$BQ$1,-1,1),FALSE)</f>
        <v>65.834999999999994</v>
      </c>
      <c r="L3">
        <f>VLOOKUP($A3,'UN Treasury'!$A$1:$BQ$224,_xlfn.XMATCH(L$1,'UN Treasury'!$A$1:$BQ$1,-1,1),FALSE)</f>
        <v>65.963999999999999</v>
      </c>
      <c r="M3">
        <f>VLOOKUP($A3,'UN Treasury'!$A$1:$BQ$224,_xlfn.XMATCH(M$1,'UN Treasury'!$A$1:$BQ$1,-1,1),FALSE)</f>
        <v>67.587000000000003</v>
      </c>
      <c r="N3">
        <f>VLOOKUP($A3,'UN Treasury'!$A$1:$BQ$224,_xlfn.XMATCH(N$1,'UN Treasury'!$A$1:$BQ$1,-1,1),FALSE)</f>
        <v>67.596999999999994</v>
      </c>
      <c r="O3">
        <f>VLOOKUP($A3,'UN Treasury'!$A$1:$BQ$224,_xlfn.XMATCH(O$1,'UN Treasury'!$A$1:$BQ$1,-1,1),FALSE)</f>
        <v>69.852000000000004</v>
      </c>
      <c r="P3">
        <f>VLOOKUP($A3,'UN Treasury'!$A$1:$BQ$224,_xlfn.XMATCH(P$1,'UN Treasury'!$A$1:$BQ$1,-1,1),FALSE)</f>
        <v>69.668999999999997</v>
      </c>
      <c r="Q3">
        <f>VLOOKUP($A3,'UN Treasury'!$A$1:$BQ$224,_xlfn.XMATCH(Q$1,'UN Treasury'!$A$1:$BQ$1,-1,1),FALSE)</f>
        <v>69.488</v>
      </c>
      <c r="R3">
        <f>VLOOKUP($A3,'UN Treasury'!$A$1:$BQ$224,_xlfn.XMATCH(R$1,'UN Treasury'!$A$1:$BQ$1,-1,1),FALSE)</f>
        <v>72.325999999999993</v>
      </c>
      <c r="S3">
        <f>VLOOKUP($A3,'UN Treasury'!$A$1:$BQ$224,_xlfn.XMATCH(S$1,'UN Treasury'!$A$1:$BQ$1,-1,1),FALSE)</f>
        <v>70.34</v>
      </c>
      <c r="T3">
        <f>VLOOKUP($A3,'UN Treasury'!$A$1:$BQ$224,_xlfn.XMATCH(T$1,'UN Treasury'!$A$1:$BQ$1,-1,1),FALSE)</f>
        <v>72.319999999999993</v>
      </c>
      <c r="U3">
        <f>VLOOKUP($A3,'UN Treasury'!$A$1:$BQ$224,_xlfn.XMATCH(U$1,'UN Treasury'!$A$1:$BQ$1,-1,1),FALSE)</f>
        <v>70.447999999999993</v>
      </c>
      <c r="V3">
        <f>VLOOKUP($A3,'UN Treasury'!$A$1:$BQ$224,_xlfn.XMATCH(V$1,'UN Treasury'!$A$1:$BQ$1,-1,1),FALSE)</f>
        <v>69.418999999999997</v>
      </c>
      <c r="W3">
        <f>VLOOKUP($A3,'UN Treasury'!$A$1:$BQ$224,_xlfn.XMATCH(W$1,'UN Treasury'!$A$1:$BQ$1,-1,1),FALSE)</f>
        <v>67.23</v>
      </c>
      <c r="X3">
        <f>VLOOKUP($A3,'UN Treasury'!$A$1:$BQ$224,_xlfn.XMATCH(X$1,'UN Treasury'!$A$1:$BQ$1,-1,1),FALSE)</f>
        <v>67.418999999999997</v>
      </c>
      <c r="Y3">
        <f>VLOOKUP($A3,'UN Treasury'!$A$1:$BQ$224,_xlfn.XMATCH(Y$1,'UN Treasury'!$A$1:$BQ$1,-1,1),FALSE)</f>
        <v>69.418999999999997</v>
      </c>
      <c r="Z3">
        <f>VLOOKUP($A3,'UN Treasury'!$A$1:$BQ$224,_xlfn.XMATCH(Z$1,'UN Treasury'!$A$1:$BQ$1,-1,1),FALSE)</f>
        <v>70.210999999999999</v>
      </c>
      <c r="AA3">
        <f>VLOOKUP($A3,'UN Treasury'!$A$1:$BQ$224,_xlfn.XMATCH(AA$1,'UN Treasury'!$A$1:$BQ$1,-1,1),FALSE)</f>
        <v>70.457999999999998</v>
      </c>
      <c r="AB3">
        <f>VLOOKUP($A3,'UN Treasury'!$A$1:$BQ$224,_xlfn.XMATCH(AB$1,'UN Treasury'!$A$1:$BQ$1,-1,1),FALSE)</f>
        <v>69.596999999999994</v>
      </c>
      <c r="AC3">
        <f>VLOOKUP($A3,'UN Treasury'!$A$1:$BQ$224,_xlfn.XMATCH(AC$1,'UN Treasury'!$A$1:$BQ$1,-1,1),FALSE)</f>
        <v>71.596000000000004</v>
      </c>
      <c r="AD3">
        <f>VLOOKUP($A3,'UN Treasury'!$A$1:$BQ$224,_xlfn.XMATCH(AD$1,'UN Treasury'!$A$1:$BQ$1,-1,1),FALSE)</f>
        <v>70.418999999999997</v>
      </c>
      <c r="AE3">
        <f>VLOOKUP($A3,'UN Treasury'!$A$1:$BQ$224,_xlfn.XMATCH(AE$1,'UN Treasury'!$A$1:$BQ$1,-1,1),FALSE)</f>
        <v>70.736000000000004</v>
      </c>
      <c r="AF3">
        <f>VLOOKUP($A3,'UN Treasury'!$A$1:$BQ$224,_xlfn.XMATCH(AF$1,'UN Treasury'!$A$1:$BQ$1,-1,1),FALSE)</f>
        <v>73.131</v>
      </c>
      <c r="AG3">
        <f>VLOOKUP($A3,'UN Treasury'!$A$1:$BQ$224,_xlfn.XMATCH(AG$1,'UN Treasury'!$A$1:$BQ$1,-1,1),FALSE)</f>
        <v>69.647000000000006</v>
      </c>
      <c r="AH3">
        <f>VLOOKUP($A3,'UN Treasury'!$A$1:$BQ$224,_xlfn.XMATCH(AH$1,'UN Treasury'!$A$1:$BQ$1,-1,1),FALSE)</f>
        <v>68.488</v>
      </c>
      <c r="AI3">
        <f>VLOOKUP($A3,'UN Treasury'!$A$1:$BQ$224,_xlfn.XMATCH(AI$1,'UN Treasury'!$A$1:$BQ$1,-1,1),FALSE)</f>
        <v>71.626999999999995</v>
      </c>
      <c r="AJ3">
        <f>VLOOKUP($A3,'UN Treasury'!$A$1:$BQ$224,_xlfn.XMATCH(AJ$1,'UN Treasury'!$A$1:$BQ$1,-1,1),FALSE)</f>
        <v>74.457999999999998</v>
      </c>
      <c r="AK3">
        <f>VLOOKUP($A3,'UN Treasury'!$A$1:$BQ$224,_xlfn.XMATCH(AK$1,'UN Treasury'!$A$1:$BQ$1,-1,1),FALSE)</f>
        <v>78.924000000000007</v>
      </c>
      <c r="AL3">
        <f>VLOOKUP($A3,'UN Treasury'!$A$1:$BQ$224,_xlfn.XMATCH(AL$1,'UN Treasury'!$A$1:$BQ$1,-1,1),FALSE)</f>
        <v>84.6</v>
      </c>
      <c r="AM3">
        <f>VLOOKUP($A3,'UN Treasury'!$A$1:$BQ$224,_xlfn.XMATCH(AM$1,'UN Treasury'!$A$1:$BQ$1,-1,1),FALSE)</f>
        <v>85.388000000000005</v>
      </c>
      <c r="AN3">
        <f>VLOOKUP($A3,'UN Treasury'!$A$1:$BQ$224,_xlfn.XMATCH(AN$1,'UN Treasury'!$A$1:$BQ$1,-1,1),FALSE)</f>
        <v>85.605000000000004</v>
      </c>
      <c r="AO3">
        <f>VLOOKUP($A3,'UN Treasury'!$A$1:$BQ$224,_xlfn.XMATCH(AO$1,'UN Treasury'!$A$1:$BQ$1,-1,1),FALSE)</f>
        <v>86.85</v>
      </c>
      <c r="AP3">
        <f>VLOOKUP($A3,'UN Treasury'!$A$1:$BQ$224,_xlfn.XMATCH(AP$1,'UN Treasury'!$A$1:$BQ$1,-1,1),FALSE)</f>
        <v>85.456999999999994</v>
      </c>
      <c r="AQ3">
        <f>VLOOKUP($A3,'UN Treasury'!$A$1:$BQ$224,_xlfn.XMATCH(AQ$1,'UN Treasury'!$A$1:$BQ$1,-1,1),FALSE)</f>
        <v>87.070999999999998</v>
      </c>
      <c r="AR3">
        <f>VLOOKUP($A3,'UN Treasury'!$A$1:$BQ$224,_xlfn.XMATCH(AR$1,'UN Treasury'!$A$1:$BQ$1,-1,1),FALSE)</f>
        <v>89.119</v>
      </c>
      <c r="AS3">
        <f>VLOOKUP($A3,'UN Treasury'!$A$1:$BQ$224,_xlfn.XMATCH(AS$1,'UN Treasury'!$A$1:$BQ$1,-1,1),FALSE)</f>
        <v>88.73</v>
      </c>
      <c r="AT3">
        <f>VLOOKUP($A3,'UN Treasury'!$A$1:$BQ$224,_xlfn.XMATCH(AT$1,'UN Treasury'!$A$1:$BQ$1,-1,1),FALSE)</f>
        <v>87.48</v>
      </c>
      <c r="AU3">
        <f>VLOOKUP($A3,'UN Treasury'!$A$1:$BQ$224,_xlfn.XMATCH(AU$1,'UN Treasury'!$A$1:$BQ$1,-1,1),FALSE)</f>
        <v>88.311999999999998</v>
      </c>
      <c r="AV3">
        <f>VLOOKUP($A3,'UN Treasury'!$A$1:$BQ$224,_xlfn.XMATCH(AV$1,'UN Treasury'!$A$1:$BQ$1,-1,1),FALSE)</f>
        <v>88.18</v>
      </c>
      <c r="AW3">
        <f>VLOOKUP($A3,'UN Treasury'!$A$1:$BQ$224,_xlfn.XMATCH(AW$1,'UN Treasury'!$A$1:$BQ$1,-1,1),FALSE)</f>
        <v>88.13</v>
      </c>
      <c r="AX3">
        <f>VLOOKUP($A3,'UN Treasury'!$A$1:$BQ$224,_xlfn.XMATCH(AX$1,'UN Treasury'!$A$1:$BQ$1,-1,1),FALSE)</f>
        <v>90.13</v>
      </c>
      <c r="AY3">
        <f>VLOOKUP($A3,'UN Treasury'!$A$1:$BQ$224,_xlfn.XMATCH(AY$1,'UN Treasury'!$A$1:$BQ$1,-1,1),FALSE)</f>
        <v>87.994</v>
      </c>
      <c r="AZ3">
        <f>VLOOKUP($A3,'UN Treasury'!$A$1:$BQ$224,_xlfn.XMATCH(AZ$1,'UN Treasury'!$A$1:$BQ$1,-1,1),FALSE)</f>
        <v>88.721999999999994</v>
      </c>
      <c r="BA3">
        <f>VLOOKUP($A3,'UN Treasury'!$A$1:$BQ$224,_xlfn.XMATCH(BA$1,'UN Treasury'!$A$1:$BQ$1,-1,1),FALSE)</f>
        <v>87.27</v>
      </c>
      <c r="BB3">
        <f>VLOOKUP($A3,'UN Treasury'!$A$1:$BQ$224,_xlfn.XMATCH(BB$1,'UN Treasury'!$A$1:$BQ$1,-1,1),FALSE)</f>
        <v>87.82</v>
      </c>
      <c r="BC3">
        <f>VLOOKUP($A3,'UN Treasury'!$A$1:$BQ$224,_xlfn.XMATCH(BC$1,'UN Treasury'!$A$1:$BQ$1,-1,1),FALSE)</f>
        <v>91.62</v>
      </c>
      <c r="BD3">
        <f>VLOOKUP($A3,'UN Treasury'!$A$1:$BQ$224,_xlfn.XMATCH(BD$1,'UN Treasury'!$A$1:$BQ$1,-1,1),FALSE)</f>
        <v>92.01</v>
      </c>
      <c r="BE3">
        <f>VLOOKUP($A3,'UN Treasury'!$A$1:$BQ$224,_xlfn.XMATCH(BE$1,'UN Treasury'!$A$1:$BQ$1,-1,1),FALSE)</f>
        <v>104</v>
      </c>
      <c r="BF3">
        <f>VLOOKUP($A3,'UN Treasury'!$A$1:$BQ$224,_xlfn.XMATCH(BF$1,'UN Treasury'!$A$1:$BQ$1,-1,1),FALSE)</f>
        <v>112.45</v>
      </c>
      <c r="BG3">
        <f>VLOOKUP($A3,'UN Treasury'!$A$1:$BQ$224,_xlfn.XMATCH(BG$1,'UN Treasury'!$A$1:$BQ$1,-1,1),FALSE)</f>
        <v>90.38</v>
      </c>
      <c r="BH3">
        <f>VLOOKUP($A3,'UN Treasury'!$A$1:$BQ$224,_xlfn.XMATCH(BH$1,'UN Treasury'!$A$1:$BQ$1,-1,1),FALSE)</f>
        <v>87.88</v>
      </c>
      <c r="BI3">
        <f>VLOOKUP($A3,'UN Treasury'!$A$1:$BQ$224,_xlfn.XMATCH(BI$1,'UN Treasury'!$A$1:$BQ$1,-1,1),FALSE)</f>
        <v>86.045000000000002</v>
      </c>
      <c r="BJ3">
        <f>VLOOKUP($A3,'UN Treasury'!$A$1:$BQ$224,_xlfn.XMATCH(BJ$1,'UN Treasury'!$A$1:$BQ$1,-1,1),FALSE)</f>
        <v>80.087000000000003</v>
      </c>
      <c r="BK3">
        <f>VLOOKUP($A3,'UN Treasury'!$A$1:$BQ$224,_xlfn.XMATCH(BK$1,'UN Treasury'!$A$1:$BQ$1,-1,1),FALSE)</f>
        <v>79.150000000000006</v>
      </c>
      <c r="BL3">
        <f>VLOOKUP($A3,'UN Treasury'!$A$1:$BQ$224,_xlfn.XMATCH(BL$1,'UN Treasury'!$A$1:$BQ$1,-1,1),FALSE)</f>
        <v>78.069999999999993</v>
      </c>
      <c r="BM3">
        <f>VLOOKUP($A3,'UN Treasury'!$A$1:$BQ$224,_xlfn.XMATCH(BM$1,'UN Treasury'!$A$1:$BQ$1,-1,1),FALSE)</f>
        <v>77.400000000000006</v>
      </c>
      <c r="BN3">
        <f>VLOOKUP($A3,'UN Treasury'!$A$1:$BQ$224,_xlfn.XMATCH(BN$1,'UN Treasury'!$A$1:$BQ$1,-1,1),FALSE)</f>
        <v>77.34</v>
      </c>
      <c r="BO3">
        <f>VLOOKUP($A3,'UN Treasury'!$A$1:$BQ$224,_xlfn.XMATCH(BO$1,'UN Treasury'!$A$1:$BQ$1,-1,1),FALSE)</f>
        <v>77.3</v>
      </c>
      <c r="BP3">
        <f>VLOOKUP($A3,'UN Treasury'!$A$1:$BQ$224,_xlfn.XMATCH(BP$1,'UN Treasury'!$A$1:$BQ$1,-1,1),FALSE)</f>
        <v>77.3</v>
      </c>
      <c r="BQ3">
        <f>VLOOKUP($A3,'UN Treasury'!$A$1:$BQ$224,_xlfn.XMATCH(BQ$1,'UN Treasury'!$A$1:$BQ$1,-1,1),FALSE)</f>
        <v>77.05</v>
      </c>
    </row>
    <row r="4" spans="1:69" x14ac:dyDescent="0.25">
      <c r="A4" t="s">
        <v>19</v>
      </c>
      <c r="B4">
        <f>VLOOKUP($A4,'UN Treasury'!$A$1:$BQ$224,_xlfn.XMATCH(B$1,'UN Treasury'!$A$1:$BQ$1,-1,1),FALSE)</f>
        <v>80.069999999999993</v>
      </c>
      <c r="C4">
        <f>VLOOKUP($A4,'UN Treasury'!$A$1:$BQ$224,_xlfn.XMATCH(C$1,'UN Treasury'!$A$1:$BQ$1,-1,1),FALSE)</f>
        <v>82.08</v>
      </c>
      <c r="D4">
        <f>VLOOKUP($A4,'UN Treasury'!$A$1:$BQ$224,_xlfn.XMATCH(D$1,'UN Treasury'!$A$1:$BQ$1,-1,1),FALSE)</f>
        <v>82</v>
      </c>
      <c r="E4">
        <f>VLOOKUP($A4,'UN Treasury'!$A$1:$BQ$224,_xlfn.XMATCH(E$1,'UN Treasury'!$A$1:$BQ$1,-1,1),FALSE)</f>
        <v>81.08</v>
      </c>
      <c r="F4">
        <f>VLOOKUP($A4,'UN Treasury'!$A$1:$BQ$224,_xlfn.XMATCH(F$1,'UN Treasury'!$A$1:$BQ$1,-1,1),FALSE)</f>
        <v>81.459999999999994</v>
      </c>
      <c r="G4">
        <f>VLOOKUP($A4,'UN Treasury'!$A$1:$BQ$224,_xlfn.XMATCH(G$1,'UN Treasury'!$A$1:$BQ$1,-1,1),FALSE)</f>
        <v>82.96</v>
      </c>
      <c r="H4">
        <f>VLOOKUP($A4,'UN Treasury'!$A$1:$BQ$224,_xlfn.XMATCH(H$1,'UN Treasury'!$A$1:$BQ$1,-1,1),FALSE)</f>
        <v>80.69</v>
      </c>
      <c r="I4">
        <f>VLOOKUP($A4,'UN Treasury'!$A$1:$BQ$224,_xlfn.XMATCH(I$1,'UN Treasury'!$A$1:$BQ$1,-1,1),FALSE)</f>
        <v>82.37</v>
      </c>
      <c r="J4">
        <f>VLOOKUP($A4,'UN Treasury'!$A$1:$BQ$224,_xlfn.XMATCH(J$1,'UN Treasury'!$A$1:$BQ$1,-1,1),FALSE)</f>
        <v>81.77</v>
      </c>
      <c r="K4">
        <f>VLOOKUP($A4,'UN Treasury'!$A$1:$BQ$224,_xlfn.XMATCH(K$1,'UN Treasury'!$A$1:$BQ$1,-1,1),FALSE)</f>
        <v>81.08</v>
      </c>
      <c r="L4">
        <f>VLOOKUP($A4,'UN Treasury'!$A$1:$BQ$224,_xlfn.XMATCH(L$1,'UN Treasury'!$A$1:$BQ$1,-1,1),FALSE)</f>
        <v>80.77</v>
      </c>
      <c r="M4">
        <f>VLOOKUP($A4,'UN Treasury'!$A$1:$BQ$224,_xlfn.XMATCH(M$1,'UN Treasury'!$A$1:$BQ$1,-1,1),FALSE)</f>
        <v>81</v>
      </c>
      <c r="N4">
        <f>VLOOKUP($A4,'UN Treasury'!$A$1:$BQ$224,_xlfn.XMATCH(N$1,'UN Treasury'!$A$1:$BQ$1,-1,1),FALSE)</f>
        <v>80.98</v>
      </c>
      <c r="O4">
        <f>VLOOKUP($A4,'UN Treasury'!$A$1:$BQ$224,_xlfn.XMATCH(O$1,'UN Treasury'!$A$1:$BQ$1,-1,1),FALSE)</f>
        <v>81.06</v>
      </c>
      <c r="P4">
        <f>VLOOKUP($A4,'UN Treasury'!$A$1:$BQ$224,_xlfn.XMATCH(P$1,'UN Treasury'!$A$1:$BQ$1,-1,1),FALSE)</f>
        <v>83.27</v>
      </c>
      <c r="Q4">
        <f>VLOOKUP($A4,'UN Treasury'!$A$1:$BQ$224,_xlfn.XMATCH(Q$1,'UN Treasury'!$A$1:$BQ$1,-1,1),FALSE)</f>
        <v>84.92</v>
      </c>
      <c r="R4">
        <f>VLOOKUP($A4,'UN Treasury'!$A$1:$BQ$224,_xlfn.XMATCH(R$1,'UN Treasury'!$A$1:$BQ$1,-1,1),FALSE)</f>
        <v>87.54</v>
      </c>
      <c r="S4">
        <f>VLOOKUP($A4,'UN Treasury'!$A$1:$BQ$224,_xlfn.XMATCH(S$1,'UN Treasury'!$A$1:$BQ$1,-1,1),FALSE)</f>
        <v>89.08</v>
      </c>
      <c r="T4">
        <f>VLOOKUP($A4,'UN Treasury'!$A$1:$BQ$224,_xlfn.XMATCH(T$1,'UN Treasury'!$A$1:$BQ$1,-1,1),FALSE)</f>
        <v>93.41</v>
      </c>
      <c r="U4">
        <f>VLOOKUP($A4,'UN Treasury'!$A$1:$BQ$224,_xlfn.XMATCH(U$1,'UN Treasury'!$A$1:$BQ$1,-1,1),FALSE)</f>
        <v>92.59</v>
      </c>
      <c r="V4">
        <f>VLOOKUP($A4,'UN Treasury'!$A$1:$BQ$224,_xlfn.XMATCH(V$1,'UN Treasury'!$A$1:$BQ$1,-1,1),FALSE)</f>
        <v>90.56</v>
      </c>
      <c r="W4">
        <f>VLOOKUP($A4,'UN Treasury'!$A$1:$BQ$224,_xlfn.XMATCH(W$1,'UN Treasury'!$A$1:$BQ$1,-1,1),FALSE)</f>
        <v>88.7</v>
      </c>
      <c r="X4">
        <f>VLOOKUP($A4,'UN Treasury'!$A$1:$BQ$224,_xlfn.XMATCH(X$1,'UN Treasury'!$A$1:$BQ$1,-1,1),FALSE)</f>
        <v>87.66</v>
      </c>
      <c r="Y4">
        <f>VLOOKUP($A4,'UN Treasury'!$A$1:$BQ$224,_xlfn.XMATCH(Y$1,'UN Treasury'!$A$1:$BQ$1,-1,1),FALSE)</f>
        <v>87.26</v>
      </c>
      <c r="Z4">
        <f>VLOOKUP($A4,'UN Treasury'!$A$1:$BQ$224,_xlfn.XMATCH(Z$1,'UN Treasury'!$A$1:$BQ$1,-1,1),FALSE)</f>
        <v>89.29</v>
      </c>
      <c r="AA4">
        <f>VLOOKUP($A4,'UN Treasury'!$A$1:$BQ$224,_xlfn.XMATCH(AA$1,'UN Treasury'!$A$1:$BQ$1,-1,1),FALSE)</f>
        <v>90.24</v>
      </c>
      <c r="AB4">
        <f>VLOOKUP($A4,'UN Treasury'!$A$1:$BQ$224,_xlfn.XMATCH(AB$1,'UN Treasury'!$A$1:$BQ$1,-1,1),FALSE)</f>
        <v>92.35</v>
      </c>
      <c r="AC4">
        <f>VLOOKUP($A4,'UN Treasury'!$A$1:$BQ$224,_xlfn.XMATCH(AC$1,'UN Treasury'!$A$1:$BQ$1,-1,1),FALSE)</f>
        <v>91.46</v>
      </c>
      <c r="AD4">
        <f>VLOOKUP($A4,'UN Treasury'!$A$1:$BQ$224,_xlfn.XMATCH(AD$1,'UN Treasury'!$A$1:$BQ$1,-1,1),FALSE)</f>
        <v>91.92</v>
      </c>
      <c r="AE4">
        <f>VLOOKUP($A4,'UN Treasury'!$A$1:$BQ$224,_xlfn.XMATCH(AE$1,'UN Treasury'!$A$1:$BQ$1,-1,1),FALSE)</f>
        <v>92.55</v>
      </c>
      <c r="AF4">
        <f>VLOOKUP($A4,'UN Treasury'!$A$1:$BQ$224,_xlfn.XMATCH(AF$1,'UN Treasury'!$A$1:$BQ$1,-1,1),FALSE)</f>
        <v>94.13</v>
      </c>
      <c r="AG4">
        <f>VLOOKUP($A4,'UN Treasury'!$A$1:$BQ$224,_xlfn.XMATCH(AG$1,'UN Treasury'!$A$1:$BQ$1,-1,1),FALSE)</f>
        <v>93.1</v>
      </c>
      <c r="AH4">
        <f>VLOOKUP($A4,'UN Treasury'!$A$1:$BQ$224,_xlfn.XMATCH(AH$1,'UN Treasury'!$A$1:$BQ$1,-1,1),FALSE)</f>
        <v>91.7</v>
      </c>
      <c r="AI4">
        <f>VLOOKUP($A4,'UN Treasury'!$A$1:$BQ$224,_xlfn.XMATCH(AI$1,'UN Treasury'!$A$1:$BQ$1,-1,1),FALSE)</f>
        <v>95.58</v>
      </c>
      <c r="AJ4">
        <f>VLOOKUP($A4,'UN Treasury'!$A$1:$BQ$224,_xlfn.XMATCH(AJ$1,'UN Treasury'!$A$1:$BQ$1,-1,1),FALSE)</f>
        <v>98.01</v>
      </c>
      <c r="AK4">
        <f>VLOOKUP($A4,'UN Treasury'!$A$1:$BQ$224,_xlfn.XMATCH(AK$1,'UN Treasury'!$A$1:$BQ$1,-1,1),FALSE)</f>
        <v>98.12</v>
      </c>
      <c r="AL4">
        <f>VLOOKUP($A4,'UN Treasury'!$A$1:$BQ$224,_xlfn.XMATCH(AL$1,'UN Treasury'!$A$1:$BQ$1,-1,1),FALSE)</f>
        <v>94.41</v>
      </c>
      <c r="AM4">
        <f>VLOOKUP($A4,'UN Treasury'!$A$1:$BQ$224,_xlfn.XMATCH(AM$1,'UN Treasury'!$A$1:$BQ$1,-1,1),FALSE)</f>
        <v>93.51</v>
      </c>
      <c r="AN4">
        <f>VLOOKUP($A4,'UN Treasury'!$A$1:$BQ$224,_xlfn.XMATCH(AN$1,'UN Treasury'!$A$1:$BQ$1,-1,1),FALSE)</f>
        <v>97.41</v>
      </c>
      <c r="AO4">
        <f>VLOOKUP($A4,'UN Treasury'!$A$1:$BQ$224,_xlfn.XMATCH(AO$1,'UN Treasury'!$A$1:$BQ$1,-1,1),FALSE)</f>
        <v>99</v>
      </c>
      <c r="AP4">
        <f>VLOOKUP($A4,'UN Treasury'!$A$1:$BQ$224,_xlfn.XMATCH(AP$1,'UN Treasury'!$A$1:$BQ$1,-1,1),FALSE)</f>
        <v>100.8</v>
      </c>
      <c r="AQ4">
        <f>VLOOKUP($A4,'UN Treasury'!$A$1:$BQ$224,_xlfn.XMATCH(AQ$1,'UN Treasury'!$A$1:$BQ$1,-1,1),FALSE)</f>
        <v>105.24</v>
      </c>
      <c r="AR4">
        <f>VLOOKUP($A4,'UN Treasury'!$A$1:$BQ$224,_xlfn.XMATCH(AR$1,'UN Treasury'!$A$1:$BQ$1,-1,1),FALSE)</f>
        <v>105.77</v>
      </c>
      <c r="AS4">
        <f>VLOOKUP($A4,'UN Treasury'!$A$1:$BQ$224,_xlfn.XMATCH(AS$1,'UN Treasury'!$A$1:$BQ$1,-1,1),FALSE)</f>
        <v>109.71</v>
      </c>
      <c r="AT4">
        <f>VLOOKUP($A4,'UN Treasury'!$A$1:$BQ$224,_xlfn.XMATCH(AT$1,'UN Treasury'!$A$1:$BQ$1,-1,1),FALSE)</f>
        <v>109.01</v>
      </c>
      <c r="AU4">
        <f>VLOOKUP($A4,'UN Treasury'!$A$1:$BQ$224,_xlfn.XMATCH(AU$1,'UN Treasury'!$A$1:$BQ$1,-1,1),FALSE)</f>
        <v>114.51</v>
      </c>
      <c r="AV4">
        <f>VLOOKUP($A4,'UN Treasury'!$A$1:$BQ$224,_xlfn.XMATCH(AV$1,'UN Treasury'!$A$1:$BQ$1,-1,1),FALSE)</f>
        <v>118.03</v>
      </c>
      <c r="AW4">
        <f>VLOOKUP($A4,'UN Treasury'!$A$1:$BQ$224,_xlfn.XMATCH(AW$1,'UN Treasury'!$A$1:$BQ$1,-1,1),FALSE)</f>
        <v>116.54</v>
      </c>
      <c r="AX4">
        <f>VLOOKUP($A4,'UN Treasury'!$A$1:$BQ$224,_xlfn.XMATCH(AX$1,'UN Treasury'!$A$1:$BQ$1,-1,1),FALSE)</f>
        <v>112.18</v>
      </c>
      <c r="AY4">
        <f>VLOOKUP($A4,'UN Treasury'!$A$1:$BQ$224,_xlfn.XMATCH(AY$1,'UN Treasury'!$A$1:$BQ$1,-1,1),FALSE)</f>
        <v>114</v>
      </c>
      <c r="AZ4">
        <f>VLOOKUP($A4,'UN Treasury'!$A$1:$BQ$224,_xlfn.XMATCH(AZ$1,'UN Treasury'!$A$1:$BQ$1,-1,1),FALSE)</f>
        <v>109.83</v>
      </c>
      <c r="BA4">
        <f>VLOOKUP($A4,'UN Treasury'!$A$1:$BQ$224,_xlfn.XMATCH(BA$1,'UN Treasury'!$A$1:$BQ$1,-1,1),FALSE)</f>
        <v>112</v>
      </c>
      <c r="BB4">
        <f>VLOOKUP($A4,'UN Treasury'!$A$1:$BQ$224,_xlfn.XMATCH(BB$1,'UN Treasury'!$A$1:$BQ$1,-1,1),FALSE)</f>
        <v>109.07</v>
      </c>
      <c r="BC4">
        <f>VLOOKUP($A4,'UN Treasury'!$A$1:$BQ$224,_xlfn.XMATCH(BC$1,'UN Treasury'!$A$1:$BQ$1,-1,1),FALSE)</f>
        <v>114.13</v>
      </c>
      <c r="BD4">
        <f>VLOOKUP($A4,'UN Treasury'!$A$1:$BQ$224,_xlfn.XMATCH(BD$1,'UN Treasury'!$A$1:$BQ$1,-1,1),FALSE)</f>
        <v>103.96</v>
      </c>
      <c r="BE4">
        <f>VLOOKUP($A4,'UN Treasury'!$A$1:$BQ$224,_xlfn.XMATCH(BE$1,'UN Treasury'!$A$1:$BQ$1,-1,1),FALSE)</f>
        <v>104.9</v>
      </c>
      <c r="BF4">
        <f>VLOOKUP($A4,'UN Treasury'!$A$1:$BQ$224,_xlfn.XMATCH(BF$1,'UN Treasury'!$A$1:$BQ$1,-1,1),FALSE)</f>
        <v>105.18</v>
      </c>
      <c r="BG4">
        <f>VLOOKUP($A4,'UN Treasury'!$A$1:$BQ$224,_xlfn.XMATCH(BG$1,'UN Treasury'!$A$1:$BQ$1,-1,1),FALSE)</f>
        <v>102.18</v>
      </c>
      <c r="BH4">
        <f>VLOOKUP($A4,'UN Treasury'!$A$1:$BQ$224,_xlfn.XMATCH(BH$1,'UN Treasury'!$A$1:$BQ$1,-1,1),FALSE)</f>
        <v>101.15</v>
      </c>
      <c r="BI4">
        <f>VLOOKUP($A4,'UN Treasury'!$A$1:$BQ$224,_xlfn.XMATCH(BI$1,'UN Treasury'!$A$1:$BQ$1,-1,1),FALSE)</f>
        <v>101.39</v>
      </c>
      <c r="BJ4">
        <f>VLOOKUP($A4,'UN Treasury'!$A$1:$BQ$224,_xlfn.XMATCH(BJ$1,'UN Treasury'!$A$1:$BQ$1,-1,1),FALSE)</f>
        <v>101.47</v>
      </c>
      <c r="BK4">
        <f>VLOOKUP($A4,'UN Treasury'!$A$1:$BQ$224,_xlfn.XMATCH(BK$1,'UN Treasury'!$A$1:$BQ$1,-1,1),FALSE)</f>
        <v>100.59</v>
      </c>
      <c r="BL4">
        <f>VLOOKUP($A4,'UN Treasury'!$A$1:$BQ$224,_xlfn.XMATCH(BL$1,'UN Treasury'!$A$1:$BQ$1,-1,1),FALSE)</f>
        <v>98.48</v>
      </c>
      <c r="BM4">
        <f>VLOOKUP($A4,'UN Treasury'!$A$1:$BQ$224,_xlfn.XMATCH(BM$1,'UN Treasury'!$A$1:$BQ$1,-1,1),FALSE)</f>
        <v>100.8</v>
      </c>
      <c r="BN4">
        <f>VLOOKUP($A4,'UN Treasury'!$A$1:$BQ$224,_xlfn.XMATCH(BN$1,'UN Treasury'!$A$1:$BQ$1,-1,1),FALSE)</f>
        <v>101.73</v>
      </c>
      <c r="BO4">
        <f>VLOOKUP($A4,'UN Treasury'!$A$1:$BQ$224,_xlfn.XMATCH(BO$1,'UN Treasury'!$A$1:$BQ$1,-1,1),FALSE)</f>
        <v>99.67</v>
      </c>
      <c r="BP4">
        <f>VLOOKUP($A4,'UN Treasury'!$A$1:$BQ$224,_xlfn.XMATCH(BP$1,'UN Treasury'!$A$1:$BQ$1,-1,1),FALSE)</f>
        <v>99.15</v>
      </c>
      <c r="BQ4">
        <f>VLOOKUP($A4,'UN Treasury'!$A$1:$BQ$224,_xlfn.XMATCH(BQ$1,'UN Treasury'!$A$1:$BQ$1,-1,1),FALSE)</f>
        <v>98.9</v>
      </c>
    </row>
    <row r="5" spans="1:69" x14ac:dyDescent="0.25">
      <c r="A5" t="s">
        <v>34</v>
      </c>
      <c r="B5">
        <f>VLOOKUP($A5,'UN Treasury'!$A$1:$BQ$224,_xlfn.XMATCH(B$1,'UN Treasury'!$A$1:$BQ$1,-1,1),FALSE)</f>
        <v>365</v>
      </c>
      <c r="C5">
        <f>VLOOKUP($A5,'UN Treasury'!$A$1:$BQ$224,_xlfn.XMATCH(C$1,'UN Treasury'!$A$1:$BQ$1,-1,1),FALSE)</f>
        <v>366.33</v>
      </c>
      <c r="D5">
        <f>VLOOKUP($A5,'UN Treasury'!$A$1:$BQ$224,_xlfn.XMATCH(D$1,'UN Treasury'!$A$1:$BQ$1,-1,1),FALSE)</f>
        <v>367</v>
      </c>
      <c r="E5">
        <f>VLOOKUP($A5,'UN Treasury'!$A$1:$BQ$224,_xlfn.XMATCH(E$1,'UN Treasury'!$A$1:$BQ$1,-1,1),FALSE)</f>
        <v>367.25</v>
      </c>
      <c r="F5">
        <f>VLOOKUP($A5,'UN Treasury'!$A$1:$BQ$224,_xlfn.XMATCH(F$1,'UN Treasury'!$A$1:$BQ$1,-1,1),FALSE)</f>
        <v>375.13</v>
      </c>
      <c r="G5">
        <f>VLOOKUP($A5,'UN Treasury'!$A$1:$BQ$224,_xlfn.XMATCH(G$1,'UN Treasury'!$A$1:$BQ$1,-1,1),FALSE)</f>
        <v>375.8</v>
      </c>
      <c r="H5">
        <f>VLOOKUP($A5,'UN Treasury'!$A$1:$BQ$224,_xlfn.XMATCH(H$1,'UN Treasury'!$A$1:$BQ$1,-1,1),FALSE)</f>
        <v>376</v>
      </c>
      <c r="I5">
        <f>VLOOKUP($A5,'UN Treasury'!$A$1:$BQ$224,_xlfn.XMATCH(I$1,'UN Treasury'!$A$1:$BQ$1,-1,1),FALSE)</f>
        <v>379.5</v>
      </c>
      <c r="J5">
        <f>VLOOKUP($A5,'UN Treasury'!$A$1:$BQ$224,_xlfn.XMATCH(J$1,'UN Treasury'!$A$1:$BQ$1,-1,1),FALSE)</f>
        <v>380.02</v>
      </c>
      <c r="K5">
        <f>VLOOKUP($A5,'UN Treasury'!$A$1:$BQ$224,_xlfn.XMATCH(K$1,'UN Treasury'!$A$1:$BQ$1,-1,1),FALSE)</f>
        <v>381</v>
      </c>
      <c r="L5">
        <f>VLOOKUP($A5,'UN Treasury'!$A$1:$BQ$224,_xlfn.XMATCH(L$1,'UN Treasury'!$A$1:$BQ$1,-1,1),FALSE)</f>
        <v>381</v>
      </c>
      <c r="M5">
        <f>VLOOKUP($A5,'UN Treasury'!$A$1:$BQ$224,_xlfn.XMATCH(M$1,'UN Treasury'!$A$1:$BQ$1,-1,1),FALSE)</f>
        <v>381.4</v>
      </c>
      <c r="N5">
        <f>VLOOKUP($A5,'UN Treasury'!$A$1:$BQ$224,_xlfn.XMATCH(N$1,'UN Treasury'!$A$1:$BQ$1,-1,1),FALSE)</f>
        <v>382.13</v>
      </c>
      <c r="O5">
        <f>VLOOKUP($A5,'UN Treasury'!$A$1:$BQ$224,_xlfn.XMATCH(O$1,'UN Treasury'!$A$1:$BQ$1,-1,1),FALSE)</f>
        <v>383.13</v>
      </c>
      <c r="P5">
        <f>VLOOKUP($A5,'UN Treasury'!$A$1:$BQ$224,_xlfn.XMATCH(P$1,'UN Treasury'!$A$1:$BQ$1,-1,1),FALSE)</f>
        <v>382.08</v>
      </c>
      <c r="Q5">
        <f>VLOOKUP($A5,'UN Treasury'!$A$1:$BQ$224,_xlfn.XMATCH(Q$1,'UN Treasury'!$A$1:$BQ$1,-1,1),FALSE)</f>
        <v>386.5</v>
      </c>
      <c r="R5">
        <f>VLOOKUP($A5,'UN Treasury'!$A$1:$BQ$224,_xlfn.XMATCH(R$1,'UN Treasury'!$A$1:$BQ$1,-1,1),FALSE)</f>
        <v>389.83</v>
      </c>
      <c r="S5">
        <f>VLOOKUP($A5,'UN Treasury'!$A$1:$BQ$224,_xlfn.XMATCH(S$1,'UN Treasury'!$A$1:$BQ$1,-1,1),FALSE)</f>
        <v>392</v>
      </c>
      <c r="T5">
        <f>VLOOKUP($A5,'UN Treasury'!$A$1:$BQ$224,_xlfn.XMATCH(T$1,'UN Treasury'!$A$1:$BQ$1,-1,1),FALSE)</f>
        <v>394</v>
      </c>
      <c r="U5">
        <f>VLOOKUP($A5,'UN Treasury'!$A$1:$BQ$224,_xlfn.XMATCH(U$1,'UN Treasury'!$A$1:$BQ$1,-1,1),FALSE)</f>
        <v>393.86</v>
      </c>
      <c r="V5">
        <f>VLOOKUP($A5,'UN Treasury'!$A$1:$BQ$224,_xlfn.XMATCH(V$1,'UN Treasury'!$A$1:$BQ$1,-1,1),FALSE)</f>
        <v>390</v>
      </c>
      <c r="W5">
        <f>VLOOKUP($A5,'UN Treasury'!$A$1:$BQ$224,_xlfn.XMATCH(W$1,'UN Treasury'!$A$1:$BQ$1,-1,1),FALSE)</f>
        <v>385.6</v>
      </c>
      <c r="X5">
        <f>VLOOKUP($A5,'UN Treasury'!$A$1:$BQ$224,_xlfn.XMATCH(X$1,'UN Treasury'!$A$1:$BQ$1,-1,1),FALSE)</f>
        <v>385.6</v>
      </c>
      <c r="Y5">
        <f>VLOOKUP($A5,'UN Treasury'!$A$1:$BQ$224,_xlfn.XMATCH(Y$1,'UN Treasury'!$A$1:$BQ$1,-1,1),FALSE)</f>
        <v>386</v>
      </c>
      <c r="Z5">
        <f>VLOOKUP($A5,'UN Treasury'!$A$1:$BQ$224,_xlfn.XMATCH(Z$1,'UN Treasury'!$A$1:$BQ$1,-1,1),FALSE)</f>
        <v>386</v>
      </c>
      <c r="AA5">
        <f>VLOOKUP($A5,'UN Treasury'!$A$1:$BQ$224,_xlfn.XMATCH(AA$1,'UN Treasury'!$A$1:$BQ$1,-1,1),FALSE)</f>
        <v>385.75</v>
      </c>
      <c r="AB5">
        <f>VLOOKUP($A5,'UN Treasury'!$A$1:$BQ$224,_xlfn.XMATCH(AB$1,'UN Treasury'!$A$1:$BQ$1,-1,1),FALSE)</f>
        <v>386</v>
      </c>
      <c r="AC5">
        <f>VLOOKUP($A5,'UN Treasury'!$A$1:$BQ$224,_xlfn.XMATCH(AC$1,'UN Treasury'!$A$1:$BQ$1,-1,1),FALSE)</f>
        <v>385.75</v>
      </c>
      <c r="AD5">
        <f>VLOOKUP($A5,'UN Treasury'!$A$1:$BQ$224,_xlfn.XMATCH(AD$1,'UN Treasury'!$A$1:$BQ$1,-1,1),FALSE)</f>
        <v>391.25</v>
      </c>
      <c r="AE5">
        <f>VLOOKUP($A5,'UN Treasury'!$A$1:$BQ$224,_xlfn.XMATCH(AE$1,'UN Treasury'!$A$1:$BQ$1,-1,1),FALSE)</f>
        <v>401.13</v>
      </c>
      <c r="AF5">
        <f>VLOOKUP($A5,'UN Treasury'!$A$1:$BQ$224,_xlfn.XMATCH(AF$1,'UN Treasury'!$A$1:$BQ$1,-1,1),FALSE)</f>
        <v>401</v>
      </c>
      <c r="AG5">
        <f>VLOOKUP($A5,'UN Treasury'!$A$1:$BQ$224,_xlfn.XMATCH(AG$1,'UN Treasury'!$A$1:$BQ$1,-1,1),FALSE)</f>
        <v>402</v>
      </c>
      <c r="AH5">
        <f>VLOOKUP($A5,'UN Treasury'!$A$1:$BQ$224,_xlfn.XMATCH(AH$1,'UN Treasury'!$A$1:$BQ$1,-1,1),FALSE)</f>
        <v>400.2</v>
      </c>
      <c r="AI5">
        <f>VLOOKUP($A5,'UN Treasury'!$A$1:$BQ$224,_xlfn.XMATCH(AI$1,'UN Treasury'!$A$1:$BQ$1,-1,1),FALSE)</f>
        <v>400</v>
      </c>
      <c r="AJ5">
        <f>VLOOKUP($A5,'UN Treasury'!$A$1:$BQ$224,_xlfn.XMATCH(AJ$1,'UN Treasury'!$A$1:$BQ$1,-1,1),FALSE)</f>
        <v>392.8</v>
      </c>
      <c r="AK5">
        <f>VLOOKUP($A5,'UN Treasury'!$A$1:$BQ$224,_xlfn.XMATCH(AK$1,'UN Treasury'!$A$1:$BQ$1,-1,1),FALSE)</f>
        <v>383.45</v>
      </c>
      <c r="AL5">
        <f>VLOOKUP($A5,'UN Treasury'!$A$1:$BQ$224,_xlfn.XMATCH(AL$1,'UN Treasury'!$A$1:$BQ$1,-1,1),FALSE)</f>
        <v>384.1</v>
      </c>
      <c r="AM5">
        <f>VLOOKUP($A5,'UN Treasury'!$A$1:$BQ$224,_xlfn.XMATCH(AM$1,'UN Treasury'!$A$1:$BQ$1,-1,1),FALSE)</f>
        <v>383</v>
      </c>
      <c r="AN5">
        <f>VLOOKUP($A5,'UN Treasury'!$A$1:$BQ$224,_xlfn.XMATCH(AN$1,'UN Treasury'!$A$1:$BQ$1,-1,1),FALSE)</f>
        <v>383.25</v>
      </c>
      <c r="AO5">
        <f>VLOOKUP($A5,'UN Treasury'!$A$1:$BQ$224,_xlfn.XMATCH(AO$1,'UN Treasury'!$A$1:$BQ$1,-1,1),FALSE)</f>
        <v>383.25</v>
      </c>
      <c r="AP5">
        <f>VLOOKUP($A5,'UN Treasury'!$A$1:$BQ$224,_xlfn.XMATCH(AP$1,'UN Treasury'!$A$1:$BQ$1,-1,1),FALSE)</f>
        <v>385</v>
      </c>
      <c r="AQ5">
        <f>VLOOKUP($A5,'UN Treasury'!$A$1:$BQ$224,_xlfn.XMATCH(AQ$1,'UN Treasury'!$A$1:$BQ$1,-1,1),FALSE)</f>
        <v>385</v>
      </c>
      <c r="AR5">
        <f>VLOOKUP($A5,'UN Treasury'!$A$1:$BQ$224,_xlfn.XMATCH(AR$1,'UN Treasury'!$A$1:$BQ$1,-1,1),FALSE)</f>
        <v>391.5</v>
      </c>
      <c r="AS5">
        <f>VLOOKUP($A5,'UN Treasury'!$A$1:$BQ$224,_xlfn.XMATCH(AS$1,'UN Treasury'!$A$1:$BQ$1,-1,1),FALSE)</f>
        <v>393</v>
      </c>
      <c r="AT5">
        <f>VLOOKUP($A5,'UN Treasury'!$A$1:$BQ$224,_xlfn.XMATCH(AT$1,'UN Treasury'!$A$1:$BQ$1,-1,1),FALSE)</f>
        <v>391.7</v>
      </c>
      <c r="AU5">
        <f>VLOOKUP($A5,'UN Treasury'!$A$1:$BQ$224,_xlfn.XMATCH(AU$1,'UN Treasury'!$A$1:$BQ$1,-1,1),FALSE)</f>
        <v>392</v>
      </c>
      <c r="AV5">
        <f>VLOOKUP($A5,'UN Treasury'!$A$1:$BQ$224,_xlfn.XMATCH(AV$1,'UN Treasury'!$A$1:$BQ$1,-1,1),FALSE)</f>
        <v>399.8</v>
      </c>
      <c r="AW5">
        <f>VLOOKUP($A5,'UN Treasury'!$A$1:$BQ$224,_xlfn.XMATCH(AW$1,'UN Treasury'!$A$1:$BQ$1,-1,1),FALSE)</f>
        <v>401.2</v>
      </c>
      <c r="AX5">
        <f>VLOOKUP($A5,'UN Treasury'!$A$1:$BQ$224,_xlfn.XMATCH(AX$1,'UN Treasury'!$A$1:$BQ$1,-1,1),FALSE)</f>
        <v>402</v>
      </c>
      <c r="AY5">
        <f>VLOOKUP($A5,'UN Treasury'!$A$1:$BQ$224,_xlfn.XMATCH(AY$1,'UN Treasury'!$A$1:$BQ$1,-1,1),FALSE)</f>
        <v>409.1</v>
      </c>
      <c r="AZ5">
        <f>VLOOKUP($A5,'UN Treasury'!$A$1:$BQ$224,_xlfn.XMATCH(AZ$1,'UN Treasury'!$A$1:$BQ$1,-1,1),FALSE)</f>
        <v>411.69</v>
      </c>
      <c r="BA5">
        <f>VLOOKUP($A5,'UN Treasury'!$A$1:$BQ$224,_xlfn.XMATCH(BA$1,'UN Treasury'!$A$1:$BQ$1,-1,1),FALSE)</f>
        <v>455.63</v>
      </c>
      <c r="BB5">
        <f>VLOOKUP($A5,'UN Treasury'!$A$1:$BQ$224,_xlfn.XMATCH(BB$1,'UN Treasury'!$A$1:$BQ$1,-1,1),FALSE)</f>
        <v>466.9</v>
      </c>
      <c r="BC5">
        <f>VLOOKUP($A5,'UN Treasury'!$A$1:$BQ$224,_xlfn.XMATCH(BC$1,'UN Treasury'!$A$1:$BQ$1,-1,1),FALSE)</f>
        <v>510.13</v>
      </c>
      <c r="BD5">
        <f>VLOOKUP($A5,'UN Treasury'!$A$1:$BQ$224,_xlfn.XMATCH(BD$1,'UN Treasury'!$A$1:$BQ$1,-1,1),FALSE)</f>
        <v>476.91</v>
      </c>
      <c r="BE5">
        <f>VLOOKUP($A5,'UN Treasury'!$A$1:$BQ$224,_xlfn.XMATCH(BE$1,'UN Treasury'!$A$1:$BQ$1,-1,1),FALSE)</f>
        <v>477.4</v>
      </c>
      <c r="BF5">
        <f>VLOOKUP($A5,'UN Treasury'!$A$1:$BQ$224,_xlfn.XMATCH(BF$1,'UN Treasury'!$A$1:$BQ$1,-1,1),FALSE)</f>
        <v>482.52</v>
      </c>
      <c r="BG5">
        <f>VLOOKUP($A5,'UN Treasury'!$A$1:$BQ$224,_xlfn.XMATCH(BG$1,'UN Treasury'!$A$1:$BQ$1,-1,1),FALSE)</f>
        <v>474.9</v>
      </c>
      <c r="BH5">
        <f>VLOOKUP($A5,'UN Treasury'!$A$1:$BQ$224,_xlfn.XMATCH(BH$1,'UN Treasury'!$A$1:$BQ$1,-1,1),FALSE)</f>
        <v>482.25</v>
      </c>
      <c r="BI5">
        <f>VLOOKUP($A5,'UN Treasury'!$A$1:$BQ$224,_xlfn.XMATCH(BI$1,'UN Treasury'!$A$1:$BQ$1,-1,1),FALSE)</f>
        <v>490.5</v>
      </c>
      <c r="BJ5">
        <f>VLOOKUP($A5,'UN Treasury'!$A$1:$BQ$224,_xlfn.XMATCH(BJ$1,'UN Treasury'!$A$1:$BQ$1,-1,1),FALSE)</f>
        <v>481.25</v>
      </c>
      <c r="BK5">
        <f>VLOOKUP($A5,'UN Treasury'!$A$1:$BQ$224,_xlfn.XMATCH(BK$1,'UN Treasury'!$A$1:$BQ$1,-1,1),FALSE)</f>
        <v>494.05</v>
      </c>
      <c r="BL5">
        <f>VLOOKUP($A5,'UN Treasury'!$A$1:$BQ$224,_xlfn.XMATCH(BL$1,'UN Treasury'!$A$1:$BQ$1,-1,1),FALSE)</f>
        <v>518.29999999999995</v>
      </c>
      <c r="BM5">
        <f>VLOOKUP($A5,'UN Treasury'!$A$1:$BQ$224,_xlfn.XMATCH(BM$1,'UN Treasury'!$A$1:$BQ$1,-1,1),FALSE)</f>
        <v>518.25</v>
      </c>
      <c r="BN5">
        <f>VLOOKUP($A5,'UN Treasury'!$A$1:$BQ$224,_xlfn.XMATCH(BN$1,'UN Treasury'!$A$1:$BQ$1,-1,1),FALSE)</f>
        <v>528.88</v>
      </c>
      <c r="BO5">
        <f>VLOOKUP($A5,'UN Treasury'!$A$1:$BQ$224,_xlfn.XMATCH(BO$1,'UN Treasury'!$A$1:$BQ$1,-1,1),FALSE)</f>
        <v>525.13</v>
      </c>
      <c r="BP5">
        <f>VLOOKUP($A5,'UN Treasury'!$A$1:$BQ$224,_xlfn.XMATCH(BP$1,'UN Treasury'!$A$1:$BQ$1,-1,1),FALSE)</f>
        <v>516.5</v>
      </c>
      <c r="BQ5">
        <f>VLOOKUP($A5,'UN Treasury'!$A$1:$BQ$224,_xlfn.XMATCH(BQ$1,'UN Treasury'!$A$1:$BQ$1,-1,1),FALSE)</f>
        <v>519.62</v>
      </c>
    </row>
    <row r="6" spans="1:69" x14ac:dyDescent="0.25">
      <c r="A6" t="s">
        <v>30</v>
      </c>
      <c r="B6">
        <f>VLOOKUP($A6,'UN Treasury'!$A$1:$BQ$224,_xlfn.XMATCH(B$1,'UN Treasury'!$A$1:$BQ$1,-1,1),FALSE)</f>
        <v>912.79200000000003</v>
      </c>
      <c r="C6">
        <f>VLOOKUP($A6,'UN Treasury'!$A$1:$BQ$224,_xlfn.XMATCH(C$1,'UN Treasury'!$A$1:$BQ$1,-1,1),FALSE)</f>
        <v>912.62900000000002</v>
      </c>
      <c r="D6">
        <f>VLOOKUP($A6,'UN Treasury'!$A$1:$BQ$224,_xlfn.XMATCH(D$1,'UN Treasury'!$A$1:$BQ$1,-1,1),FALSE)</f>
        <v>913.11599999999999</v>
      </c>
      <c r="E6">
        <f>VLOOKUP($A6,'UN Treasury'!$A$1:$BQ$224,_xlfn.XMATCH(E$1,'UN Treasury'!$A$1:$BQ$1,-1,1),FALSE)</f>
        <v>913.11599999999999</v>
      </c>
      <c r="F6">
        <f>VLOOKUP($A6,'UN Treasury'!$A$1:$BQ$224,_xlfn.XMATCH(F$1,'UN Treasury'!$A$1:$BQ$1,-1,1),FALSE)</f>
        <v>912.13099999999997</v>
      </c>
      <c r="G6">
        <f>VLOOKUP($A6,'UN Treasury'!$A$1:$BQ$224,_xlfn.XMATCH(G$1,'UN Treasury'!$A$1:$BQ$1,-1,1),FALSE)</f>
        <v>912.13099999999997</v>
      </c>
      <c r="H6">
        <f>VLOOKUP($A6,'UN Treasury'!$A$1:$BQ$224,_xlfn.XMATCH(H$1,'UN Treasury'!$A$1:$BQ$1,-1,1),FALSE)</f>
        <v>912.25300000000004</v>
      </c>
      <c r="I6">
        <f>VLOOKUP($A6,'UN Treasury'!$A$1:$BQ$224,_xlfn.XMATCH(I$1,'UN Treasury'!$A$1:$BQ$1,-1,1),FALSE)</f>
        <v>911.96799999999996</v>
      </c>
      <c r="J6">
        <f>VLOOKUP($A6,'UN Treasury'!$A$1:$BQ$224,_xlfn.XMATCH(J$1,'UN Treasury'!$A$1:$BQ$1,-1,1),FALSE)</f>
        <v>912.14400000000001</v>
      </c>
      <c r="K6">
        <f>VLOOKUP($A6,'UN Treasury'!$A$1:$BQ$224,_xlfn.XMATCH(K$1,'UN Treasury'!$A$1:$BQ$1,-1,1),FALSE)</f>
        <v>912.08500000000004</v>
      </c>
      <c r="L6">
        <f>VLOOKUP($A6,'UN Treasury'!$A$1:$BQ$224,_xlfn.XMATCH(L$1,'UN Treasury'!$A$1:$BQ$1,-1,1),FALSE)</f>
        <v>911.97799999999995</v>
      </c>
      <c r="M6">
        <f>VLOOKUP($A6,'UN Treasury'!$A$1:$BQ$224,_xlfn.XMATCH(M$1,'UN Treasury'!$A$1:$BQ$1,-1,1),FALSE)</f>
        <v>911.95500000000004</v>
      </c>
      <c r="N6">
        <f>VLOOKUP($A6,'UN Treasury'!$A$1:$BQ$224,_xlfn.XMATCH(N$1,'UN Treasury'!$A$1:$BQ$1,-1,1),FALSE)</f>
        <v>911.95500000000004</v>
      </c>
      <c r="O6">
        <f>VLOOKUP($A6,'UN Treasury'!$A$1:$BQ$224,_xlfn.XMATCH(O$1,'UN Treasury'!$A$1:$BQ$1,-1,1),FALSE)</f>
        <v>911.95500000000004</v>
      </c>
      <c r="P6">
        <f>VLOOKUP($A6,'UN Treasury'!$A$1:$BQ$224,_xlfn.XMATCH(P$1,'UN Treasury'!$A$1:$BQ$1,-1,1),FALSE)</f>
        <v>911.95500000000004</v>
      </c>
      <c r="Q6">
        <f>VLOOKUP($A6,'UN Treasury'!$A$1:$BQ$224,_xlfn.XMATCH(Q$1,'UN Treasury'!$A$1:$BQ$1,-1,1),FALSE)</f>
        <v>911.95500000000004</v>
      </c>
      <c r="R6">
        <f>VLOOKUP($A6,'UN Treasury'!$A$1:$BQ$224,_xlfn.XMATCH(R$1,'UN Treasury'!$A$1:$BQ$1,-1,1),FALSE)</f>
        <v>912</v>
      </c>
      <c r="S6">
        <f>VLOOKUP($A6,'UN Treasury'!$A$1:$BQ$224,_xlfn.XMATCH(S$1,'UN Treasury'!$A$1:$BQ$1,-1,1),FALSE)</f>
        <v>912</v>
      </c>
      <c r="T6">
        <f>VLOOKUP($A6,'UN Treasury'!$A$1:$BQ$224,_xlfn.XMATCH(T$1,'UN Treasury'!$A$1:$BQ$1,-1,1),FALSE)</f>
        <v>912</v>
      </c>
      <c r="U6">
        <f>VLOOKUP($A6,'UN Treasury'!$A$1:$BQ$224,_xlfn.XMATCH(U$1,'UN Treasury'!$A$1:$BQ$1,-1,1),FALSE)</f>
        <v>912</v>
      </c>
      <c r="V6">
        <f>VLOOKUP($A6,'UN Treasury'!$A$1:$BQ$224,_xlfn.XMATCH(V$1,'UN Treasury'!$A$1:$BQ$1,-1,1),FALSE)</f>
        <v>924.21600000000001</v>
      </c>
      <c r="W6">
        <f>VLOOKUP($A6,'UN Treasury'!$A$1:$BQ$224,_xlfn.XMATCH(W$1,'UN Treasury'!$A$1:$BQ$1,-1,1),FALSE)</f>
        <v>909.05100000000004</v>
      </c>
      <c r="X6">
        <f>VLOOKUP($A6,'UN Treasury'!$A$1:$BQ$224,_xlfn.XMATCH(X$1,'UN Treasury'!$A$1:$BQ$1,-1,1),FALSE)</f>
        <v>905</v>
      </c>
      <c r="Y6">
        <f>VLOOKUP($A6,'UN Treasury'!$A$1:$BQ$224,_xlfn.XMATCH(Y$1,'UN Treasury'!$A$1:$BQ$1,-1,1),FALSE)</f>
        <v>920.37800000000004</v>
      </c>
      <c r="Z6">
        <f>VLOOKUP($A6,'UN Treasury'!$A$1:$BQ$224,_xlfn.XMATCH(Z$1,'UN Treasury'!$A$1:$BQ$1,-1,1),FALSE)</f>
        <v>878.07100000000003</v>
      </c>
      <c r="AA6">
        <f>VLOOKUP($A6,'UN Treasury'!$A$1:$BQ$224,_xlfn.XMATCH(AA$1,'UN Treasury'!$A$1:$BQ$1,-1,1),FALSE)</f>
        <v>871.26099999999997</v>
      </c>
      <c r="AB6">
        <f>VLOOKUP($A6,'UN Treasury'!$A$1:$BQ$224,_xlfn.XMATCH(AB$1,'UN Treasury'!$A$1:$BQ$1,-1,1),FALSE)</f>
        <v>852.48400000000004</v>
      </c>
      <c r="AC6">
        <f>VLOOKUP($A6,'UN Treasury'!$A$1:$BQ$224,_xlfn.XMATCH(AC$1,'UN Treasury'!$A$1:$BQ$1,-1,1),FALSE)</f>
        <v>834.06</v>
      </c>
      <c r="AD6">
        <f>VLOOKUP($A6,'UN Treasury'!$A$1:$BQ$224,_xlfn.XMATCH(AD$1,'UN Treasury'!$A$1:$BQ$1,-1,1),FALSE)</f>
        <v>832.63300000000004</v>
      </c>
      <c r="AE6">
        <f>VLOOKUP($A6,'UN Treasury'!$A$1:$BQ$224,_xlfn.XMATCH(AE$1,'UN Treasury'!$A$1:$BQ$1,-1,1),FALSE)</f>
        <v>832.63099999999997</v>
      </c>
      <c r="AF6">
        <f>VLOOKUP($A6,'UN Treasury'!$A$1:$BQ$224,_xlfn.XMATCH(AF$1,'UN Treasury'!$A$1:$BQ$1,-1,1),FALSE)</f>
        <v>828.26099999999997</v>
      </c>
      <c r="AG6">
        <f>VLOOKUP($A6,'UN Treasury'!$A$1:$BQ$224,_xlfn.XMATCH(AG$1,'UN Treasury'!$A$1:$BQ$1,-1,1),FALSE)</f>
        <v>828.72400000000005</v>
      </c>
      <c r="AH6">
        <f>VLOOKUP($A6,'UN Treasury'!$A$1:$BQ$224,_xlfn.XMATCH(AH$1,'UN Treasury'!$A$1:$BQ$1,-1,1),FALSE)</f>
        <v>828.78300000000002</v>
      </c>
      <c r="AI6">
        <f>VLOOKUP($A6,'UN Treasury'!$A$1:$BQ$224,_xlfn.XMATCH(AI$1,'UN Treasury'!$A$1:$BQ$1,-1,1),FALSE)</f>
        <v>827.07</v>
      </c>
      <c r="AJ6">
        <f>VLOOKUP($A6,'UN Treasury'!$A$1:$BQ$224,_xlfn.XMATCH(AJ$1,'UN Treasury'!$A$1:$BQ$1,-1,1),FALSE)</f>
        <v>825.798</v>
      </c>
      <c r="AK6">
        <f>VLOOKUP($A6,'UN Treasury'!$A$1:$BQ$224,_xlfn.XMATCH(AK$1,'UN Treasury'!$A$1:$BQ$1,-1,1),FALSE)</f>
        <v>825.13</v>
      </c>
      <c r="AL6">
        <f>VLOOKUP($A6,'UN Treasury'!$A$1:$BQ$224,_xlfn.XMATCH(AL$1,'UN Treasury'!$A$1:$BQ$1,-1,1),FALSE)</f>
        <v>824.89599999999996</v>
      </c>
      <c r="AM6">
        <f>VLOOKUP($A6,'UN Treasury'!$A$1:$BQ$224,_xlfn.XMATCH(AM$1,'UN Treasury'!$A$1:$BQ$1,-1,1),FALSE)</f>
        <v>823.66499999999996</v>
      </c>
      <c r="AN6">
        <f>VLOOKUP($A6,'UN Treasury'!$A$1:$BQ$224,_xlfn.XMATCH(AN$1,'UN Treasury'!$A$1:$BQ$1,-1,1),FALSE)</f>
        <v>635.05100000000004</v>
      </c>
      <c r="AO6">
        <f>VLOOKUP($A6,'UN Treasury'!$A$1:$BQ$224,_xlfn.XMATCH(AO$1,'UN Treasury'!$A$1:$BQ$1,-1,1),FALSE)</f>
        <v>507.483</v>
      </c>
      <c r="AP6">
        <f>VLOOKUP($A6,'UN Treasury'!$A$1:$BQ$224,_xlfn.XMATCH(AP$1,'UN Treasury'!$A$1:$BQ$1,-1,1),FALSE)</f>
        <v>505.88200000000001</v>
      </c>
      <c r="AQ6">
        <f>VLOOKUP($A6,'UN Treasury'!$A$1:$BQ$224,_xlfn.XMATCH(AQ$1,'UN Treasury'!$A$1:$BQ$1,-1,1),FALSE)</f>
        <v>503.99200000000002</v>
      </c>
      <c r="AR6">
        <f>VLOOKUP($A6,'UN Treasury'!$A$1:$BQ$224,_xlfn.XMATCH(AR$1,'UN Treasury'!$A$1:$BQ$1,-1,1),FALSE)</f>
        <v>504.31799999999998</v>
      </c>
      <c r="AS6">
        <f>VLOOKUP($A6,'UN Treasury'!$A$1:$BQ$224,_xlfn.XMATCH(AS$1,'UN Treasury'!$A$1:$BQ$1,-1,1),FALSE)</f>
        <v>503.86500000000001</v>
      </c>
      <c r="AT6">
        <f>VLOOKUP($A6,'UN Treasury'!$A$1:$BQ$224,_xlfn.XMATCH(AT$1,'UN Treasury'!$A$1:$BQ$1,-1,1),FALSE)</f>
        <v>504.73399999999998</v>
      </c>
      <c r="AU6">
        <f>VLOOKUP($A6,'UN Treasury'!$A$1:$BQ$224,_xlfn.XMATCH(AU$1,'UN Treasury'!$A$1:$BQ$1,-1,1),FALSE)</f>
        <v>482.99</v>
      </c>
      <c r="AV6">
        <f>VLOOKUP($A6,'UN Treasury'!$A$1:$BQ$224,_xlfn.XMATCH(AV$1,'UN Treasury'!$A$1:$BQ$1,-1,1),FALSE)</f>
        <v>433.16399999999999</v>
      </c>
      <c r="AW6">
        <f>VLOOKUP($A6,'UN Treasury'!$A$1:$BQ$224,_xlfn.XMATCH(AW$1,'UN Treasury'!$A$1:$BQ$1,-1,1),FALSE)</f>
        <v>423.86</v>
      </c>
      <c r="AX6">
        <f>VLOOKUP($A6,'UN Treasury'!$A$1:$BQ$224,_xlfn.XMATCH(AX$1,'UN Treasury'!$A$1:$BQ$1,-1,1),FALSE)</f>
        <v>424.298</v>
      </c>
      <c r="AY6">
        <f>VLOOKUP($A6,'UN Treasury'!$A$1:$BQ$224,_xlfn.XMATCH(AY$1,'UN Treasury'!$A$1:$BQ$1,-1,1),FALSE)</f>
        <v>425.10500000000002</v>
      </c>
      <c r="AZ6">
        <f>VLOOKUP($A6,'UN Treasury'!$A$1:$BQ$224,_xlfn.XMATCH(AZ$1,'UN Treasury'!$A$1:$BQ$1,-1,1),FALSE)</f>
        <v>426.44499999999999</v>
      </c>
      <c r="BA6">
        <f>VLOOKUP($A6,'UN Treasury'!$A$1:$BQ$224,_xlfn.XMATCH(BA$1,'UN Treasury'!$A$1:$BQ$1,-1,1),FALSE)</f>
        <v>400.77199999999999</v>
      </c>
      <c r="BB6">
        <f>VLOOKUP($A6,'UN Treasury'!$A$1:$BQ$224,_xlfn.XMATCH(BB$1,'UN Treasury'!$A$1:$BQ$1,-1,1),FALSE)</f>
        <v>432.57499999999999</v>
      </c>
      <c r="BC6">
        <f>VLOOKUP($A6,'UN Treasury'!$A$1:$BQ$224,_xlfn.XMATCH(BC$1,'UN Treasury'!$A$1:$BQ$1,-1,1),FALSE)</f>
        <v>470.43599999999998</v>
      </c>
      <c r="BD6">
        <f>VLOOKUP($A6,'UN Treasury'!$A$1:$BQ$224,_xlfn.XMATCH(BD$1,'UN Treasury'!$A$1:$BQ$1,-1,1),FALSE)</f>
        <v>521.69500000000005</v>
      </c>
      <c r="BE6">
        <f>VLOOKUP($A6,'UN Treasury'!$A$1:$BQ$224,_xlfn.XMATCH(BE$1,'UN Treasury'!$A$1:$BQ$1,-1,1),FALSE)</f>
        <v>585</v>
      </c>
      <c r="BF6">
        <f>VLOOKUP($A6,'UN Treasury'!$A$1:$BQ$224,_xlfn.XMATCH(BF$1,'UN Treasury'!$A$1:$BQ$1,-1,1),FALSE)</f>
        <v>585</v>
      </c>
      <c r="BG6">
        <f>VLOOKUP($A6,'UN Treasury'!$A$1:$BQ$224,_xlfn.XMATCH(BG$1,'UN Treasury'!$A$1:$BQ$1,-1,1),FALSE)</f>
        <v>597.03300000000002</v>
      </c>
      <c r="BH6">
        <f>VLOOKUP($A6,'UN Treasury'!$A$1:$BQ$224,_xlfn.XMATCH(BH$1,'UN Treasury'!$A$1:$BQ$1,-1,1),FALSE)</f>
        <v>603.33000000000004</v>
      </c>
      <c r="BI6">
        <f>VLOOKUP($A6,'UN Treasury'!$A$1:$BQ$224,_xlfn.XMATCH(BI$1,'UN Treasury'!$A$1:$BQ$1,-1,1),FALSE)</f>
        <v>643.12099999999998</v>
      </c>
      <c r="BJ6">
        <f>VLOOKUP($A6,'UN Treasury'!$A$1:$BQ$224,_xlfn.XMATCH(BJ$1,'UN Treasury'!$A$1:$BQ$1,-1,1),FALSE)</f>
        <v>643.12099999999998</v>
      </c>
      <c r="BK6">
        <f>VLOOKUP($A6,'UN Treasury'!$A$1:$BQ$224,_xlfn.XMATCH(BK$1,'UN Treasury'!$A$1:$BQ$1,-1,1),FALSE)</f>
        <v>643.12099999999998</v>
      </c>
      <c r="BL6">
        <f>VLOOKUP($A6,'UN Treasury'!$A$1:$BQ$224,_xlfn.XMATCH(BL$1,'UN Treasury'!$A$1:$BQ$1,-1,1),FALSE)</f>
        <v>643.12099999999998</v>
      </c>
      <c r="BM6">
        <f>VLOOKUP($A6,'UN Treasury'!$A$1:$BQ$224,_xlfn.XMATCH(BM$1,'UN Treasury'!$A$1:$BQ$1,-1,1),FALSE)</f>
        <v>649</v>
      </c>
      <c r="BN6">
        <f>VLOOKUP($A6,'UN Treasury'!$A$1:$BQ$224,_xlfn.XMATCH(BN$1,'UN Treasury'!$A$1:$BQ$1,-1,1),FALSE)</f>
        <v>621.17200000000003</v>
      </c>
      <c r="BO6">
        <f>VLOOKUP($A6,'UN Treasury'!$A$1:$BQ$224,_xlfn.XMATCH(BO$1,'UN Treasury'!$A$1:$BQ$1,-1,1),FALSE)</f>
        <v>635.76199999999994</v>
      </c>
      <c r="BP6">
        <f>VLOOKUP($A6,'UN Treasury'!$A$1:$BQ$224,_xlfn.XMATCH(BP$1,'UN Treasury'!$A$1:$BQ$1,-1,1),FALSE)</f>
        <v>651.32500000000005</v>
      </c>
      <c r="BQ6">
        <f>VLOOKUP($A6,'UN Treasury'!$A$1:$BQ$224,_xlfn.XMATCH(BQ$1,'UN Treasury'!$A$1:$BQ$1,-1,1),FALSE)</f>
        <v>650.28300000000002</v>
      </c>
    </row>
    <row r="7" spans="1:69" x14ac:dyDescent="0.25">
      <c r="A7" t="s">
        <v>37</v>
      </c>
      <c r="B7">
        <f>VLOOKUP($A7,'UN Treasury'!$A$1:$BQ$224,_xlfn.XMATCH(B$1,'UN Treasury'!$A$1:$BQ$1,-1,1),FALSE)</f>
        <v>1491.972</v>
      </c>
      <c r="C7">
        <f>VLOOKUP($A7,'UN Treasury'!$A$1:$BQ$224,_xlfn.XMATCH(C$1,'UN Treasury'!$A$1:$BQ$1,-1,1),FALSE)</f>
        <v>1488.32</v>
      </c>
      <c r="D7">
        <f>VLOOKUP($A7,'UN Treasury'!$A$1:$BQ$224,_xlfn.XMATCH(D$1,'UN Treasury'!$A$1:$BQ$1,-1,1),FALSE)</f>
        <v>1426.94</v>
      </c>
      <c r="E7">
        <f>VLOOKUP($A7,'UN Treasury'!$A$1:$BQ$224,_xlfn.XMATCH(E$1,'UN Treasury'!$A$1:$BQ$1,-1,1),FALSE)</f>
        <v>1385.6659999999999</v>
      </c>
      <c r="F7">
        <f>VLOOKUP($A7,'UN Treasury'!$A$1:$BQ$224,_xlfn.XMATCH(F$1,'UN Treasury'!$A$1:$BQ$1,-1,1),FALSE)</f>
        <v>1368.873</v>
      </c>
      <c r="G7">
        <f>VLOOKUP($A7,'UN Treasury'!$A$1:$BQ$224,_xlfn.XMATCH(G$1,'UN Treasury'!$A$1:$BQ$1,-1,1),FALSE)</f>
        <v>1399.7739999999999</v>
      </c>
      <c r="H7">
        <f>VLOOKUP($A7,'UN Treasury'!$A$1:$BQ$224,_xlfn.XMATCH(H$1,'UN Treasury'!$A$1:$BQ$1,-1,1),FALSE)</f>
        <v>1391.37</v>
      </c>
      <c r="I7">
        <f>VLOOKUP($A7,'UN Treasury'!$A$1:$BQ$224,_xlfn.XMATCH(I$1,'UN Treasury'!$A$1:$BQ$1,-1,1),FALSE)</f>
        <v>1467</v>
      </c>
      <c r="J7">
        <f>VLOOKUP($A7,'UN Treasury'!$A$1:$BQ$224,_xlfn.XMATCH(J$1,'UN Treasury'!$A$1:$BQ$1,-1,1),FALSE)</f>
        <v>1437.4929999999999</v>
      </c>
      <c r="K7">
        <f>VLOOKUP($A7,'UN Treasury'!$A$1:$BQ$224,_xlfn.XMATCH(K$1,'UN Treasury'!$A$1:$BQ$1,-1,1),FALSE)</f>
        <v>1411.492</v>
      </c>
      <c r="L7">
        <f>VLOOKUP($A7,'UN Treasury'!$A$1:$BQ$224,_xlfn.XMATCH(L$1,'UN Treasury'!$A$1:$BQ$1,-1,1),FALSE)</f>
        <v>1347.6479999999999</v>
      </c>
      <c r="M7">
        <f>VLOOKUP($A7,'UN Treasury'!$A$1:$BQ$224,_xlfn.XMATCH(M$1,'UN Treasury'!$A$1:$BQ$1,-1,1),FALSE)</f>
        <v>1423.5150000000001</v>
      </c>
      <c r="N7">
        <f>VLOOKUP($A7,'UN Treasury'!$A$1:$BQ$224,_xlfn.XMATCH(N$1,'UN Treasury'!$A$1:$BQ$1,-1,1),FALSE)</f>
        <v>1322</v>
      </c>
      <c r="O7">
        <f>VLOOKUP($A7,'UN Treasury'!$A$1:$BQ$224,_xlfn.XMATCH(O$1,'UN Treasury'!$A$1:$BQ$1,-1,1),FALSE)</f>
        <v>1254.9849999999999</v>
      </c>
      <c r="P7">
        <f>VLOOKUP($A7,'UN Treasury'!$A$1:$BQ$224,_xlfn.XMATCH(P$1,'UN Treasury'!$A$1:$BQ$1,-1,1),FALSE)</f>
        <v>1181.117</v>
      </c>
      <c r="Q7">
        <f>VLOOKUP($A7,'UN Treasury'!$A$1:$BQ$224,_xlfn.XMATCH(Q$1,'UN Treasury'!$A$1:$BQ$1,-1,1),FALSE)</f>
        <v>1126.25</v>
      </c>
      <c r="R7">
        <f>VLOOKUP($A7,'UN Treasury'!$A$1:$BQ$224,_xlfn.XMATCH(R$1,'UN Treasury'!$A$1:$BQ$1,-1,1),FALSE)</f>
        <v>1075.6600000000001</v>
      </c>
      <c r="S7">
        <f>VLOOKUP($A7,'UN Treasury'!$A$1:$BQ$224,_xlfn.XMATCH(S$1,'UN Treasury'!$A$1:$BQ$1,-1,1),FALSE)</f>
        <v>1066</v>
      </c>
      <c r="T7">
        <f>VLOOKUP($A7,'UN Treasury'!$A$1:$BQ$224,_xlfn.XMATCH(T$1,'UN Treasury'!$A$1:$BQ$1,-1,1),FALSE)</f>
        <v>1056.07</v>
      </c>
      <c r="U7">
        <f>VLOOKUP($A7,'UN Treasury'!$A$1:$BQ$224,_xlfn.XMATCH(U$1,'UN Treasury'!$A$1:$BQ$1,-1,1),FALSE)</f>
        <v>1039.1199999999999</v>
      </c>
      <c r="V7">
        <f>VLOOKUP($A7,'UN Treasury'!$A$1:$BQ$224,_xlfn.XMATCH(V$1,'UN Treasury'!$A$1:$BQ$1,-1,1),FALSE)</f>
        <v>1016.59</v>
      </c>
      <c r="W7">
        <f>VLOOKUP($A7,'UN Treasury'!$A$1:$BQ$224,_xlfn.XMATCH(W$1,'UN Treasury'!$A$1:$BQ$1,-1,1),FALSE)</f>
        <v>998.13699999999994</v>
      </c>
      <c r="X7">
        <f>VLOOKUP($A7,'UN Treasury'!$A$1:$BQ$224,_xlfn.XMATCH(X$1,'UN Treasury'!$A$1:$BQ$1,-1,1),FALSE)</f>
        <v>974.56200000000001</v>
      </c>
      <c r="Y7">
        <f>VLOOKUP($A7,'UN Treasury'!$A$1:$BQ$224,_xlfn.XMATCH(Y$1,'UN Treasury'!$A$1:$BQ$1,-1,1),FALSE)</f>
        <v>958.24599999999998</v>
      </c>
      <c r="Z7">
        <f>VLOOKUP($A7,'UN Treasury'!$A$1:$BQ$224,_xlfn.XMATCH(Z$1,'UN Treasury'!$A$1:$BQ$1,-1,1),FALSE)</f>
        <v>939.48699999999997</v>
      </c>
      <c r="AA7">
        <f>VLOOKUP($A7,'UN Treasury'!$A$1:$BQ$224,_xlfn.XMATCH(AA$1,'UN Treasury'!$A$1:$BQ$1,-1,1),FALSE)</f>
        <v>919.33600000000001</v>
      </c>
      <c r="AB7">
        <f>VLOOKUP($A7,'UN Treasury'!$A$1:$BQ$224,_xlfn.XMATCH(AB$1,'UN Treasury'!$A$1:$BQ$1,-1,1),FALSE)</f>
        <v>902.18399999999997</v>
      </c>
      <c r="AC7">
        <f>VLOOKUP($A7,'UN Treasury'!$A$1:$BQ$224,_xlfn.XMATCH(AC$1,'UN Treasury'!$A$1:$BQ$1,-1,1),FALSE)</f>
        <v>884.23699999999997</v>
      </c>
      <c r="AD7">
        <f>VLOOKUP($A7,'UN Treasury'!$A$1:$BQ$224,_xlfn.XMATCH(AD$1,'UN Treasury'!$A$1:$BQ$1,-1,1),FALSE)</f>
        <v>865.67700000000002</v>
      </c>
      <c r="AE7">
        <f>VLOOKUP($A7,'UN Treasury'!$A$1:$BQ$224,_xlfn.XMATCH(AE$1,'UN Treasury'!$A$1:$BQ$1,-1,1),FALSE)</f>
        <v>849.52200000000005</v>
      </c>
      <c r="AF7">
        <f>VLOOKUP($A7,'UN Treasury'!$A$1:$BQ$224,_xlfn.XMATCH(AF$1,'UN Treasury'!$A$1:$BQ$1,-1,1),FALSE)</f>
        <v>831.28800000000001</v>
      </c>
      <c r="AG7">
        <f>VLOOKUP($A7,'UN Treasury'!$A$1:$BQ$224,_xlfn.XMATCH(AG$1,'UN Treasury'!$A$1:$BQ$1,-1,1),FALSE)</f>
        <v>815.4</v>
      </c>
      <c r="AH7">
        <f>VLOOKUP($A7,'UN Treasury'!$A$1:$BQ$224,_xlfn.XMATCH(AH$1,'UN Treasury'!$A$1:$BQ$1,-1,1),FALSE)</f>
        <v>799.95</v>
      </c>
      <c r="AI7">
        <f>VLOOKUP($A7,'UN Treasury'!$A$1:$BQ$224,_xlfn.XMATCH(AI$1,'UN Treasury'!$A$1:$BQ$1,-1,1),FALSE)</f>
        <v>350.005</v>
      </c>
      <c r="AJ7">
        <f>VLOOKUP($A7,'UN Treasury'!$A$1:$BQ$224,_xlfn.XMATCH(AJ$1,'UN Treasury'!$A$1:$BQ$1,-1,1),FALSE)</f>
        <v>350.02100000000002</v>
      </c>
      <c r="AK7">
        <f>VLOOKUP($A7,'UN Treasury'!$A$1:$BQ$224,_xlfn.XMATCH(AK$1,'UN Treasury'!$A$1:$BQ$1,-1,1),FALSE)</f>
        <v>349.96899999999999</v>
      </c>
      <c r="AL7">
        <f>VLOOKUP($A7,'UN Treasury'!$A$1:$BQ$224,_xlfn.XMATCH(AL$1,'UN Treasury'!$A$1:$BQ$1,-1,1),FALSE)</f>
        <v>287.2</v>
      </c>
      <c r="AM7">
        <f>VLOOKUP($A7,'UN Treasury'!$A$1:$BQ$224,_xlfn.XMATCH(AM$1,'UN Treasury'!$A$1:$BQ$1,-1,1),FALSE)</f>
        <v>263.86700000000002</v>
      </c>
      <c r="AN7">
        <f>VLOOKUP($A7,'UN Treasury'!$A$1:$BQ$224,_xlfn.XMATCH(AN$1,'UN Treasury'!$A$1:$BQ$1,-1,1),FALSE)</f>
        <v>247.25700000000001</v>
      </c>
      <c r="AO7">
        <f>VLOOKUP($A7,'UN Treasury'!$A$1:$BQ$224,_xlfn.XMATCH(AO$1,'UN Treasury'!$A$1:$BQ$1,-1,1),FALSE)</f>
        <v>228.96</v>
      </c>
      <c r="AP7">
        <f>VLOOKUP($A7,'UN Treasury'!$A$1:$BQ$224,_xlfn.XMATCH(AP$1,'UN Treasury'!$A$1:$BQ$1,-1,1),FALSE)</f>
        <v>214.18600000000001</v>
      </c>
      <c r="AQ7">
        <f>VLOOKUP($A7,'UN Treasury'!$A$1:$BQ$224,_xlfn.XMATCH(AQ$1,'UN Treasury'!$A$1:$BQ$1,-1,1),FALSE)</f>
        <v>200.64699999999999</v>
      </c>
      <c r="AR7">
        <f>VLOOKUP($A7,'UN Treasury'!$A$1:$BQ$224,_xlfn.XMATCH(AR$1,'UN Treasury'!$A$1:$BQ$1,-1,1),FALSE)</f>
        <v>191.64</v>
      </c>
      <c r="AS7">
        <f>VLOOKUP($A7,'UN Treasury'!$A$1:$BQ$224,_xlfn.XMATCH(AS$1,'UN Treasury'!$A$1:$BQ$1,-1,1),FALSE)</f>
        <v>180.68199999999999</v>
      </c>
      <c r="AT7">
        <f>VLOOKUP($A7,'UN Treasury'!$A$1:$BQ$224,_xlfn.XMATCH(AT$1,'UN Treasury'!$A$1:$BQ$1,-1,1),FALSE)</f>
        <v>171.745</v>
      </c>
      <c r="AU7">
        <f>VLOOKUP($A7,'UN Treasury'!$A$1:$BQ$224,_xlfn.XMATCH(AU$1,'UN Treasury'!$A$1:$BQ$1,-1,1),FALSE)</f>
        <v>160.72399999999999</v>
      </c>
      <c r="AV7">
        <f>VLOOKUP($A7,'UN Treasury'!$A$1:$BQ$224,_xlfn.XMATCH(AV$1,'UN Treasury'!$A$1:$BQ$1,-1,1),FALSE)</f>
        <v>150.97300000000001</v>
      </c>
      <c r="AW7">
        <f>VLOOKUP($A7,'UN Treasury'!$A$1:$BQ$224,_xlfn.XMATCH(AW$1,'UN Treasury'!$A$1:$BQ$1,-1,1),FALSE)</f>
        <v>142.57</v>
      </c>
      <c r="AX7">
        <f>VLOOKUP($A7,'UN Treasury'!$A$1:$BQ$224,_xlfn.XMATCH(AX$1,'UN Treasury'!$A$1:$BQ$1,-1,1),FALSE)</f>
        <v>134.21</v>
      </c>
      <c r="AY7">
        <f>VLOOKUP($A7,'UN Treasury'!$A$1:$BQ$224,_xlfn.XMATCH(AY$1,'UN Treasury'!$A$1:$BQ$1,-1,1),FALSE)</f>
        <v>127.79</v>
      </c>
      <c r="AZ7">
        <f>VLOOKUP($A7,'UN Treasury'!$A$1:$BQ$224,_xlfn.XMATCH(AZ$1,'UN Treasury'!$A$1:$BQ$1,-1,1),FALSE)</f>
        <v>122.286</v>
      </c>
      <c r="BA7">
        <f>VLOOKUP($A7,'UN Treasury'!$A$1:$BQ$224,_xlfn.XMATCH(BA$1,'UN Treasury'!$A$1:$BQ$1,-1,1),FALSE)</f>
        <v>117.06399999999999</v>
      </c>
      <c r="BB7">
        <f>VLOOKUP($A7,'UN Treasury'!$A$1:$BQ$224,_xlfn.XMATCH(BB$1,'UN Treasury'!$A$1:$BQ$1,-1,1),FALSE)</f>
        <v>112.724</v>
      </c>
      <c r="BC7">
        <f>VLOOKUP($A7,'UN Treasury'!$A$1:$BQ$224,_xlfn.XMATCH(BC$1,'UN Treasury'!$A$1:$BQ$1,-1,1),FALSE)</f>
        <v>108.88</v>
      </c>
      <c r="BD7">
        <f>VLOOKUP($A7,'UN Treasury'!$A$1:$BQ$224,_xlfn.XMATCH(BD$1,'UN Treasury'!$A$1:$BQ$1,-1,1),FALSE)</f>
        <v>106.101</v>
      </c>
      <c r="BE7">
        <f>VLOOKUP($A7,'UN Treasury'!$A$1:$BQ$224,_xlfn.XMATCH(BE$1,'UN Treasury'!$A$1:$BQ$1,-1,1),FALSE)</f>
        <v>103.607</v>
      </c>
      <c r="BF7">
        <f>VLOOKUP($A7,'UN Treasury'!$A$1:$BQ$224,_xlfn.XMATCH(BF$1,'UN Treasury'!$A$1:$BQ$1,-1,1),FALSE)</f>
        <v>100.929</v>
      </c>
      <c r="BG7">
        <f>VLOOKUP($A7,'UN Treasury'!$A$1:$BQ$224,_xlfn.XMATCH(BG$1,'UN Treasury'!$A$1:$BQ$1,-1,1),FALSE)</f>
        <v>99.691000000000003</v>
      </c>
      <c r="BH7">
        <f>VLOOKUP($A7,'UN Treasury'!$A$1:$BQ$224,_xlfn.XMATCH(BH$1,'UN Treasury'!$A$1:$BQ$1,-1,1),FALSE)</f>
        <v>98.7</v>
      </c>
      <c r="BI7">
        <f>VLOOKUP($A7,'UN Treasury'!$A$1:$BQ$224,_xlfn.XMATCH(BI$1,'UN Treasury'!$A$1:$BQ$1,-1,1),FALSE)</f>
        <v>97.710999999999999</v>
      </c>
      <c r="BJ7">
        <f>VLOOKUP($A7,'UN Treasury'!$A$1:$BQ$224,_xlfn.XMATCH(BJ$1,'UN Treasury'!$A$1:$BQ$1,-1,1),FALSE)</f>
        <v>96.647999999999996</v>
      </c>
      <c r="BK7">
        <f>VLOOKUP($A7,'UN Treasury'!$A$1:$BQ$224,_xlfn.XMATCH(BK$1,'UN Treasury'!$A$1:$BQ$1,-1,1),FALSE)</f>
        <v>95.671999999999997</v>
      </c>
      <c r="BL7">
        <f>VLOOKUP($A7,'UN Treasury'!$A$1:$BQ$224,_xlfn.XMATCH(BL$1,'UN Treasury'!$A$1:$BQ$1,-1,1),FALSE)</f>
        <v>94.516999999999996</v>
      </c>
      <c r="BM7">
        <f>VLOOKUP($A7,'UN Treasury'!$A$1:$BQ$224,_xlfn.XMATCH(BM$1,'UN Treasury'!$A$1:$BQ$1,-1,1),FALSE)</f>
        <v>93.504000000000005</v>
      </c>
      <c r="BN7">
        <f>VLOOKUP($A7,'UN Treasury'!$A$1:$BQ$224,_xlfn.XMATCH(BN$1,'UN Treasury'!$A$1:$BQ$1,-1,1),FALSE)</f>
        <v>91.96</v>
      </c>
      <c r="BO7">
        <f>VLOOKUP($A7,'UN Treasury'!$A$1:$BQ$224,_xlfn.XMATCH(BO$1,'UN Treasury'!$A$1:$BQ$1,-1,1),FALSE)</f>
        <v>89.751000000000005</v>
      </c>
      <c r="BP7">
        <f>VLOOKUP($A7,'UN Treasury'!$A$1:$BQ$224,_xlfn.XMATCH(BP$1,'UN Treasury'!$A$1:$BQ$1,-1,1),FALSE)</f>
        <v>87.204999999999998</v>
      </c>
      <c r="BQ7">
        <f>VLOOKUP($A7,'UN Treasury'!$A$1:$BQ$224,_xlfn.XMATCH(BQ$1,'UN Treasury'!$A$1:$BQ$1,-1,1),FALSE)</f>
        <v>84.019000000000005</v>
      </c>
    </row>
    <row r="8" spans="1:69" x14ac:dyDescent="0.25">
      <c r="A8" t="s">
        <v>42</v>
      </c>
      <c r="B8">
        <f>VLOOKUP($A8,'UN Treasury'!$A$1:$BQ$224,_xlfn.XMATCH(B$1,'UN Treasury'!$A$1:$BQ$1,-1,1),FALSE)</f>
        <v>1.417</v>
      </c>
      <c r="C8">
        <f>VLOOKUP($A8,'UN Treasury'!$A$1:$BQ$224,_xlfn.XMATCH(C$1,'UN Treasury'!$A$1:$BQ$1,-1,1),FALSE)</f>
        <v>1.4410000000000001</v>
      </c>
      <c r="D8">
        <f>VLOOKUP($A8,'UN Treasury'!$A$1:$BQ$224,_xlfn.XMATCH(D$1,'UN Treasury'!$A$1:$BQ$1,-1,1),FALSE)</f>
        <v>1.4319999999999999</v>
      </c>
      <c r="E8">
        <f>VLOOKUP($A8,'UN Treasury'!$A$1:$BQ$224,_xlfn.XMATCH(E$1,'UN Treasury'!$A$1:$BQ$1,-1,1),FALSE)</f>
        <v>1.38</v>
      </c>
      <c r="F8">
        <f>VLOOKUP($A8,'UN Treasury'!$A$1:$BQ$224,_xlfn.XMATCH(F$1,'UN Treasury'!$A$1:$BQ$1,-1,1),FALSE)</f>
        <v>1.415</v>
      </c>
      <c r="G8">
        <f>VLOOKUP($A8,'UN Treasury'!$A$1:$BQ$224,_xlfn.XMATCH(G$1,'UN Treasury'!$A$1:$BQ$1,-1,1),FALSE)</f>
        <v>1.4079999999999999</v>
      </c>
      <c r="H8">
        <f>VLOOKUP($A8,'UN Treasury'!$A$1:$BQ$224,_xlfn.XMATCH(H$1,'UN Treasury'!$A$1:$BQ$1,-1,1),FALSE)</f>
        <v>1.403</v>
      </c>
      <c r="I8">
        <f>VLOOKUP($A8,'UN Treasury'!$A$1:$BQ$224,_xlfn.XMATCH(I$1,'UN Treasury'!$A$1:$BQ$1,-1,1),FALSE)</f>
        <v>1.4970000000000001</v>
      </c>
      <c r="J8">
        <f>VLOOKUP($A8,'UN Treasury'!$A$1:$BQ$224,_xlfn.XMATCH(J$1,'UN Treasury'!$A$1:$BQ$1,-1,1),FALSE)</f>
        <v>1.4990000000000001</v>
      </c>
      <c r="K8">
        <f>VLOOKUP($A8,'UN Treasury'!$A$1:$BQ$224,_xlfn.XMATCH(K$1,'UN Treasury'!$A$1:$BQ$1,-1,1),FALSE)</f>
        <v>1.53</v>
      </c>
      <c r="L8">
        <f>VLOOKUP($A8,'UN Treasury'!$A$1:$BQ$224,_xlfn.XMATCH(L$1,'UN Treasury'!$A$1:$BQ$1,-1,1),FALSE)</f>
        <v>1.5349999999999999</v>
      </c>
      <c r="M8">
        <f>VLOOKUP($A8,'UN Treasury'!$A$1:$BQ$224,_xlfn.XMATCH(M$1,'UN Treasury'!$A$1:$BQ$1,-1,1),FALSE)</f>
        <v>1.5089999999999999</v>
      </c>
      <c r="N8">
        <f>VLOOKUP($A8,'UN Treasury'!$A$1:$BQ$224,_xlfn.XMATCH(N$1,'UN Treasury'!$A$1:$BQ$1,-1,1),FALSE)</f>
        <v>1.5269999999999999</v>
      </c>
      <c r="O8">
        <f>VLOOKUP($A8,'UN Treasury'!$A$1:$BQ$224,_xlfn.XMATCH(O$1,'UN Treasury'!$A$1:$BQ$1,-1,1),FALSE)</f>
        <v>1.52</v>
      </c>
      <c r="P8">
        <f>VLOOKUP($A8,'UN Treasury'!$A$1:$BQ$224,_xlfn.XMATCH(P$1,'UN Treasury'!$A$1:$BQ$1,-1,1),FALSE)</f>
        <v>1.534</v>
      </c>
      <c r="Q8">
        <f>VLOOKUP($A8,'UN Treasury'!$A$1:$BQ$224,_xlfn.XMATCH(Q$1,'UN Treasury'!$A$1:$BQ$1,-1,1),FALSE)</f>
        <v>1.5549999999999999</v>
      </c>
      <c r="R8">
        <f>VLOOKUP($A8,'UN Treasury'!$A$1:$BQ$224,_xlfn.XMATCH(R$1,'UN Treasury'!$A$1:$BQ$1,-1,1),FALSE)</f>
        <v>1.591</v>
      </c>
      <c r="S8">
        <f>VLOOKUP($A8,'UN Treasury'!$A$1:$BQ$224,_xlfn.XMATCH(S$1,'UN Treasury'!$A$1:$BQ$1,-1,1),FALSE)</f>
        <v>1.59</v>
      </c>
      <c r="T8">
        <f>VLOOKUP($A8,'UN Treasury'!$A$1:$BQ$224,_xlfn.XMATCH(T$1,'UN Treasury'!$A$1:$BQ$1,-1,1),FALSE)</f>
        <v>1.599</v>
      </c>
      <c r="U8">
        <f>VLOOKUP($A8,'UN Treasury'!$A$1:$BQ$224,_xlfn.XMATCH(U$1,'UN Treasury'!$A$1:$BQ$1,-1,1),FALSE)</f>
        <v>1.6240000000000001</v>
      </c>
      <c r="V8">
        <f>VLOOKUP($A8,'UN Treasury'!$A$1:$BQ$224,_xlfn.XMATCH(V$1,'UN Treasury'!$A$1:$BQ$1,-1,1),FALSE)</f>
        <v>1.5720000000000001</v>
      </c>
      <c r="W8">
        <f>VLOOKUP($A8,'UN Treasury'!$A$1:$BQ$224,_xlfn.XMATCH(W$1,'UN Treasury'!$A$1:$BQ$1,-1,1),FALSE)</f>
        <v>1.5369999999999999</v>
      </c>
      <c r="X8">
        <f>VLOOKUP($A8,'UN Treasury'!$A$1:$BQ$224,_xlfn.XMATCH(X$1,'UN Treasury'!$A$1:$BQ$1,-1,1),FALSE)</f>
        <v>1.484</v>
      </c>
      <c r="Y8">
        <f>VLOOKUP($A8,'UN Treasury'!$A$1:$BQ$224,_xlfn.XMATCH(Y$1,'UN Treasury'!$A$1:$BQ$1,-1,1),FALSE)</f>
        <v>1.504</v>
      </c>
      <c r="Z8">
        <f>VLOOKUP($A8,'UN Treasury'!$A$1:$BQ$224,_xlfn.XMATCH(Z$1,'UN Treasury'!$A$1:$BQ$1,-1,1),FALSE)</f>
        <v>1.5129999999999999</v>
      </c>
      <c r="AA8">
        <f>VLOOKUP($A8,'UN Treasury'!$A$1:$BQ$224,_xlfn.XMATCH(AA$1,'UN Treasury'!$A$1:$BQ$1,-1,1),FALSE)</f>
        <v>1.4730000000000001</v>
      </c>
      <c r="AB8">
        <f>VLOOKUP($A8,'UN Treasury'!$A$1:$BQ$224,_xlfn.XMATCH(AB$1,'UN Treasury'!$A$1:$BQ$1,-1,1),FALSE)</f>
        <v>1.494</v>
      </c>
      <c r="AC8">
        <f>VLOOKUP($A8,'UN Treasury'!$A$1:$BQ$224,_xlfn.XMATCH(AC$1,'UN Treasury'!$A$1:$BQ$1,-1,1),FALSE)</f>
        <v>1.51</v>
      </c>
      <c r="AD8">
        <f>VLOOKUP($A8,'UN Treasury'!$A$1:$BQ$224,_xlfn.XMATCH(AD$1,'UN Treasury'!$A$1:$BQ$1,-1,1),FALSE)</f>
        <v>1.53</v>
      </c>
      <c r="AE8">
        <f>VLOOKUP($A8,'UN Treasury'!$A$1:$BQ$224,_xlfn.XMATCH(AE$1,'UN Treasury'!$A$1:$BQ$1,-1,1),FALSE)</f>
        <v>1.5109999999999999</v>
      </c>
      <c r="AF8">
        <f>VLOOKUP($A8,'UN Treasury'!$A$1:$BQ$224,_xlfn.XMATCH(AF$1,'UN Treasury'!$A$1:$BQ$1,-1,1),FALSE)</f>
        <v>1.546</v>
      </c>
      <c r="AG8">
        <f>VLOOKUP($A8,'UN Treasury'!$A$1:$BQ$224,_xlfn.XMATCH(AG$1,'UN Treasury'!$A$1:$BQ$1,-1,1),FALSE)</f>
        <v>1.498</v>
      </c>
      <c r="AH8">
        <f>VLOOKUP($A8,'UN Treasury'!$A$1:$BQ$224,_xlfn.XMATCH(AH$1,'UN Treasury'!$A$1:$BQ$1,-1,1),FALSE)</f>
        <v>1.522</v>
      </c>
      <c r="AI8">
        <f>VLOOKUP($A8,'UN Treasury'!$A$1:$BQ$224,_xlfn.XMATCH(AI$1,'UN Treasury'!$A$1:$BQ$1,-1,1),FALSE)</f>
        <v>1.571</v>
      </c>
      <c r="AJ8">
        <f>VLOOKUP($A8,'UN Treasury'!$A$1:$BQ$224,_xlfn.XMATCH(AJ$1,'UN Treasury'!$A$1:$BQ$1,-1,1),FALSE)</f>
        <v>1.556</v>
      </c>
      <c r="AK8">
        <f>VLOOKUP($A8,'UN Treasury'!$A$1:$BQ$224,_xlfn.XMATCH(AK$1,'UN Treasury'!$A$1:$BQ$1,-1,1),FALSE)</f>
        <v>1.5569999999999999</v>
      </c>
      <c r="AL8">
        <f>VLOOKUP($A8,'UN Treasury'!$A$1:$BQ$224,_xlfn.XMATCH(AL$1,'UN Treasury'!$A$1:$BQ$1,-1,1),FALSE)</f>
        <v>1.538</v>
      </c>
      <c r="AM8">
        <f>VLOOKUP($A8,'UN Treasury'!$A$1:$BQ$224,_xlfn.XMATCH(AM$1,'UN Treasury'!$A$1:$BQ$1,-1,1),FALSE)</f>
        <v>1.4770000000000001</v>
      </c>
      <c r="AN8">
        <f>VLOOKUP($A8,'UN Treasury'!$A$1:$BQ$224,_xlfn.XMATCH(AN$1,'UN Treasury'!$A$1:$BQ$1,-1,1),FALSE)</f>
        <v>1.4770000000000001</v>
      </c>
      <c r="AO8">
        <f>VLOOKUP($A8,'UN Treasury'!$A$1:$BQ$224,_xlfn.XMATCH(AO$1,'UN Treasury'!$A$1:$BQ$1,-1,1),FALSE)</f>
        <v>1.4930000000000001</v>
      </c>
      <c r="AP8">
        <f>VLOOKUP($A8,'UN Treasury'!$A$1:$BQ$224,_xlfn.XMATCH(AP$1,'UN Treasury'!$A$1:$BQ$1,-1,1),FALSE)</f>
        <v>1.4930000000000001</v>
      </c>
      <c r="AQ8">
        <f>VLOOKUP($A8,'UN Treasury'!$A$1:$BQ$224,_xlfn.XMATCH(AQ$1,'UN Treasury'!$A$1:$BQ$1,-1,1),FALSE)</f>
        <v>1.5009999999999999</v>
      </c>
      <c r="AR8">
        <f>VLOOKUP($A8,'UN Treasury'!$A$1:$BQ$224,_xlfn.XMATCH(AR$1,'UN Treasury'!$A$1:$BQ$1,-1,1),FALSE)</f>
        <v>1.4370000000000001</v>
      </c>
      <c r="AS8">
        <f>VLOOKUP($A8,'UN Treasury'!$A$1:$BQ$224,_xlfn.XMATCH(AS$1,'UN Treasury'!$A$1:$BQ$1,-1,1),FALSE)</f>
        <v>1.448</v>
      </c>
      <c r="AT8">
        <f>VLOOKUP($A8,'UN Treasury'!$A$1:$BQ$224,_xlfn.XMATCH(AT$1,'UN Treasury'!$A$1:$BQ$1,-1,1),FALSE)</f>
        <v>1.4510000000000001</v>
      </c>
      <c r="AU8">
        <f>VLOOKUP($A8,'UN Treasury'!$A$1:$BQ$224,_xlfn.XMATCH(AU$1,'UN Treasury'!$A$1:$BQ$1,-1,1),FALSE)</f>
        <v>1.4970000000000001</v>
      </c>
      <c r="AV8">
        <f>VLOOKUP($A8,'UN Treasury'!$A$1:$BQ$224,_xlfn.XMATCH(AV$1,'UN Treasury'!$A$1:$BQ$1,-1,1),FALSE)</f>
        <v>1.5980000000000001</v>
      </c>
      <c r="AW8">
        <f>VLOOKUP($A8,'UN Treasury'!$A$1:$BQ$224,_xlfn.XMATCH(AW$1,'UN Treasury'!$A$1:$BQ$1,-1,1),FALSE)</f>
        <v>1.472</v>
      </c>
      <c r="AX8">
        <f>VLOOKUP($A8,'UN Treasury'!$A$1:$BQ$224,_xlfn.XMATCH(AX$1,'UN Treasury'!$A$1:$BQ$1,-1,1),FALSE)</f>
        <v>1.403</v>
      </c>
      <c r="AY8">
        <f>VLOOKUP($A8,'UN Treasury'!$A$1:$BQ$224,_xlfn.XMATCH(AY$1,'UN Treasury'!$A$1:$BQ$1,-1,1),FALSE)</f>
        <v>1.4810000000000001</v>
      </c>
      <c r="AZ8">
        <f>VLOOKUP($A8,'UN Treasury'!$A$1:$BQ$224,_xlfn.XMATCH(AZ$1,'UN Treasury'!$A$1:$BQ$1,-1,1),FALSE)</f>
        <v>1.4359999999999999</v>
      </c>
      <c r="BA8">
        <f>VLOOKUP($A8,'UN Treasury'!$A$1:$BQ$224,_xlfn.XMATCH(BA$1,'UN Treasury'!$A$1:$BQ$1,-1,1),FALSE)</f>
        <v>1.423</v>
      </c>
      <c r="BB8">
        <f>VLOOKUP($A8,'UN Treasury'!$A$1:$BQ$224,_xlfn.XMATCH(BB$1,'UN Treasury'!$A$1:$BQ$1,-1,1),FALSE)</f>
        <v>1.339</v>
      </c>
      <c r="BC8">
        <f>VLOOKUP($A8,'UN Treasury'!$A$1:$BQ$224,_xlfn.XMATCH(BC$1,'UN Treasury'!$A$1:$BQ$1,-1,1),FALSE)</f>
        <v>1.365</v>
      </c>
      <c r="BD8">
        <f>VLOOKUP($A8,'UN Treasury'!$A$1:$BQ$224,_xlfn.XMATCH(BD$1,'UN Treasury'!$A$1:$BQ$1,-1,1),FALSE)</f>
        <v>1.3939999999999999</v>
      </c>
      <c r="BE8">
        <f>VLOOKUP($A8,'UN Treasury'!$A$1:$BQ$224,_xlfn.XMATCH(BE$1,'UN Treasury'!$A$1:$BQ$1,-1,1),FALSE)</f>
        <v>1.3759999999999999</v>
      </c>
      <c r="BF8">
        <f>VLOOKUP($A8,'UN Treasury'!$A$1:$BQ$224,_xlfn.XMATCH(BF$1,'UN Treasury'!$A$1:$BQ$1,-1,1),FALSE)</f>
        <v>1.401</v>
      </c>
      <c r="BG8">
        <f>VLOOKUP($A8,'UN Treasury'!$A$1:$BQ$224,_xlfn.XMATCH(BG$1,'UN Treasury'!$A$1:$BQ$1,-1,1),FALSE)</f>
        <v>1.369</v>
      </c>
      <c r="BH8">
        <f>VLOOKUP($A8,'UN Treasury'!$A$1:$BQ$224,_xlfn.XMATCH(BH$1,'UN Treasury'!$A$1:$BQ$1,-1,1),FALSE)</f>
        <v>1.39</v>
      </c>
      <c r="BI8">
        <f>VLOOKUP($A8,'UN Treasury'!$A$1:$BQ$224,_xlfn.XMATCH(BI$1,'UN Treasury'!$A$1:$BQ$1,-1,1),FALSE)</f>
        <v>1.357</v>
      </c>
      <c r="BJ8">
        <f>VLOOKUP($A8,'UN Treasury'!$A$1:$BQ$224,_xlfn.XMATCH(BJ$1,'UN Treasury'!$A$1:$BQ$1,-1,1),FALSE)</f>
        <v>1.353</v>
      </c>
      <c r="BK8">
        <f>VLOOKUP($A8,'UN Treasury'!$A$1:$BQ$224,_xlfn.XMATCH(BK$1,'UN Treasury'!$A$1:$BQ$1,-1,1),FALSE)</f>
        <v>1.3220000000000001</v>
      </c>
      <c r="BL8">
        <f>VLOOKUP($A8,'UN Treasury'!$A$1:$BQ$224,_xlfn.XMATCH(BL$1,'UN Treasury'!$A$1:$BQ$1,-1,1),FALSE)</f>
        <v>1.2909999999999999</v>
      </c>
      <c r="BM8">
        <f>VLOOKUP($A8,'UN Treasury'!$A$1:$BQ$224,_xlfn.XMATCH(BM$1,'UN Treasury'!$A$1:$BQ$1,-1,1),FALSE)</f>
        <v>1.2869999999999999</v>
      </c>
      <c r="BN8">
        <f>VLOOKUP($A8,'UN Treasury'!$A$1:$BQ$224,_xlfn.XMATCH(BN$1,'UN Treasury'!$A$1:$BQ$1,-1,1),FALSE)</f>
        <v>1.3140000000000001</v>
      </c>
      <c r="BO8">
        <f>VLOOKUP($A8,'UN Treasury'!$A$1:$BQ$224,_xlfn.XMATCH(BO$1,'UN Treasury'!$A$1:$BQ$1,-1,1),FALSE)</f>
        <v>1.2889999999999999</v>
      </c>
      <c r="BP8">
        <f>VLOOKUP($A8,'UN Treasury'!$A$1:$BQ$224,_xlfn.XMATCH(BP$1,'UN Treasury'!$A$1:$BQ$1,-1,1),FALSE)</f>
        <v>1.288</v>
      </c>
      <c r="BQ8">
        <f>VLOOKUP($A8,'UN Treasury'!$A$1:$BQ$224,_xlfn.XMATCH(BQ$1,'UN Treasury'!$A$1:$BQ$1,-1,1),FALSE)</f>
        <v>1.294</v>
      </c>
    </row>
    <row r="9" spans="1:69" x14ac:dyDescent="0.25">
      <c r="A9" t="s">
        <v>49</v>
      </c>
      <c r="B9">
        <f>VLOOKUP($A9,'UN Treasury'!$A$1:$BQ$224,_xlfn.XMATCH(B$1,'UN Treasury'!$A$1:$BQ$1,-1,1),FALSE)</f>
        <v>1.79</v>
      </c>
      <c r="C9">
        <f>VLOOKUP($A9,'UN Treasury'!$A$1:$BQ$224,_xlfn.XMATCH(C$1,'UN Treasury'!$A$1:$BQ$1,-1,1),FALSE)</f>
        <v>1.79</v>
      </c>
      <c r="D9">
        <f>VLOOKUP($A9,'UN Treasury'!$A$1:$BQ$224,_xlfn.XMATCH(D$1,'UN Treasury'!$A$1:$BQ$1,-1,1),FALSE)</f>
        <v>1.79</v>
      </c>
      <c r="E9">
        <f>VLOOKUP($A9,'UN Treasury'!$A$1:$BQ$224,_xlfn.XMATCH(E$1,'UN Treasury'!$A$1:$BQ$1,-1,1),FALSE)</f>
        <v>1.79</v>
      </c>
      <c r="F9">
        <f>VLOOKUP($A9,'UN Treasury'!$A$1:$BQ$224,_xlfn.XMATCH(F$1,'UN Treasury'!$A$1:$BQ$1,-1,1),FALSE)</f>
        <v>1.79</v>
      </c>
      <c r="G9">
        <f>VLOOKUP($A9,'UN Treasury'!$A$1:$BQ$224,_xlfn.XMATCH(G$1,'UN Treasury'!$A$1:$BQ$1,-1,1),FALSE)</f>
        <v>1.79</v>
      </c>
      <c r="H9">
        <f>VLOOKUP($A9,'UN Treasury'!$A$1:$BQ$224,_xlfn.XMATCH(H$1,'UN Treasury'!$A$1:$BQ$1,-1,1),FALSE)</f>
        <v>1.79</v>
      </c>
      <c r="I9">
        <f>VLOOKUP($A9,'UN Treasury'!$A$1:$BQ$224,_xlfn.XMATCH(I$1,'UN Treasury'!$A$1:$BQ$1,-1,1),FALSE)</f>
        <v>1.79</v>
      </c>
      <c r="J9">
        <f>VLOOKUP($A9,'UN Treasury'!$A$1:$BQ$224,_xlfn.XMATCH(J$1,'UN Treasury'!$A$1:$BQ$1,-1,1),FALSE)</f>
        <v>1.79</v>
      </c>
      <c r="K9">
        <f>VLOOKUP($A9,'UN Treasury'!$A$1:$BQ$224,_xlfn.XMATCH(K$1,'UN Treasury'!$A$1:$BQ$1,-1,1),FALSE)</f>
        <v>1.79</v>
      </c>
      <c r="L9">
        <f>VLOOKUP($A9,'UN Treasury'!$A$1:$BQ$224,_xlfn.XMATCH(L$1,'UN Treasury'!$A$1:$BQ$1,-1,1),FALSE)</f>
        <v>1.79</v>
      </c>
      <c r="M9">
        <f>VLOOKUP($A9,'UN Treasury'!$A$1:$BQ$224,_xlfn.XMATCH(M$1,'UN Treasury'!$A$1:$BQ$1,-1,1),FALSE)</f>
        <v>1.79</v>
      </c>
      <c r="N9">
        <f>VLOOKUP($A9,'UN Treasury'!$A$1:$BQ$224,_xlfn.XMATCH(N$1,'UN Treasury'!$A$1:$BQ$1,-1,1),FALSE)</f>
        <v>1.79</v>
      </c>
      <c r="O9">
        <f>VLOOKUP($A9,'UN Treasury'!$A$1:$BQ$224,_xlfn.XMATCH(O$1,'UN Treasury'!$A$1:$BQ$1,-1,1),FALSE)</f>
        <v>1.79</v>
      </c>
      <c r="P9">
        <f>VLOOKUP($A9,'UN Treasury'!$A$1:$BQ$224,_xlfn.XMATCH(P$1,'UN Treasury'!$A$1:$BQ$1,-1,1),FALSE)</f>
        <v>1.79</v>
      </c>
      <c r="Q9">
        <f>VLOOKUP($A9,'UN Treasury'!$A$1:$BQ$224,_xlfn.XMATCH(Q$1,'UN Treasury'!$A$1:$BQ$1,-1,1),FALSE)</f>
        <v>1.79</v>
      </c>
      <c r="R9">
        <f>VLOOKUP($A9,'UN Treasury'!$A$1:$BQ$224,_xlfn.XMATCH(R$1,'UN Treasury'!$A$1:$BQ$1,-1,1),FALSE)</f>
        <v>1.79</v>
      </c>
      <c r="S9">
        <f>VLOOKUP($A9,'UN Treasury'!$A$1:$BQ$224,_xlfn.XMATCH(S$1,'UN Treasury'!$A$1:$BQ$1,-1,1),FALSE)</f>
        <v>1.79</v>
      </c>
      <c r="T9">
        <f>VLOOKUP($A9,'UN Treasury'!$A$1:$BQ$224,_xlfn.XMATCH(T$1,'UN Treasury'!$A$1:$BQ$1,-1,1),FALSE)</f>
        <v>1.79</v>
      </c>
      <c r="U9">
        <f>VLOOKUP($A9,'UN Treasury'!$A$1:$BQ$224,_xlfn.XMATCH(U$1,'UN Treasury'!$A$1:$BQ$1,-1,1),FALSE)</f>
        <v>1.79</v>
      </c>
      <c r="V9">
        <f>VLOOKUP($A9,'UN Treasury'!$A$1:$BQ$224,_xlfn.XMATCH(V$1,'UN Treasury'!$A$1:$BQ$1,-1,1),FALSE)</f>
        <v>1.79</v>
      </c>
      <c r="W9">
        <f>VLOOKUP($A9,'UN Treasury'!$A$1:$BQ$224,_xlfn.XMATCH(W$1,'UN Treasury'!$A$1:$BQ$1,-1,1),FALSE)</f>
        <v>1.79</v>
      </c>
      <c r="X9">
        <f>VLOOKUP($A9,'UN Treasury'!$A$1:$BQ$224,_xlfn.XMATCH(X$1,'UN Treasury'!$A$1:$BQ$1,-1,1),FALSE)</f>
        <v>1.79</v>
      </c>
      <c r="Y9">
        <f>VLOOKUP($A9,'UN Treasury'!$A$1:$BQ$224,_xlfn.XMATCH(Y$1,'UN Treasury'!$A$1:$BQ$1,-1,1),FALSE)</f>
        <v>1.79</v>
      </c>
      <c r="Z9">
        <f>VLOOKUP($A9,'UN Treasury'!$A$1:$BQ$224,_xlfn.XMATCH(Z$1,'UN Treasury'!$A$1:$BQ$1,-1,1),FALSE)</f>
        <v>1.79</v>
      </c>
      <c r="AA9">
        <f>VLOOKUP($A9,'UN Treasury'!$A$1:$BQ$224,_xlfn.XMATCH(AA$1,'UN Treasury'!$A$1:$BQ$1,-1,1),FALSE)</f>
        <v>1.79</v>
      </c>
      <c r="AB9">
        <f>VLOOKUP($A9,'UN Treasury'!$A$1:$BQ$224,_xlfn.XMATCH(AB$1,'UN Treasury'!$A$1:$BQ$1,-1,1),FALSE)</f>
        <v>1.79</v>
      </c>
      <c r="AC9">
        <f>VLOOKUP($A9,'UN Treasury'!$A$1:$BQ$224,_xlfn.XMATCH(AC$1,'UN Treasury'!$A$1:$BQ$1,-1,1),FALSE)</f>
        <v>1.79</v>
      </c>
      <c r="AD9">
        <f>VLOOKUP($A9,'UN Treasury'!$A$1:$BQ$224,_xlfn.XMATCH(AD$1,'UN Treasury'!$A$1:$BQ$1,-1,1),FALSE)</f>
        <v>1.79</v>
      </c>
      <c r="AE9">
        <f>VLOOKUP($A9,'UN Treasury'!$A$1:$BQ$224,_xlfn.XMATCH(AE$1,'UN Treasury'!$A$1:$BQ$1,-1,1),FALSE)</f>
        <v>1.79</v>
      </c>
      <c r="AF9">
        <f>VLOOKUP($A9,'UN Treasury'!$A$1:$BQ$224,_xlfn.XMATCH(AF$1,'UN Treasury'!$A$1:$BQ$1,-1,1),FALSE)</f>
        <v>1.79</v>
      </c>
      <c r="AG9">
        <f>VLOOKUP($A9,'UN Treasury'!$A$1:$BQ$224,_xlfn.XMATCH(AG$1,'UN Treasury'!$A$1:$BQ$1,-1,1),FALSE)</f>
        <v>1.79</v>
      </c>
      <c r="AH9">
        <f>VLOOKUP($A9,'UN Treasury'!$A$1:$BQ$224,_xlfn.XMATCH(AH$1,'UN Treasury'!$A$1:$BQ$1,-1,1),FALSE)</f>
        <v>1.79</v>
      </c>
      <c r="AI9">
        <f>VLOOKUP($A9,'UN Treasury'!$A$1:$BQ$224,_xlfn.XMATCH(AI$1,'UN Treasury'!$A$1:$BQ$1,-1,1),FALSE)</f>
        <v>1.79</v>
      </c>
      <c r="AJ9">
        <f>VLOOKUP($A9,'UN Treasury'!$A$1:$BQ$224,_xlfn.XMATCH(AJ$1,'UN Treasury'!$A$1:$BQ$1,-1,1),FALSE)</f>
        <v>1.79</v>
      </c>
      <c r="AK9">
        <f>VLOOKUP($A9,'UN Treasury'!$A$1:$BQ$224,_xlfn.XMATCH(AK$1,'UN Treasury'!$A$1:$BQ$1,-1,1),FALSE)</f>
        <v>1.79</v>
      </c>
      <c r="AL9">
        <f>VLOOKUP($A9,'UN Treasury'!$A$1:$BQ$224,_xlfn.XMATCH(AL$1,'UN Treasury'!$A$1:$BQ$1,-1,1),FALSE)</f>
        <v>1.79</v>
      </c>
      <c r="AM9">
        <f>VLOOKUP($A9,'UN Treasury'!$A$1:$BQ$224,_xlfn.XMATCH(AM$1,'UN Treasury'!$A$1:$BQ$1,-1,1),FALSE)</f>
        <v>1.79</v>
      </c>
      <c r="AN9">
        <f>VLOOKUP($A9,'UN Treasury'!$A$1:$BQ$224,_xlfn.XMATCH(AN$1,'UN Treasury'!$A$1:$BQ$1,-1,1),FALSE)</f>
        <v>1.79</v>
      </c>
      <c r="AO9">
        <f>VLOOKUP($A9,'UN Treasury'!$A$1:$BQ$224,_xlfn.XMATCH(AO$1,'UN Treasury'!$A$1:$BQ$1,-1,1),FALSE)</f>
        <v>1.79</v>
      </c>
      <c r="AP9">
        <f>VLOOKUP($A9,'UN Treasury'!$A$1:$BQ$224,_xlfn.XMATCH(AP$1,'UN Treasury'!$A$1:$BQ$1,-1,1),FALSE)</f>
        <v>1.79</v>
      </c>
      <c r="AQ9">
        <f>VLOOKUP($A9,'UN Treasury'!$A$1:$BQ$224,_xlfn.XMATCH(AQ$1,'UN Treasury'!$A$1:$BQ$1,-1,1),FALSE)</f>
        <v>1.79</v>
      </c>
      <c r="AR9">
        <f>VLOOKUP($A9,'UN Treasury'!$A$1:$BQ$224,_xlfn.XMATCH(AR$1,'UN Treasury'!$A$1:$BQ$1,-1,1),FALSE)</f>
        <v>1.79</v>
      </c>
      <c r="AS9">
        <f>VLOOKUP($A9,'UN Treasury'!$A$1:$BQ$224,_xlfn.XMATCH(AS$1,'UN Treasury'!$A$1:$BQ$1,-1,1),FALSE)</f>
        <v>1.79</v>
      </c>
      <c r="AT9">
        <f>VLOOKUP($A9,'UN Treasury'!$A$1:$BQ$224,_xlfn.XMATCH(AT$1,'UN Treasury'!$A$1:$BQ$1,-1,1),FALSE)</f>
        <v>1.79</v>
      </c>
      <c r="AU9">
        <f>VLOOKUP($A9,'UN Treasury'!$A$1:$BQ$224,_xlfn.XMATCH(AU$1,'UN Treasury'!$A$1:$BQ$1,-1,1),FALSE)</f>
        <v>1.79</v>
      </c>
      <c r="AV9">
        <f>VLOOKUP($A9,'UN Treasury'!$A$1:$BQ$224,_xlfn.XMATCH(AV$1,'UN Treasury'!$A$1:$BQ$1,-1,1),FALSE)</f>
        <v>1.79</v>
      </c>
      <c r="AW9">
        <f>VLOOKUP($A9,'UN Treasury'!$A$1:$BQ$224,_xlfn.XMATCH(AW$1,'UN Treasury'!$A$1:$BQ$1,-1,1),FALSE)</f>
        <v>1.79</v>
      </c>
      <c r="AX9">
        <f>VLOOKUP($A9,'UN Treasury'!$A$1:$BQ$224,_xlfn.XMATCH(AX$1,'UN Treasury'!$A$1:$BQ$1,-1,1),FALSE)</f>
        <v>1.79</v>
      </c>
      <c r="AY9">
        <f>VLOOKUP($A9,'UN Treasury'!$A$1:$BQ$224,_xlfn.XMATCH(AY$1,'UN Treasury'!$A$1:$BQ$1,-1,1),FALSE)</f>
        <v>1.79</v>
      </c>
      <c r="AZ9">
        <f>VLOOKUP($A9,'UN Treasury'!$A$1:$BQ$224,_xlfn.XMATCH(AZ$1,'UN Treasury'!$A$1:$BQ$1,-1,1),FALSE)</f>
        <v>1.79</v>
      </c>
      <c r="BA9">
        <f>VLOOKUP($A9,'UN Treasury'!$A$1:$BQ$224,_xlfn.XMATCH(BA$1,'UN Treasury'!$A$1:$BQ$1,-1,1),FALSE)</f>
        <v>1.79</v>
      </c>
      <c r="BB9">
        <f>VLOOKUP($A9,'UN Treasury'!$A$1:$BQ$224,_xlfn.XMATCH(BB$1,'UN Treasury'!$A$1:$BQ$1,-1,1),FALSE)</f>
        <v>1.79</v>
      </c>
      <c r="BC9">
        <f>VLOOKUP($A9,'UN Treasury'!$A$1:$BQ$224,_xlfn.XMATCH(BC$1,'UN Treasury'!$A$1:$BQ$1,-1,1),FALSE)</f>
        <v>1.79</v>
      </c>
      <c r="BD9">
        <f>VLOOKUP($A9,'UN Treasury'!$A$1:$BQ$224,_xlfn.XMATCH(BD$1,'UN Treasury'!$A$1:$BQ$1,-1,1),FALSE)</f>
        <v>1.79</v>
      </c>
      <c r="BE9">
        <f>VLOOKUP($A9,'UN Treasury'!$A$1:$BQ$224,_xlfn.XMATCH(BE$1,'UN Treasury'!$A$1:$BQ$1,-1,1),FALSE)</f>
        <v>1.79</v>
      </c>
      <c r="BF9">
        <f>VLOOKUP($A9,'UN Treasury'!$A$1:$BQ$224,_xlfn.XMATCH(BF$1,'UN Treasury'!$A$1:$BQ$1,-1,1),FALSE)</f>
        <v>1.79</v>
      </c>
      <c r="BG9">
        <f>VLOOKUP($A9,'UN Treasury'!$A$1:$BQ$224,_xlfn.XMATCH(BG$1,'UN Treasury'!$A$1:$BQ$1,-1,1),FALSE)</f>
        <v>1.79</v>
      </c>
      <c r="BH9">
        <f>VLOOKUP($A9,'UN Treasury'!$A$1:$BQ$224,_xlfn.XMATCH(BH$1,'UN Treasury'!$A$1:$BQ$1,-1,1),FALSE)</f>
        <v>1.79</v>
      </c>
      <c r="BI9">
        <f>VLOOKUP($A9,'UN Treasury'!$A$1:$BQ$224,_xlfn.XMATCH(BI$1,'UN Treasury'!$A$1:$BQ$1,-1,1),FALSE)</f>
        <v>1.79</v>
      </c>
      <c r="BJ9">
        <f>VLOOKUP($A9,'UN Treasury'!$A$1:$BQ$224,_xlfn.XMATCH(BJ$1,'UN Treasury'!$A$1:$BQ$1,-1,1),FALSE)</f>
        <v>1.79</v>
      </c>
      <c r="BK9">
        <f>VLOOKUP($A9,'UN Treasury'!$A$1:$BQ$224,_xlfn.XMATCH(BK$1,'UN Treasury'!$A$1:$BQ$1,-1,1),FALSE)</f>
        <v>1.7827999999999999</v>
      </c>
      <c r="BL9">
        <f>VLOOKUP($A9,'UN Treasury'!$A$1:$BQ$224,_xlfn.XMATCH(BL$1,'UN Treasury'!$A$1:$BQ$1,-1,1),FALSE)</f>
        <v>1.7864</v>
      </c>
      <c r="BM9">
        <f>VLOOKUP($A9,'UN Treasury'!$A$1:$BQ$224,_xlfn.XMATCH(BM$1,'UN Treasury'!$A$1:$BQ$1,-1,1),FALSE)</f>
        <v>1.79</v>
      </c>
      <c r="BN9">
        <f>VLOOKUP($A9,'UN Treasury'!$A$1:$BQ$224,_xlfn.XMATCH(BN$1,'UN Treasury'!$A$1:$BQ$1,-1,1),FALSE)</f>
        <v>1.79</v>
      </c>
      <c r="BO9">
        <f>VLOOKUP($A9,'UN Treasury'!$A$1:$BQ$224,_xlfn.XMATCH(BO$1,'UN Treasury'!$A$1:$BQ$1,-1,1),FALSE)</f>
        <v>1.79</v>
      </c>
      <c r="BP9">
        <f>VLOOKUP($A9,'UN Treasury'!$A$1:$BQ$224,_xlfn.XMATCH(BP$1,'UN Treasury'!$A$1:$BQ$1,-1,1),FALSE)</f>
        <v>1.79</v>
      </c>
      <c r="BQ9">
        <f>VLOOKUP($A9,'UN Treasury'!$A$1:$BQ$224,_xlfn.XMATCH(BQ$1,'UN Treasury'!$A$1:$BQ$1,-1,1),FALSE)</f>
        <v>1.79</v>
      </c>
    </row>
    <row r="10" spans="1:69" x14ac:dyDescent="0.25">
      <c r="A10" t="s">
        <v>48</v>
      </c>
      <c r="B10">
        <f>VLOOKUP($A10,'UN Treasury'!$A$1:$BQ$224,_xlfn.XMATCH(B$1,'UN Treasury'!$A$1:$BQ$1,-1,1),FALSE)</f>
        <v>1.698</v>
      </c>
      <c r="C10">
        <f>VLOOKUP($A10,'UN Treasury'!$A$1:$BQ$224,_xlfn.XMATCH(C$1,'UN Treasury'!$A$1:$BQ$1,-1,1),FALSE)</f>
        <v>1.698</v>
      </c>
      <c r="D10">
        <f>VLOOKUP($A10,'UN Treasury'!$A$1:$BQ$224,_xlfn.XMATCH(D$1,'UN Treasury'!$A$1:$BQ$1,-1,1),FALSE)</f>
        <v>1.6990000000000001</v>
      </c>
      <c r="E10">
        <f>VLOOKUP($A10,'UN Treasury'!$A$1:$BQ$224,_xlfn.XMATCH(E$1,'UN Treasury'!$A$1:$BQ$1,-1,1),FALSE)</f>
        <v>1.698</v>
      </c>
      <c r="F10">
        <f>VLOOKUP($A10,'UN Treasury'!$A$1:$BQ$224,_xlfn.XMATCH(F$1,'UN Treasury'!$A$1:$BQ$1,-1,1),FALSE)</f>
        <v>1.698</v>
      </c>
      <c r="G10">
        <f>VLOOKUP($A10,'UN Treasury'!$A$1:$BQ$224,_xlfn.XMATCH(G$1,'UN Treasury'!$A$1:$BQ$1,-1,1),FALSE)</f>
        <v>1.698</v>
      </c>
      <c r="H10">
        <f>VLOOKUP($A10,'UN Treasury'!$A$1:$BQ$224,_xlfn.XMATCH(H$1,'UN Treasury'!$A$1:$BQ$1,-1,1),FALSE)</f>
        <v>1.698</v>
      </c>
      <c r="I10">
        <f>VLOOKUP($A10,'UN Treasury'!$A$1:$BQ$224,_xlfn.XMATCH(I$1,'UN Treasury'!$A$1:$BQ$1,-1,1),FALSE)</f>
        <v>1.698</v>
      </c>
      <c r="J10">
        <f>VLOOKUP($A10,'UN Treasury'!$A$1:$BQ$224,_xlfn.XMATCH(J$1,'UN Treasury'!$A$1:$BQ$1,-1,1),FALSE)</f>
        <v>1.698</v>
      </c>
      <c r="K10">
        <f>VLOOKUP($A10,'UN Treasury'!$A$1:$BQ$224,_xlfn.XMATCH(K$1,'UN Treasury'!$A$1:$BQ$1,-1,1),FALSE)</f>
        <v>1.698</v>
      </c>
      <c r="L10">
        <f>VLOOKUP($A10,'UN Treasury'!$A$1:$BQ$224,_xlfn.XMATCH(L$1,'UN Treasury'!$A$1:$BQ$1,-1,1),FALSE)</f>
        <v>1.698</v>
      </c>
      <c r="M10">
        <f>VLOOKUP($A10,'UN Treasury'!$A$1:$BQ$224,_xlfn.XMATCH(M$1,'UN Treasury'!$A$1:$BQ$1,-1,1),FALSE)</f>
        <v>1.698</v>
      </c>
      <c r="N10">
        <f>VLOOKUP($A10,'UN Treasury'!$A$1:$BQ$224,_xlfn.XMATCH(N$1,'UN Treasury'!$A$1:$BQ$1,-1,1),FALSE)</f>
        <v>1.698</v>
      </c>
      <c r="O10">
        <f>VLOOKUP($A10,'UN Treasury'!$A$1:$BQ$224,_xlfn.XMATCH(O$1,'UN Treasury'!$A$1:$BQ$1,-1,1),FALSE)</f>
        <v>1.698</v>
      </c>
      <c r="P10">
        <f>VLOOKUP($A10,'UN Treasury'!$A$1:$BQ$224,_xlfn.XMATCH(P$1,'UN Treasury'!$A$1:$BQ$1,-1,1),FALSE)</f>
        <v>1.698</v>
      </c>
      <c r="Q10">
        <f>VLOOKUP($A10,'UN Treasury'!$A$1:$BQ$224,_xlfn.XMATCH(Q$1,'UN Treasury'!$A$1:$BQ$1,-1,1),FALSE)</f>
        <v>1.698</v>
      </c>
      <c r="R10">
        <f>VLOOKUP($A10,'UN Treasury'!$A$1:$BQ$224,_xlfn.XMATCH(R$1,'UN Treasury'!$A$1:$BQ$1,-1,1),FALSE)</f>
        <v>1.698</v>
      </c>
      <c r="S10">
        <f>VLOOKUP($A10,'UN Treasury'!$A$1:$BQ$224,_xlfn.XMATCH(S$1,'UN Treasury'!$A$1:$BQ$1,-1,1),FALSE)</f>
        <v>1.698</v>
      </c>
      <c r="T10">
        <f>VLOOKUP($A10,'UN Treasury'!$A$1:$BQ$224,_xlfn.XMATCH(T$1,'UN Treasury'!$A$1:$BQ$1,-1,1),FALSE)</f>
        <v>1.698</v>
      </c>
      <c r="U10">
        <f>VLOOKUP($A10,'UN Treasury'!$A$1:$BQ$224,_xlfn.XMATCH(U$1,'UN Treasury'!$A$1:$BQ$1,-1,1),FALSE)</f>
        <v>1.6990000000000001</v>
      </c>
      <c r="V10">
        <f>VLOOKUP($A10,'UN Treasury'!$A$1:$BQ$224,_xlfn.XMATCH(V$1,'UN Treasury'!$A$1:$BQ$1,-1,1),FALSE)</f>
        <v>1.6990000000000001</v>
      </c>
      <c r="W10">
        <f>VLOOKUP($A10,'UN Treasury'!$A$1:$BQ$224,_xlfn.XMATCH(W$1,'UN Treasury'!$A$1:$BQ$1,-1,1),FALSE)</f>
        <v>1.7</v>
      </c>
      <c r="X10">
        <f>VLOOKUP($A10,'UN Treasury'!$A$1:$BQ$224,_xlfn.XMATCH(X$1,'UN Treasury'!$A$1:$BQ$1,-1,1),FALSE)</f>
        <v>1.698</v>
      </c>
      <c r="Y10">
        <f>VLOOKUP($A10,'UN Treasury'!$A$1:$BQ$224,_xlfn.XMATCH(Y$1,'UN Treasury'!$A$1:$BQ$1,-1,1),FALSE)</f>
        <v>1.6990000000000001</v>
      </c>
      <c r="Z10">
        <f>VLOOKUP($A10,'UN Treasury'!$A$1:$BQ$224,_xlfn.XMATCH(Z$1,'UN Treasury'!$A$1:$BQ$1,-1,1),FALSE)</f>
        <v>1.6990000000000001</v>
      </c>
      <c r="AA10">
        <f>VLOOKUP($A10,'UN Treasury'!$A$1:$BQ$224,_xlfn.XMATCH(AA$1,'UN Treasury'!$A$1:$BQ$1,-1,1),FALSE)</f>
        <v>1.698</v>
      </c>
      <c r="AB10">
        <f>VLOOKUP($A10,'UN Treasury'!$A$1:$BQ$224,_xlfn.XMATCH(AB$1,'UN Treasury'!$A$1:$BQ$1,-1,1),FALSE)</f>
        <v>1.698</v>
      </c>
      <c r="AC10">
        <f>VLOOKUP($A10,'UN Treasury'!$A$1:$BQ$224,_xlfn.XMATCH(AC$1,'UN Treasury'!$A$1:$BQ$1,-1,1),FALSE)</f>
        <v>1.6990000000000001</v>
      </c>
      <c r="AD10">
        <f>VLOOKUP($A10,'UN Treasury'!$A$1:$BQ$224,_xlfn.XMATCH(AD$1,'UN Treasury'!$A$1:$BQ$1,-1,1),FALSE)</f>
        <v>1.6990000000000001</v>
      </c>
      <c r="AE10">
        <f>VLOOKUP($A10,'UN Treasury'!$A$1:$BQ$224,_xlfn.XMATCH(AE$1,'UN Treasury'!$A$1:$BQ$1,-1,1),FALSE)</f>
        <v>1.698</v>
      </c>
      <c r="AF10">
        <f>VLOOKUP($A10,'UN Treasury'!$A$1:$BQ$224,_xlfn.XMATCH(AF$1,'UN Treasury'!$A$1:$BQ$1,-1,1),FALSE)</f>
        <v>1.698</v>
      </c>
      <c r="AG10">
        <f>VLOOKUP($A10,'UN Treasury'!$A$1:$BQ$224,_xlfn.XMATCH(AG$1,'UN Treasury'!$A$1:$BQ$1,-1,1),FALSE)</f>
        <v>1.698</v>
      </c>
      <c r="AH10">
        <f>VLOOKUP($A10,'UN Treasury'!$A$1:$BQ$224,_xlfn.XMATCH(AH$1,'UN Treasury'!$A$1:$BQ$1,-1,1),FALSE)</f>
        <v>1.698</v>
      </c>
      <c r="AI10">
        <f>VLOOKUP($A10,'UN Treasury'!$A$1:$BQ$224,_xlfn.XMATCH(AI$1,'UN Treasury'!$A$1:$BQ$1,-1,1),FALSE)</f>
        <v>1.698</v>
      </c>
      <c r="AJ10">
        <f>VLOOKUP($A10,'UN Treasury'!$A$1:$BQ$224,_xlfn.XMATCH(AJ$1,'UN Treasury'!$A$1:$BQ$1,-1,1),FALSE)</f>
        <v>1.696</v>
      </c>
      <c r="AK10">
        <f>VLOOKUP($A10,'UN Treasury'!$A$1:$BQ$224,_xlfn.XMATCH(AK$1,'UN Treasury'!$A$1:$BQ$1,-1,1),FALSE)</f>
        <v>1.694</v>
      </c>
      <c r="AL10">
        <f>VLOOKUP($A10,'UN Treasury'!$A$1:$BQ$224,_xlfn.XMATCH(AL$1,'UN Treasury'!$A$1:$BQ$1,-1,1),FALSE)</f>
        <v>1.696</v>
      </c>
      <c r="AM10">
        <f>VLOOKUP($A10,'UN Treasury'!$A$1:$BQ$224,_xlfn.XMATCH(AM$1,'UN Treasury'!$A$1:$BQ$1,-1,1),FALSE)</f>
        <v>1.6950000000000001</v>
      </c>
      <c r="AN10">
        <f>VLOOKUP($A10,'UN Treasury'!$A$1:$BQ$224,_xlfn.XMATCH(AN$1,'UN Treasury'!$A$1:$BQ$1,-1,1),FALSE)</f>
        <v>1.696</v>
      </c>
      <c r="AO10">
        <f>VLOOKUP($A10,'UN Treasury'!$A$1:$BQ$224,_xlfn.XMATCH(AO$1,'UN Treasury'!$A$1:$BQ$1,-1,1),FALSE)</f>
        <v>1.6950000000000001</v>
      </c>
      <c r="AP10">
        <f>VLOOKUP($A10,'UN Treasury'!$A$1:$BQ$224,_xlfn.XMATCH(AP$1,'UN Treasury'!$A$1:$BQ$1,-1,1),FALSE)</f>
        <v>1.694</v>
      </c>
      <c r="AQ10">
        <f>VLOOKUP($A10,'UN Treasury'!$A$1:$BQ$224,_xlfn.XMATCH(AQ$1,'UN Treasury'!$A$1:$BQ$1,-1,1),FALSE)</f>
        <v>1.694</v>
      </c>
      <c r="AR10">
        <f>VLOOKUP($A10,'UN Treasury'!$A$1:$BQ$224,_xlfn.XMATCH(AR$1,'UN Treasury'!$A$1:$BQ$1,-1,1),FALSE)</f>
        <v>1.6950000000000001</v>
      </c>
      <c r="AS10">
        <f>VLOOKUP($A10,'UN Treasury'!$A$1:$BQ$224,_xlfn.XMATCH(AS$1,'UN Treasury'!$A$1:$BQ$1,-1,1),FALSE)</f>
        <v>1.6930000000000001</v>
      </c>
      <c r="AT10">
        <f>VLOOKUP($A10,'UN Treasury'!$A$1:$BQ$224,_xlfn.XMATCH(AT$1,'UN Treasury'!$A$1:$BQ$1,-1,1),FALSE)</f>
        <v>1.694</v>
      </c>
      <c r="AU10">
        <f>VLOOKUP($A10,'UN Treasury'!$A$1:$BQ$224,_xlfn.XMATCH(AU$1,'UN Treasury'!$A$1:$BQ$1,-1,1),FALSE)</f>
        <v>1.6930000000000001</v>
      </c>
      <c r="AV10">
        <f>VLOOKUP($A10,'UN Treasury'!$A$1:$BQ$224,_xlfn.XMATCH(AV$1,'UN Treasury'!$A$1:$BQ$1,-1,1),FALSE)</f>
        <v>1.6910000000000001</v>
      </c>
      <c r="AW10">
        <f>VLOOKUP($A10,'UN Treasury'!$A$1:$BQ$224,_xlfn.XMATCH(AW$1,'UN Treasury'!$A$1:$BQ$1,-1,1),FALSE)</f>
        <v>1.6910000000000001</v>
      </c>
      <c r="AX10">
        <f>VLOOKUP($A10,'UN Treasury'!$A$1:$BQ$224,_xlfn.XMATCH(AX$1,'UN Treasury'!$A$1:$BQ$1,-1,1),FALSE)</f>
        <v>1.6910000000000001</v>
      </c>
      <c r="AY10">
        <f>VLOOKUP($A10,'UN Treasury'!$A$1:$BQ$224,_xlfn.XMATCH(AY$1,'UN Treasury'!$A$1:$BQ$1,-1,1),FALSE)</f>
        <v>1.69</v>
      </c>
      <c r="AZ10">
        <f>VLOOKUP($A10,'UN Treasury'!$A$1:$BQ$224,_xlfn.XMATCH(AZ$1,'UN Treasury'!$A$1:$BQ$1,-1,1),FALSE)</f>
        <v>1.6919999999999999</v>
      </c>
      <c r="BA10">
        <f>VLOOKUP($A10,'UN Treasury'!$A$1:$BQ$224,_xlfn.XMATCH(BA$1,'UN Treasury'!$A$1:$BQ$1,-1,1),FALSE)</f>
        <v>1.6950000000000001</v>
      </c>
      <c r="BB10">
        <f>VLOOKUP($A10,'UN Treasury'!$A$1:$BQ$224,_xlfn.XMATCH(BB$1,'UN Treasury'!$A$1:$BQ$1,-1,1),FALSE)</f>
        <v>1.6930000000000001</v>
      </c>
      <c r="BC10">
        <f>VLOOKUP($A10,'UN Treasury'!$A$1:$BQ$224,_xlfn.XMATCH(BC$1,'UN Treasury'!$A$1:$BQ$1,-1,1),FALSE)</f>
        <v>1.6910000000000001</v>
      </c>
      <c r="BD10">
        <f>VLOOKUP($A10,'UN Treasury'!$A$1:$BQ$224,_xlfn.XMATCH(BD$1,'UN Treasury'!$A$1:$BQ$1,-1,1),FALSE)</f>
        <v>1.6930000000000001</v>
      </c>
      <c r="BE10">
        <f>VLOOKUP($A10,'UN Treasury'!$A$1:$BQ$224,_xlfn.XMATCH(BE$1,'UN Treasury'!$A$1:$BQ$1,-1,1),FALSE)</f>
        <v>1.6950000000000001</v>
      </c>
      <c r="BF10">
        <f>VLOOKUP($A10,'UN Treasury'!$A$1:$BQ$224,_xlfn.XMATCH(BF$1,'UN Treasury'!$A$1:$BQ$1,-1,1),FALSE)</f>
        <v>1.6950000000000001</v>
      </c>
      <c r="BG10">
        <f>VLOOKUP($A10,'UN Treasury'!$A$1:$BQ$224,_xlfn.XMATCH(BG$1,'UN Treasury'!$A$1:$BQ$1,-1,1),FALSE)</f>
        <v>1.6950000000000001</v>
      </c>
      <c r="BH10">
        <f>VLOOKUP($A10,'UN Treasury'!$A$1:$BQ$224,_xlfn.XMATCH(BH$1,'UN Treasury'!$A$1:$BQ$1,-1,1),FALSE)</f>
        <v>1.6950000000000001</v>
      </c>
      <c r="BI10">
        <f>VLOOKUP($A10,'UN Treasury'!$A$1:$BQ$224,_xlfn.XMATCH(BI$1,'UN Treasury'!$A$1:$BQ$1,-1,1),FALSE)</f>
        <v>1.6950000000000001</v>
      </c>
      <c r="BJ10">
        <f>VLOOKUP($A10,'UN Treasury'!$A$1:$BQ$224,_xlfn.XMATCH(BJ$1,'UN Treasury'!$A$1:$BQ$1,-1,1),FALSE)</f>
        <v>1.6950000000000001</v>
      </c>
      <c r="BK10">
        <f>VLOOKUP($A10,'UN Treasury'!$A$1:$BQ$224,_xlfn.XMATCH(BK$1,'UN Treasury'!$A$1:$BQ$1,-1,1),FALSE)</f>
        <v>1.6950000000000001</v>
      </c>
      <c r="BL10">
        <f>VLOOKUP($A10,'UN Treasury'!$A$1:$BQ$224,_xlfn.XMATCH(BL$1,'UN Treasury'!$A$1:$BQ$1,-1,1),FALSE)</f>
        <v>1.6950000000000001</v>
      </c>
      <c r="BM10">
        <f>VLOOKUP($A10,'UN Treasury'!$A$1:$BQ$224,_xlfn.XMATCH(BM$1,'UN Treasury'!$A$1:$BQ$1,-1,1),FALSE)</f>
        <v>1.6930000000000001</v>
      </c>
      <c r="BN10">
        <f>VLOOKUP($A10,'UN Treasury'!$A$1:$BQ$224,_xlfn.XMATCH(BN$1,'UN Treasury'!$A$1:$BQ$1,-1,1),FALSE)</f>
        <v>1.6990000000000001</v>
      </c>
      <c r="BO10">
        <f>VLOOKUP($A10,'UN Treasury'!$A$1:$BQ$224,_xlfn.XMATCH(BO$1,'UN Treasury'!$A$1:$BQ$1,-1,1),FALSE)</f>
        <v>1.6990000000000001</v>
      </c>
      <c r="BP10">
        <f>VLOOKUP($A10,'UN Treasury'!$A$1:$BQ$224,_xlfn.XMATCH(BP$1,'UN Treasury'!$A$1:$BQ$1,-1,1),FALSE)</f>
        <v>1.6930000000000001</v>
      </c>
      <c r="BQ10">
        <f>VLOOKUP($A10,'UN Treasury'!$A$1:$BQ$224,_xlfn.XMATCH(BQ$1,'UN Treasury'!$A$1:$BQ$1,-1,1),FALSE)</f>
        <v>1.6930000000000001</v>
      </c>
    </row>
    <row r="11" spans="1:69" x14ac:dyDescent="0.25">
      <c r="A11" t="s">
        <v>54</v>
      </c>
      <c r="B11">
        <f>VLOOKUP($A11,'UN Treasury'!$A$1:$BQ$224,_xlfn.XMATCH(B$1,'UN Treasury'!$A$1:$BQ$1,-1,1),FALSE)</f>
        <v>1.6950000000000001</v>
      </c>
      <c r="C11">
        <f>VLOOKUP($A11,'UN Treasury'!$A$1:$BQ$224,_xlfn.XMATCH(C$1,'UN Treasury'!$A$1:$BQ$1,-1,1),FALSE)</f>
        <v>1.712</v>
      </c>
      <c r="D11">
        <f>VLOOKUP($A11,'UN Treasury'!$A$1:$BQ$224,_xlfn.XMATCH(D$1,'UN Treasury'!$A$1:$BQ$1,-1,1),FALSE)</f>
        <v>1.6970000000000001</v>
      </c>
      <c r="E11">
        <f>VLOOKUP($A11,'UN Treasury'!$A$1:$BQ$224,_xlfn.XMATCH(E$1,'UN Treasury'!$A$1:$BQ$1,-1,1),FALSE)</f>
        <v>1.67</v>
      </c>
      <c r="F11">
        <f>VLOOKUP($A11,'UN Treasury'!$A$1:$BQ$224,_xlfn.XMATCH(F$1,'UN Treasury'!$A$1:$BQ$1,-1,1),FALSE)</f>
        <v>1.67</v>
      </c>
      <c r="G11">
        <f>VLOOKUP($A11,'UN Treasury'!$A$1:$BQ$224,_xlfn.XMATCH(G$1,'UN Treasury'!$A$1:$BQ$1,-1,1),FALSE)</f>
        <v>1.696</v>
      </c>
      <c r="H11">
        <f>VLOOKUP($A11,'UN Treasury'!$A$1:$BQ$224,_xlfn.XMATCH(H$1,'UN Treasury'!$A$1:$BQ$1,-1,1),FALSE)</f>
        <v>1.645</v>
      </c>
      <c r="I11">
        <f>VLOOKUP($A11,'UN Treasury'!$A$1:$BQ$224,_xlfn.XMATCH(I$1,'UN Treasury'!$A$1:$BQ$1,-1,1),FALSE)</f>
        <v>1.679</v>
      </c>
      <c r="J11">
        <f>VLOOKUP($A11,'UN Treasury'!$A$1:$BQ$224,_xlfn.XMATCH(J$1,'UN Treasury'!$A$1:$BQ$1,-1,1),FALSE)</f>
        <v>1.6659999999999999</v>
      </c>
      <c r="K11">
        <f>VLOOKUP($A11,'UN Treasury'!$A$1:$BQ$224,_xlfn.XMATCH(K$1,'UN Treasury'!$A$1:$BQ$1,-1,1),FALSE)</f>
        <v>1.6910000000000001</v>
      </c>
      <c r="L11">
        <f>VLOOKUP($A11,'UN Treasury'!$A$1:$BQ$224,_xlfn.XMATCH(L$1,'UN Treasury'!$A$1:$BQ$1,-1,1),FALSE)</f>
        <v>1.6910000000000001</v>
      </c>
      <c r="M11">
        <f>VLOOKUP($A11,'UN Treasury'!$A$1:$BQ$224,_xlfn.XMATCH(M$1,'UN Treasury'!$A$1:$BQ$1,-1,1),FALSE)</f>
        <v>1.6679999999999999</v>
      </c>
      <c r="N11">
        <f>VLOOKUP($A11,'UN Treasury'!$A$1:$BQ$224,_xlfn.XMATCH(N$1,'UN Treasury'!$A$1:$BQ$1,-1,1),FALSE)</f>
        <v>1.671</v>
      </c>
      <c r="O11">
        <f>VLOOKUP($A11,'UN Treasury'!$A$1:$BQ$224,_xlfn.XMATCH(O$1,'UN Treasury'!$A$1:$BQ$1,-1,1),FALSE)</f>
        <v>1.673</v>
      </c>
      <c r="P11">
        <f>VLOOKUP($A11,'UN Treasury'!$A$1:$BQ$224,_xlfn.XMATCH(P$1,'UN Treasury'!$A$1:$BQ$1,-1,1),FALSE)</f>
        <v>1.7050000000000001</v>
      </c>
      <c r="Q11">
        <f>VLOOKUP($A11,'UN Treasury'!$A$1:$BQ$224,_xlfn.XMATCH(Q$1,'UN Treasury'!$A$1:$BQ$1,-1,1),FALSE)</f>
        <v>1.7549999999999999</v>
      </c>
      <c r="R11">
        <f>VLOOKUP($A11,'UN Treasury'!$A$1:$BQ$224,_xlfn.XMATCH(R$1,'UN Treasury'!$A$1:$BQ$1,-1,1),FALSE)</f>
        <v>1.7210000000000001</v>
      </c>
      <c r="S11">
        <f>VLOOKUP($A11,'UN Treasury'!$A$1:$BQ$224,_xlfn.XMATCH(S$1,'UN Treasury'!$A$1:$BQ$1,-1,1),FALSE)</f>
        <v>1.796</v>
      </c>
      <c r="T11">
        <f>VLOOKUP($A11,'UN Treasury'!$A$1:$BQ$224,_xlfn.XMATCH(T$1,'UN Treasury'!$A$1:$BQ$1,-1,1),FALSE)</f>
        <v>1.891</v>
      </c>
      <c r="U11">
        <f>VLOOKUP($A11,'UN Treasury'!$A$1:$BQ$224,_xlfn.XMATCH(U$1,'UN Treasury'!$A$1:$BQ$1,-1,1),FALSE)</f>
        <v>1.9159999999999999</v>
      </c>
      <c r="V11">
        <f>VLOOKUP($A11,'UN Treasury'!$A$1:$BQ$224,_xlfn.XMATCH(V$1,'UN Treasury'!$A$1:$BQ$1,-1,1),FALSE)</f>
        <v>1.863</v>
      </c>
      <c r="W11">
        <f>VLOOKUP($A11,'UN Treasury'!$A$1:$BQ$224,_xlfn.XMATCH(W$1,'UN Treasury'!$A$1:$BQ$1,-1,1),FALSE)</f>
        <v>1.8440000000000001</v>
      </c>
      <c r="X11">
        <f>VLOOKUP($A11,'UN Treasury'!$A$1:$BQ$224,_xlfn.XMATCH(X$1,'UN Treasury'!$A$1:$BQ$1,-1,1),FALSE)</f>
        <v>1.788</v>
      </c>
      <c r="Y11">
        <f>VLOOKUP($A11,'UN Treasury'!$A$1:$BQ$224,_xlfn.XMATCH(Y$1,'UN Treasury'!$A$1:$BQ$1,-1,1),FALSE)</f>
        <v>1.7749999999999999</v>
      </c>
      <c r="Z11">
        <f>VLOOKUP($A11,'UN Treasury'!$A$1:$BQ$224,_xlfn.XMATCH(Z$1,'UN Treasury'!$A$1:$BQ$1,-1,1),FALSE)</f>
        <v>1.7849999999999999</v>
      </c>
      <c r="AA11">
        <f>VLOOKUP($A11,'UN Treasury'!$A$1:$BQ$224,_xlfn.XMATCH(AA$1,'UN Treasury'!$A$1:$BQ$1,-1,1),FALSE)</f>
        <v>1.796</v>
      </c>
      <c r="AB11">
        <f>VLOOKUP($A11,'UN Treasury'!$A$1:$BQ$224,_xlfn.XMATCH(AB$1,'UN Treasury'!$A$1:$BQ$1,-1,1),FALSE)</f>
        <v>1.8049999999999999</v>
      </c>
      <c r="AC11">
        <f>VLOOKUP($A11,'UN Treasury'!$A$1:$BQ$224,_xlfn.XMATCH(AC$1,'UN Treasury'!$A$1:$BQ$1,-1,1),FALSE)</f>
        <v>1.81</v>
      </c>
      <c r="AD11">
        <f>VLOOKUP($A11,'UN Treasury'!$A$1:$BQ$224,_xlfn.XMATCH(AD$1,'UN Treasury'!$A$1:$BQ$1,-1,1),FALSE)</f>
        <v>1.8220000000000001</v>
      </c>
      <c r="AE11">
        <f>VLOOKUP($A11,'UN Treasury'!$A$1:$BQ$224,_xlfn.XMATCH(AE$1,'UN Treasury'!$A$1:$BQ$1,-1,1),FALSE)</f>
        <v>1.788</v>
      </c>
      <c r="AF11">
        <f>VLOOKUP($A11,'UN Treasury'!$A$1:$BQ$224,_xlfn.XMATCH(AF$1,'UN Treasury'!$A$1:$BQ$1,-1,1),FALSE)</f>
        <v>1.8240000000000001</v>
      </c>
      <c r="AG11">
        <f>VLOOKUP($A11,'UN Treasury'!$A$1:$BQ$224,_xlfn.XMATCH(AG$1,'UN Treasury'!$A$1:$BQ$1,-1,1),FALSE)</f>
        <v>1.786</v>
      </c>
      <c r="AH11">
        <f>VLOOKUP($A11,'UN Treasury'!$A$1:$BQ$224,_xlfn.XMATCH(AH$1,'UN Treasury'!$A$1:$BQ$1,-1,1),FALSE)</f>
        <v>1.8129999999999999</v>
      </c>
      <c r="AI11">
        <f>VLOOKUP($A11,'UN Treasury'!$A$1:$BQ$224,_xlfn.XMATCH(AI$1,'UN Treasury'!$A$1:$BQ$1,-1,1),FALSE)</f>
        <v>1.833</v>
      </c>
      <c r="AJ11">
        <f>VLOOKUP($A11,'UN Treasury'!$A$1:$BQ$224,_xlfn.XMATCH(AJ$1,'UN Treasury'!$A$1:$BQ$1,-1,1),FALSE)</f>
        <v>1.84</v>
      </c>
      <c r="AK11">
        <f>VLOOKUP($A11,'UN Treasury'!$A$1:$BQ$224,_xlfn.XMATCH(AK$1,'UN Treasury'!$A$1:$BQ$1,-1,1),FALSE)</f>
        <v>1.821</v>
      </c>
      <c r="AL11">
        <f>VLOOKUP($A11,'UN Treasury'!$A$1:$BQ$224,_xlfn.XMATCH(AL$1,'UN Treasury'!$A$1:$BQ$1,-1,1),FALSE)</f>
        <v>1.7849999999999999</v>
      </c>
      <c r="AM11">
        <f>VLOOKUP($A11,'UN Treasury'!$A$1:$BQ$224,_xlfn.XMATCH(AM$1,'UN Treasury'!$A$1:$BQ$1,-1,1),FALSE)</f>
        <v>1.7629999999999999</v>
      </c>
      <c r="AN11">
        <f>VLOOKUP($A11,'UN Treasury'!$A$1:$BQ$224,_xlfn.XMATCH(AN$1,'UN Treasury'!$A$1:$BQ$1,-1,1),FALSE)</f>
        <v>1.8140000000000001</v>
      </c>
      <c r="AO11">
        <f>VLOOKUP($A11,'UN Treasury'!$A$1:$BQ$224,_xlfn.XMATCH(AO$1,'UN Treasury'!$A$1:$BQ$1,-1,1),FALSE)</f>
        <v>1.7929999999999999</v>
      </c>
      <c r="AP11">
        <f>VLOOKUP($A11,'UN Treasury'!$A$1:$BQ$224,_xlfn.XMATCH(AP$1,'UN Treasury'!$A$1:$BQ$1,-1,1),FALSE)</f>
        <v>1.7809999999999999</v>
      </c>
      <c r="AQ11">
        <f>VLOOKUP($A11,'UN Treasury'!$A$1:$BQ$224,_xlfn.XMATCH(AQ$1,'UN Treasury'!$A$1:$BQ$1,-1,1),FALSE)</f>
        <v>1.8260000000000001</v>
      </c>
      <c r="AR11">
        <f>VLOOKUP($A11,'UN Treasury'!$A$1:$BQ$224,_xlfn.XMATCH(AR$1,'UN Treasury'!$A$1:$BQ$1,-1,1),FALSE)</f>
        <v>1.825</v>
      </c>
      <c r="AS11">
        <f>VLOOKUP($A11,'UN Treasury'!$A$1:$BQ$224,_xlfn.XMATCH(AS$1,'UN Treasury'!$A$1:$BQ$1,-1,1),FALSE)</f>
        <v>1.8169999999999999</v>
      </c>
      <c r="AT11">
        <f>VLOOKUP($A11,'UN Treasury'!$A$1:$BQ$224,_xlfn.XMATCH(AT$1,'UN Treasury'!$A$1:$BQ$1,-1,1),FALSE)</f>
        <v>1.835</v>
      </c>
      <c r="AU11">
        <f>VLOOKUP($A11,'UN Treasury'!$A$1:$BQ$224,_xlfn.XMATCH(AU$1,'UN Treasury'!$A$1:$BQ$1,-1,1),FALSE)</f>
        <v>1.901</v>
      </c>
      <c r="AV11">
        <f>VLOOKUP($A11,'UN Treasury'!$A$1:$BQ$224,_xlfn.XMATCH(AV$1,'UN Treasury'!$A$1:$BQ$1,-1,1),FALSE)</f>
        <v>2.0179999999999998</v>
      </c>
      <c r="AW11">
        <f>VLOOKUP($A11,'UN Treasury'!$A$1:$BQ$224,_xlfn.XMATCH(AW$1,'UN Treasury'!$A$1:$BQ$1,-1,1),FALSE)</f>
        <v>1.9490000000000001</v>
      </c>
      <c r="AX11">
        <f>VLOOKUP($A11,'UN Treasury'!$A$1:$BQ$224,_xlfn.XMATCH(AX$1,'UN Treasury'!$A$1:$BQ$1,-1,1),FALSE)</f>
        <v>1.8879999999999999</v>
      </c>
      <c r="AY11">
        <f>VLOOKUP($A11,'UN Treasury'!$A$1:$BQ$224,_xlfn.XMATCH(AY$1,'UN Treasury'!$A$1:$BQ$1,-1,1),FALSE)</f>
        <v>1.948</v>
      </c>
      <c r="AZ11">
        <f>VLOOKUP($A11,'UN Treasury'!$A$1:$BQ$224,_xlfn.XMATCH(AZ$1,'UN Treasury'!$A$1:$BQ$1,-1,1),FALSE)</f>
        <v>1.873</v>
      </c>
      <c r="BA11">
        <f>VLOOKUP($A11,'UN Treasury'!$A$1:$BQ$224,_xlfn.XMATCH(BA$1,'UN Treasury'!$A$1:$BQ$1,-1,1),FALSE)</f>
        <v>1.853</v>
      </c>
      <c r="BB11">
        <f>VLOOKUP($A11,'UN Treasury'!$A$1:$BQ$224,_xlfn.XMATCH(BB$1,'UN Treasury'!$A$1:$BQ$1,-1,1),FALSE)</f>
        <v>1.7989999999999999</v>
      </c>
      <c r="BC11">
        <f>VLOOKUP($A11,'UN Treasury'!$A$1:$BQ$224,_xlfn.XMATCH(BC$1,'UN Treasury'!$A$1:$BQ$1,-1,1),FALSE)</f>
        <v>1.7849999999999999</v>
      </c>
      <c r="BD11">
        <f>VLOOKUP($A11,'UN Treasury'!$A$1:$BQ$224,_xlfn.XMATCH(BD$1,'UN Treasury'!$A$1:$BQ$1,-1,1),FALSE)</f>
        <v>1.7170000000000001</v>
      </c>
      <c r="BE11">
        <f>VLOOKUP($A11,'UN Treasury'!$A$1:$BQ$224,_xlfn.XMATCH(BE$1,'UN Treasury'!$A$1:$BQ$1,-1,1),FALSE)</f>
        <v>1.7130000000000001</v>
      </c>
      <c r="BF11">
        <f>VLOOKUP($A11,'UN Treasury'!$A$1:$BQ$224,_xlfn.XMATCH(BF$1,'UN Treasury'!$A$1:$BQ$1,-1,1),FALSE)</f>
        <v>1.736</v>
      </c>
      <c r="BG11">
        <f>VLOOKUP($A11,'UN Treasury'!$A$1:$BQ$224,_xlfn.XMATCH(BG$1,'UN Treasury'!$A$1:$BQ$1,-1,1),FALSE)</f>
        <v>1.706</v>
      </c>
      <c r="BH11">
        <f>VLOOKUP($A11,'UN Treasury'!$A$1:$BQ$224,_xlfn.XMATCH(BH$1,'UN Treasury'!$A$1:$BQ$1,-1,1),FALSE)</f>
        <v>1.6819999999999999</v>
      </c>
      <c r="BI11">
        <f>VLOOKUP($A11,'UN Treasury'!$A$1:$BQ$224,_xlfn.XMATCH(BI$1,'UN Treasury'!$A$1:$BQ$1,-1,1),FALSE)</f>
        <v>1.657</v>
      </c>
      <c r="BJ11">
        <f>VLOOKUP($A11,'UN Treasury'!$A$1:$BQ$224,_xlfn.XMATCH(BJ$1,'UN Treasury'!$A$1:$BQ$1,-1,1),FALSE)</f>
        <v>1.645</v>
      </c>
      <c r="BK11">
        <f>VLOOKUP($A11,'UN Treasury'!$A$1:$BQ$224,_xlfn.XMATCH(BK$1,'UN Treasury'!$A$1:$BQ$1,-1,1),FALSE)</f>
        <v>1.64</v>
      </c>
      <c r="BL11">
        <f>VLOOKUP($A11,'UN Treasury'!$A$1:$BQ$224,_xlfn.XMATCH(BL$1,'UN Treasury'!$A$1:$BQ$1,-1,1),FALSE)</f>
        <v>1.603</v>
      </c>
      <c r="BM11">
        <f>VLOOKUP($A11,'UN Treasury'!$A$1:$BQ$224,_xlfn.XMATCH(BM$1,'UN Treasury'!$A$1:$BQ$1,-1,1),FALSE)</f>
        <v>1.6160000000000001</v>
      </c>
      <c r="BN11">
        <f>VLOOKUP($A11,'UN Treasury'!$A$1:$BQ$224,_xlfn.XMATCH(BN$1,'UN Treasury'!$A$1:$BQ$1,-1,1),FALSE)</f>
        <v>1.669</v>
      </c>
      <c r="BO11">
        <f>VLOOKUP($A11,'UN Treasury'!$A$1:$BQ$224,_xlfn.XMATCH(BO$1,'UN Treasury'!$A$1:$BQ$1,-1,1),FALSE)</f>
        <v>1.6379999999999999</v>
      </c>
      <c r="BP11">
        <f>VLOOKUP($A11,'UN Treasury'!$A$1:$BQ$224,_xlfn.XMATCH(BP$1,'UN Treasury'!$A$1:$BQ$1,-1,1),FALSE)</f>
        <v>1.611</v>
      </c>
      <c r="BQ11">
        <f>VLOOKUP($A11,'UN Treasury'!$A$1:$BQ$224,_xlfn.XMATCH(BQ$1,'UN Treasury'!$A$1:$BQ$1,-1,1),FALSE)</f>
        <v>1.6080000000000001</v>
      </c>
    </row>
    <row r="12" spans="1:69" x14ac:dyDescent="0.25">
      <c r="A12" t="s">
        <v>57</v>
      </c>
      <c r="B12">
        <f>VLOOKUP($A12,'UN Treasury'!$A$1:$BQ$224,_xlfn.XMATCH(B$1,'UN Treasury'!$A$1:$BQ$1,-1,1),FALSE)</f>
        <v>2</v>
      </c>
      <c r="C12">
        <f>VLOOKUP($A12,'UN Treasury'!$A$1:$BQ$224,_xlfn.XMATCH(C$1,'UN Treasury'!$A$1:$BQ$1,-1,1),FALSE)</f>
        <v>2</v>
      </c>
      <c r="D12">
        <f>VLOOKUP($A12,'UN Treasury'!$A$1:$BQ$224,_xlfn.XMATCH(D$1,'UN Treasury'!$A$1:$BQ$1,-1,1),FALSE)</f>
        <v>2</v>
      </c>
      <c r="E12">
        <f>VLOOKUP($A12,'UN Treasury'!$A$1:$BQ$224,_xlfn.XMATCH(E$1,'UN Treasury'!$A$1:$BQ$1,-1,1),FALSE)</f>
        <v>2</v>
      </c>
      <c r="F12">
        <f>VLOOKUP($A12,'UN Treasury'!$A$1:$BQ$224,_xlfn.XMATCH(F$1,'UN Treasury'!$A$1:$BQ$1,-1,1),FALSE)</f>
        <v>2</v>
      </c>
      <c r="G12">
        <f>VLOOKUP($A12,'UN Treasury'!$A$1:$BQ$224,_xlfn.XMATCH(G$1,'UN Treasury'!$A$1:$BQ$1,-1,1),FALSE)</f>
        <v>2</v>
      </c>
      <c r="H12">
        <f>VLOOKUP($A12,'UN Treasury'!$A$1:$BQ$224,_xlfn.XMATCH(H$1,'UN Treasury'!$A$1:$BQ$1,-1,1),FALSE)</f>
        <v>2</v>
      </c>
      <c r="I12">
        <f>VLOOKUP($A12,'UN Treasury'!$A$1:$BQ$224,_xlfn.XMATCH(I$1,'UN Treasury'!$A$1:$BQ$1,-1,1),FALSE)</f>
        <v>2</v>
      </c>
      <c r="J12">
        <f>VLOOKUP($A12,'UN Treasury'!$A$1:$BQ$224,_xlfn.XMATCH(J$1,'UN Treasury'!$A$1:$BQ$1,-1,1),FALSE)</f>
        <v>2</v>
      </c>
      <c r="K12">
        <f>VLOOKUP($A12,'UN Treasury'!$A$1:$BQ$224,_xlfn.XMATCH(K$1,'UN Treasury'!$A$1:$BQ$1,-1,1),FALSE)</f>
        <v>2</v>
      </c>
      <c r="L12">
        <f>VLOOKUP($A12,'UN Treasury'!$A$1:$BQ$224,_xlfn.XMATCH(L$1,'UN Treasury'!$A$1:$BQ$1,-1,1),FALSE)</f>
        <v>2</v>
      </c>
      <c r="M12">
        <f>VLOOKUP($A12,'UN Treasury'!$A$1:$BQ$224,_xlfn.XMATCH(M$1,'UN Treasury'!$A$1:$BQ$1,-1,1),FALSE)</f>
        <v>2</v>
      </c>
      <c r="N12">
        <f>VLOOKUP($A12,'UN Treasury'!$A$1:$BQ$224,_xlfn.XMATCH(N$1,'UN Treasury'!$A$1:$BQ$1,-1,1),FALSE)</f>
        <v>2</v>
      </c>
      <c r="O12">
        <f>VLOOKUP($A12,'UN Treasury'!$A$1:$BQ$224,_xlfn.XMATCH(O$1,'UN Treasury'!$A$1:$BQ$1,-1,1),FALSE)</f>
        <v>2</v>
      </c>
      <c r="P12">
        <f>VLOOKUP($A12,'UN Treasury'!$A$1:$BQ$224,_xlfn.XMATCH(P$1,'UN Treasury'!$A$1:$BQ$1,-1,1),FALSE)</f>
        <v>2</v>
      </c>
      <c r="Q12">
        <f>VLOOKUP($A12,'UN Treasury'!$A$1:$BQ$224,_xlfn.XMATCH(Q$1,'UN Treasury'!$A$1:$BQ$1,-1,1),FALSE)</f>
        <v>2</v>
      </c>
      <c r="R12">
        <f>VLOOKUP($A12,'UN Treasury'!$A$1:$BQ$224,_xlfn.XMATCH(R$1,'UN Treasury'!$A$1:$BQ$1,-1,1),FALSE)</f>
        <v>2</v>
      </c>
      <c r="S12">
        <f>VLOOKUP($A12,'UN Treasury'!$A$1:$BQ$224,_xlfn.XMATCH(S$1,'UN Treasury'!$A$1:$BQ$1,-1,1),FALSE)</f>
        <v>2</v>
      </c>
      <c r="T12">
        <f>VLOOKUP($A12,'UN Treasury'!$A$1:$BQ$224,_xlfn.XMATCH(T$1,'UN Treasury'!$A$1:$BQ$1,-1,1),FALSE)</f>
        <v>2</v>
      </c>
      <c r="U12">
        <f>VLOOKUP($A12,'UN Treasury'!$A$1:$BQ$224,_xlfn.XMATCH(U$1,'UN Treasury'!$A$1:$BQ$1,-1,1),FALSE)</f>
        <v>2</v>
      </c>
      <c r="V12">
        <f>VLOOKUP($A12,'UN Treasury'!$A$1:$BQ$224,_xlfn.XMATCH(V$1,'UN Treasury'!$A$1:$BQ$1,-1,1),FALSE)</f>
        <v>2</v>
      </c>
      <c r="W12">
        <f>VLOOKUP($A12,'UN Treasury'!$A$1:$BQ$224,_xlfn.XMATCH(W$1,'UN Treasury'!$A$1:$BQ$1,-1,1),FALSE)</f>
        <v>2</v>
      </c>
      <c r="X12">
        <f>VLOOKUP($A12,'UN Treasury'!$A$1:$BQ$224,_xlfn.XMATCH(X$1,'UN Treasury'!$A$1:$BQ$1,-1,1),FALSE)</f>
        <v>2</v>
      </c>
      <c r="Y12">
        <f>VLOOKUP($A12,'UN Treasury'!$A$1:$BQ$224,_xlfn.XMATCH(Y$1,'UN Treasury'!$A$1:$BQ$1,-1,1),FALSE)</f>
        <v>2</v>
      </c>
      <c r="Z12">
        <f>VLOOKUP($A12,'UN Treasury'!$A$1:$BQ$224,_xlfn.XMATCH(Z$1,'UN Treasury'!$A$1:$BQ$1,-1,1),FALSE)</f>
        <v>2</v>
      </c>
      <c r="AA12">
        <f>VLOOKUP($A12,'UN Treasury'!$A$1:$BQ$224,_xlfn.XMATCH(AA$1,'UN Treasury'!$A$1:$BQ$1,-1,1),FALSE)</f>
        <v>2</v>
      </c>
      <c r="AB12">
        <f>VLOOKUP($A12,'UN Treasury'!$A$1:$BQ$224,_xlfn.XMATCH(AB$1,'UN Treasury'!$A$1:$BQ$1,-1,1),FALSE)</f>
        <v>2</v>
      </c>
      <c r="AC12">
        <f>VLOOKUP($A12,'UN Treasury'!$A$1:$BQ$224,_xlfn.XMATCH(AC$1,'UN Treasury'!$A$1:$BQ$1,-1,1),FALSE)</f>
        <v>2</v>
      </c>
      <c r="AD12">
        <f>VLOOKUP($A12,'UN Treasury'!$A$1:$BQ$224,_xlfn.XMATCH(AD$1,'UN Treasury'!$A$1:$BQ$1,-1,1),FALSE)</f>
        <v>2</v>
      </c>
      <c r="AE12">
        <f>VLOOKUP($A12,'UN Treasury'!$A$1:$BQ$224,_xlfn.XMATCH(AE$1,'UN Treasury'!$A$1:$BQ$1,-1,1),FALSE)</f>
        <v>2</v>
      </c>
      <c r="AF12">
        <f>VLOOKUP($A12,'UN Treasury'!$A$1:$BQ$224,_xlfn.XMATCH(AF$1,'UN Treasury'!$A$1:$BQ$1,-1,1),FALSE)</f>
        <v>2</v>
      </c>
      <c r="AG12">
        <f>VLOOKUP($A12,'UN Treasury'!$A$1:$BQ$224,_xlfn.XMATCH(AG$1,'UN Treasury'!$A$1:$BQ$1,-1,1),FALSE)</f>
        <v>2</v>
      </c>
      <c r="AH12">
        <f>VLOOKUP($A12,'UN Treasury'!$A$1:$BQ$224,_xlfn.XMATCH(AH$1,'UN Treasury'!$A$1:$BQ$1,-1,1),FALSE)</f>
        <v>2</v>
      </c>
      <c r="AI12">
        <f>VLOOKUP($A12,'UN Treasury'!$A$1:$BQ$224,_xlfn.XMATCH(AI$1,'UN Treasury'!$A$1:$BQ$1,-1,1),FALSE)</f>
        <v>2</v>
      </c>
      <c r="AJ12">
        <f>VLOOKUP($A12,'UN Treasury'!$A$1:$BQ$224,_xlfn.XMATCH(AJ$1,'UN Treasury'!$A$1:$BQ$1,-1,1),FALSE)</f>
        <v>2</v>
      </c>
      <c r="AK12">
        <f>VLOOKUP($A12,'UN Treasury'!$A$1:$BQ$224,_xlfn.XMATCH(AK$1,'UN Treasury'!$A$1:$BQ$1,-1,1),FALSE)</f>
        <v>2</v>
      </c>
      <c r="AL12">
        <f>VLOOKUP($A12,'UN Treasury'!$A$1:$BQ$224,_xlfn.XMATCH(AL$1,'UN Treasury'!$A$1:$BQ$1,-1,1),FALSE)</f>
        <v>2</v>
      </c>
      <c r="AM12">
        <f>VLOOKUP($A12,'UN Treasury'!$A$1:$BQ$224,_xlfn.XMATCH(AM$1,'UN Treasury'!$A$1:$BQ$1,-1,1),FALSE)</f>
        <v>2</v>
      </c>
      <c r="AN12">
        <f>VLOOKUP($A12,'UN Treasury'!$A$1:$BQ$224,_xlfn.XMATCH(AN$1,'UN Treasury'!$A$1:$BQ$1,-1,1),FALSE)</f>
        <v>2</v>
      </c>
      <c r="AO12">
        <f>VLOOKUP($A12,'UN Treasury'!$A$1:$BQ$224,_xlfn.XMATCH(AO$1,'UN Treasury'!$A$1:$BQ$1,-1,1),FALSE)</f>
        <v>2</v>
      </c>
      <c r="AP12">
        <f>VLOOKUP($A12,'UN Treasury'!$A$1:$BQ$224,_xlfn.XMATCH(AP$1,'UN Treasury'!$A$1:$BQ$1,-1,1),FALSE)</f>
        <v>2</v>
      </c>
      <c r="AQ12">
        <f>VLOOKUP($A12,'UN Treasury'!$A$1:$BQ$224,_xlfn.XMATCH(AQ$1,'UN Treasury'!$A$1:$BQ$1,-1,1),FALSE)</f>
        <v>2</v>
      </c>
      <c r="AR12">
        <f>VLOOKUP($A12,'UN Treasury'!$A$1:$BQ$224,_xlfn.XMATCH(AR$1,'UN Treasury'!$A$1:$BQ$1,-1,1),FALSE)</f>
        <v>2</v>
      </c>
      <c r="AS12">
        <f>VLOOKUP($A12,'UN Treasury'!$A$1:$BQ$224,_xlfn.XMATCH(AS$1,'UN Treasury'!$A$1:$BQ$1,-1,1),FALSE)</f>
        <v>2</v>
      </c>
      <c r="AT12">
        <f>VLOOKUP($A12,'UN Treasury'!$A$1:$BQ$224,_xlfn.XMATCH(AT$1,'UN Treasury'!$A$1:$BQ$1,-1,1),FALSE)</f>
        <v>2</v>
      </c>
      <c r="AU12">
        <f>VLOOKUP($A12,'UN Treasury'!$A$1:$BQ$224,_xlfn.XMATCH(AU$1,'UN Treasury'!$A$1:$BQ$1,-1,1),FALSE)</f>
        <v>2</v>
      </c>
      <c r="AV12">
        <f>VLOOKUP($A12,'UN Treasury'!$A$1:$BQ$224,_xlfn.XMATCH(AV$1,'UN Treasury'!$A$1:$BQ$1,-1,1),FALSE)</f>
        <v>2</v>
      </c>
      <c r="AW12">
        <f>VLOOKUP($A12,'UN Treasury'!$A$1:$BQ$224,_xlfn.XMATCH(AW$1,'UN Treasury'!$A$1:$BQ$1,-1,1),FALSE)</f>
        <v>2</v>
      </c>
      <c r="AX12">
        <f>VLOOKUP($A12,'UN Treasury'!$A$1:$BQ$224,_xlfn.XMATCH(AX$1,'UN Treasury'!$A$1:$BQ$1,-1,1),FALSE)</f>
        <v>2</v>
      </c>
      <c r="AY12">
        <f>VLOOKUP($A12,'UN Treasury'!$A$1:$BQ$224,_xlfn.XMATCH(AY$1,'UN Treasury'!$A$1:$BQ$1,-1,1),FALSE)</f>
        <v>2</v>
      </c>
      <c r="AZ12">
        <f>VLOOKUP($A12,'UN Treasury'!$A$1:$BQ$224,_xlfn.XMATCH(AZ$1,'UN Treasury'!$A$1:$BQ$1,-1,1),FALSE)</f>
        <v>2</v>
      </c>
      <c r="BA12">
        <f>VLOOKUP($A12,'UN Treasury'!$A$1:$BQ$224,_xlfn.XMATCH(BA$1,'UN Treasury'!$A$1:$BQ$1,-1,1),FALSE)</f>
        <v>2</v>
      </c>
      <c r="BB12">
        <f>VLOOKUP($A12,'UN Treasury'!$A$1:$BQ$224,_xlfn.XMATCH(BB$1,'UN Treasury'!$A$1:$BQ$1,-1,1),FALSE)</f>
        <v>2</v>
      </c>
      <c r="BC12">
        <f>VLOOKUP($A12,'UN Treasury'!$A$1:$BQ$224,_xlfn.XMATCH(BC$1,'UN Treasury'!$A$1:$BQ$1,-1,1),FALSE)</f>
        <v>2</v>
      </c>
      <c r="BD12">
        <f>VLOOKUP($A12,'UN Treasury'!$A$1:$BQ$224,_xlfn.XMATCH(BD$1,'UN Treasury'!$A$1:$BQ$1,-1,1),FALSE)</f>
        <v>2</v>
      </c>
      <c r="BE12">
        <f>VLOOKUP($A12,'UN Treasury'!$A$1:$BQ$224,_xlfn.XMATCH(BE$1,'UN Treasury'!$A$1:$BQ$1,-1,1),FALSE)</f>
        <v>2</v>
      </c>
      <c r="BF12">
        <f>VLOOKUP($A12,'UN Treasury'!$A$1:$BQ$224,_xlfn.XMATCH(BF$1,'UN Treasury'!$A$1:$BQ$1,-1,1),FALSE)</f>
        <v>2</v>
      </c>
      <c r="BG12">
        <f>VLOOKUP($A12,'UN Treasury'!$A$1:$BQ$224,_xlfn.XMATCH(BG$1,'UN Treasury'!$A$1:$BQ$1,-1,1),FALSE)</f>
        <v>2</v>
      </c>
      <c r="BH12">
        <f>VLOOKUP($A12,'UN Treasury'!$A$1:$BQ$224,_xlfn.XMATCH(BH$1,'UN Treasury'!$A$1:$BQ$1,-1,1),FALSE)</f>
        <v>2</v>
      </c>
      <c r="BI12">
        <f>VLOOKUP($A12,'UN Treasury'!$A$1:$BQ$224,_xlfn.XMATCH(BI$1,'UN Treasury'!$A$1:$BQ$1,-1,1),FALSE)</f>
        <v>2</v>
      </c>
      <c r="BJ12">
        <f>VLOOKUP($A12,'UN Treasury'!$A$1:$BQ$224,_xlfn.XMATCH(BJ$1,'UN Treasury'!$A$1:$BQ$1,-1,1),FALSE)</f>
        <v>2</v>
      </c>
      <c r="BK12">
        <f>VLOOKUP($A12,'UN Treasury'!$A$1:$BQ$224,_xlfn.XMATCH(BK$1,'UN Treasury'!$A$1:$BQ$1,-1,1),FALSE)</f>
        <v>2</v>
      </c>
      <c r="BL12">
        <f>VLOOKUP($A12,'UN Treasury'!$A$1:$BQ$224,_xlfn.XMATCH(BL$1,'UN Treasury'!$A$1:$BQ$1,-1,1),FALSE)</f>
        <v>2</v>
      </c>
      <c r="BM12">
        <f>VLOOKUP($A12,'UN Treasury'!$A$1:$BQ$224,_xlfn.XMATCH(BM$1,'UN Treasury'!$A$1:$BQ$1,-1,1),FALSE)</f>
        <v>2</v>
      </c>
      <c r="BN12">
        <f>VLOOKUP($A12,'UN Treasury'!$A$1:$BQ$224,_xlfn.XMATCH(BN$1,'UN Treasury'!$A$1:$BQ$1,-1,1),FALSE)</f>
        <v>2</v>
      </c>
      <c r="BO12">
        <f>VLOOKUP($A12,'UN Treasury'!$A$1:$BQ$224,_xlfn.XMATCH(BO$1,'UN Treasury'!$A$1:$BQ$1,-1,1),FALSE)</f>
        <v>2</v>
      </c>
      <c r="BP12">
        <f>VLOOKUP($A12,'UN Treasury'!$A$1:$BQ$224,_xlfn.XMATCH(BP$1,'UN Treasury'!$A$1:$BQ$1,-1,1),FALSE)</f>
        <v>2</v>
      </c>
      <c r="BQ12">
        <f>VLOOKUP($A12,'UN Treasury'!$A$1:$BQ$224,_xlfn.XMATCH(BQ$1,'UN Treasury'!$A$1:$BQ$1,-1,1),FALSE)</f>
        <v>2</v>
      </c>
    </row>
    <row r="13" spans="1:69" x14ac:dyDescent="0.25">
      <c r="A13" t="s">
        <v>56</v>
      </c>
      <c r="B13">
        <f>VLOOKUP($A13,'UN Treasury'!$A$1:$BQ$224,_xlfn.XMATCH(B$1,'UN Treasury'!$A$1:$BQ$1,-1,1),FALSE)</f>
        <v>122.889</v>
      </c>
      <c r="C13">
        <f>VLOOKUP($A13,'UN Treasury'!$A$1:$BQ$224,_xlfn.XMATCH(C$1,'UN Treasury'!$A$1:$BQ$1,-1,1),FALSE)</f>
        <v>122.58</v>
      </c>
      <c r="D13">
        <f>VLOOKUP($A13,'UN Treasury'!$A$1:$BQ$224,_xlfn.XMATCH(D$1,'UN Treasury'!$A$1:$BQ$1,-1,1),FALSE)</f>
        <v>122.511</v>
      </c>
      <c r="E13">
        <f>VLOOKUP($A13,'UN Treasury'!$A$1:$BQ$224,_xlfn.XMATCH(E$1,'UN Treasury'!$A$1:$BQ$1,-1,1),FALSE)</f>
        <v>122.23699999999999</v>
      </c>
      <c r="F13">
        <f>VLOOKUP($A13,'UN Treasury'!$A$1:$BQ$224,_xlfn.XMATCH(F$1,'UN Treasury'!$A$1:$BQ$1,-1,1),FALSE)</f>
        <v>122.503</v>
      </c>
      <c r="G13">
        <f>VLOOKUP($A13,'UN Treasury'!$A$1:$BQ$224,_xlfn.XMATCH(G$1,'UN Treasury'!$A$1:$BQ$1,-1,1),FALSE)</f>
        <v>122.276</v>
      </c>
      <c r="H13">
        <f>VLOOKUP($A13,'UN Treasury'!$A$1:$BQ$224,_xlfn.XMATCH(H$1,'UN Treasury'!$A$1:$BQ$1,-1,1),FALSE)</f>
        <v>122.029</v>
      </c>
      <c r="I13">
        <f>VLOOKUP($A13,'UN Treasury'!$A$1:$BQ$224,_xlfn.XMATCH(I$1,'UN Treasury'!$A$1:$BQ$1,-1,1),FALSE)</f>
        <v>122.029</v>
      </c>
      <c r="J13">
        <f>VLOOKUP($A13,'UN Treasury'!$A$1:$BQ$224,_xlfn.XMATCH(J$1,'UN Treasury'!$A$1:$BQ$1,-1,1),FALSE)</f>
        <v>122.029</v>
      </c>
      <c r="K13">
        <f>VLOOKUP($A13,'UN Treasury'!$A$1:$BQ$224,_xlfn.XMATCH(K$1,'UN Treasury'!$A$1:$BQ$1,-1,1),FALSE)</f>
        <v>121.65</v>
      </c>
      <c r="L13">
        <f>VLOOKUP($A13,'UN Treasury'!$A$1:$BQ$224,_xlfn.XMATCH(L$1,'UN Treasury'!$A$1:$BQ$1,-1,1),FALSE)</f>
        <v>121.25</v>
      </c>
      <c r="M13">
        <f>VLOOKUP($A13,'UN Treasury'!$A$1:$BQ$224,_xlfn.XMATCH(M$1,'UN Treasury'!$A$1:$BQ$1,-1,1),FALSE)</f>
        <v>121.2</v>
      </c>
      <c r="N13">
        <f>VLOOKUP($A13,'UN Treasury'!$A$1:$BQ$224,_xlfn.XMATCH(N$1,'UN Treasury'!$A$1:$BQ$1,-1,1),FALSE)</f>
        <v>121.3</v>
      </c>
      <c r="O13">
        <f>VLOOKUP($A13,'UN Treasury'!$A$1:$BQ$224,_xlfn.XMATCH(O$1,'UN Treasury'!$A$1:$BQ$1,-1,1),FALSE)</f>
        <v>121.5</v>
      </c>
      <c r="P13">
        <f>VLOOKUP($A13,'UN Treasury'!$A$1:$BQ$224,_xlfn.XMATCH(P$1,'UN Treasury'!$A$1:$BQ$1,-1,1),FALSE)</f>
        <v>121.6</v>
      </c>
      <c r="Q13">
        <f>VLOOKUP($A13,'UN Treasury'!$A$1:$BQ$224,_xlfn.XMATCH(Q$1,'UN Treasury'!$A$1:$BQ$1,-1,1),FALSE)</f>
        <v>121</v>
      </c>
      <c r="R13">
        <f>VLOOKUP($A13,'UN Treasury'!$A$1:$BQ$224,_xlfn.XMATCH(R$1,'UN Treasury'!$A$1:$BQ$1,-1,1),FALSE)</f>
        <v>121</v>
      </c>
      <c r="S13">
        <f>VLOOKUP($A13,'UN Treasury'!$A$1:$BQ$224,_xlfn.XMATCH(S$1,'UN Treasury'!$A$1:$BQ$1,-1,1),FALSE)</f>
        <v>121</v>
      </c>
      <c r="T13">
        <f>VLOOKUP($A13,'UN Treasury'!$A$1:$BQ$224,_xlfn.XMATCH(T$1,'UN Treasury'!$A$1:$BQ$1,-1,1),FALSE)</f>
        <v>121.2</v>
      </c>
      <c r="U13">
        <f>VLOOKUP($A13,'UN Treasury'!$A$1:$BQ$224,_xlfn.XMATCH(U$1,'UN Treasury'!$A$1:$BQ$1,-1,1),FALSE)</f>
        <v>121</v>
      </c>
      <c r="V13">
        <f>VLOOKUP($A13,'UN Treasury'!$A$1:$BQ$224,_xlfn.XMATCH(V$1,'UN Treasury'!$A$1:$BQ$1,-1,1),FALSE)</f>
        <v>119</v>
      </c>
      <c r="W13">
        <f>VLOOKUP($A13,'UN Treasury'!$A$1:$BQ$224,_xlfn.XMATCH(W$1,'UN Treasury'!$A$1:$BQ$1,-1,1),FALSE)</f>
        <v>119</v>
      </c>
      <c r="X13">
        <f>VLOOKUP($A13,'UN Treasury'!$A$1:$BQ$224,_xlfn.XMATCH(X$1,'UN Treasury'!$A$1:$BQ$1,-1,1),FALSE)</f>
        <v>119</v>
      </c>
      <c r="Y13">
        <f>VLOOKUP($A13,'UN Treasury'!$A$1:$BQ$224,_xlfn.XMATCH(Y$1,'UN Treasury'!$A$1:$BQ$1,-1,1),FALSE)</f>
        <v>119</v>
      </c>
      <c r="Z13">
        <f>VLOOKUP($A13,'UN Treasury'!$A$1:$BQ$224,_xlfn.XMATCH(Z$1,'UN Treasury'!$A$1:$BQ$1,-1,1),FALSE)</f>
        <v>117</v>
      </c>
      <c r="AA13">
        <f>VLOOKUP($A13,'UN Treasury'!$A$1:$BQ$224,_xlfn.XMATCH(AA$1,'UN Treasury'!$A$1:$BQ$1,-1,1),FALSE)</f>
        <v>117</v>
      </c>
      <c r="AB13">
        <f>VLOOKUP($A13,'UN Treasury'!$A$1:$BQ$224,_xlfn.XMATCH(AB$1,'UN Treasury'!$A$1:$BQ$1,-1,1),FALSE)</f>
        <v>117</v>
      </c>
      <c r="AC13">
        <f>VLOOKUP($A13,'UN Treasury'!$A$1:$BQ$224,_xlfn.XMATCH(AC$1,'UN Treasury'!$A$1:$BQ$1,-1,1),FALSE)</f>
        <v>109.5</v>
      </c>
      <c r="AD13">
        <f>VLOOKUP($A13,'UN Treasury'!$A$1:$BQ$224,_xlfn.XMATCH(AD$1,'UN Treasury'!$A$1:$BQ$1,-1,1),FALSE)</f>
        <v>109.5</v>
      </c>
      <c r="AE13">
        <f>VLOOKUP($A13,'UN Treasury'!$A$1:$BQ$224,_xlfn.XMATCH(AE$1,'UN Treasury'!$A$1:$BQ$1,-1,1),FALSE)</f>
        <v>109.5</v>
      </c>
      <c r="AF13">
        <f>VLOOKUP($A13,'UN Treasury'!$A$1:$BQ$224,_xlfn.XMATCH(AF$1,'UN Treasury'!$A$1:$BQ$1,-1,1),FALSE)</f>
        <v>109.5</v>
      </c>
      <c r="AG13">
        <f>VLOOKUP($A13,'UN Treasury'!$A$1:$BQ$224,_xlfn.XMATCH(AG$1,'UN Treasury'!$A$1:$BQ$1,-1,1),FALSE)</f>
        <v>109.5</v>
      </c>
      <c r="AH13">
        <f>VLOOKUP($A13,'UN Treasury'!$A$1:$BQ$224,_xlfn.XMATCH(AH$1,'UN Treasury'!$A$1:$BQ$1,-1,1),FALSE)</f>
        <v>109.75</v>
      </c>
      <c r="AI13">
        <f>VLOOKUP($A13,'UN Treasury'!$A$1:$BQ$224,_xlfn.XMATCH(AI$1,'UN Treasury'!$A$1:$BQ$1,-1,1),FALSE)</f>
        <v>110.5</v>
      </c>
      <c r="AJ13">
        <f>VLOOKUP($A13,'UN Treasury'!$A$1:$BQ$224,_xlfn.XMATCH(AJ$1,'UN Treasury'!$A$1:$BQ$1,-1,1),FALSE)</f>
        <v>110</v>
      </c>
      <c r="AK13">
        <f>VLOOKUP($A13,'UN Treasury'!$A$1:$BQ$224,_xlfn.XMATCH(AK$1,'UN Treasury'!$A$1:$BQ$1,-1,1),FALSE)</f>
        <v>109.5</v>
      </c>
      <c r="AL13">
        <f>VLOOKUP($A13,'UN Treasury'!$A$1:$BQ$224,_xlfn.XMATCH(AL$1,'UN Treasury'!$A$1:$BQ$1,-1,1),FALSE)</f>
        <v>108.5</v>
      </c>
      <c r="AM13">
        <f>VLOOKUP($A13,'UN Treasury'!$A$1:$BQ$224,_xlfn.XMATCH(AM$1,'UN Treasury'!$A$1:$BQ$1,-1,1),FALSE)</f>
        <v>107.5</v>
      </c>
      <c r="AN13">
        <f>VLOOKUP($A13,'UN Treasury'!$A$1:$BQ$224,_xlfn.XMATCH(AN$1,'UN Treasury'!$A$1:$BQ$1,-1,1),FALSE)</f>
        <v>107</v>
      </c>
      <c r="AO13">
        <f>VLOOKUP($A13,'UN Treasury'!$A$1:$BQ$224,_xlfn.XMATCH(AO$1,'UN Treasury'!$A$1:$BQ$1,-1,1),FALSE)</f>
        <v>106</v>
      </c>
      <c r="AP13">
        <f>VLOOKUP($A13,'UN Treasury'!$A$1:$BQ$224,_xlfn.XMATCH(AP$1,'UN Treasury'!$A$1:$BQ$1,-1,1),FALSE)</f>
        <v>105</v>
      </c>
      <c r="AQ13">
        <f>VLOOKUP($A13,'UN Treasury'!$A$1:$BQ$224,_xlfn.XMATCH(AQ$1,'UN Treasury'!$A$1:$BQ$1,-1,1),FALSE)</f>
        <v>104</v>
      </c>
      <c r="AR13">
        <f>VLOOKUP($A13,'UN Treasury'!$A$1:$BQ$224,_xlfn.XMATCH(AR$1,'UN Treasury'!$A$1:$BQ$1,-1,1),FALSE)</f>
        <v>103</v>
      </c>
      <c r="AS13">
        <f>VLOOKUP($A13,'UN Treasury'!$A$1:$BQ$224,_xlfn.XMATCH(AS$1,'UN Treasury'!$A$1:$BQ$1,-1,1),FALSE)</f>
        <v>102</v>
      </c>
      <c r="AT13">
        <f>VLOOKUP($A13,'UN Treasury'!$A$1:$BQ$224,_xlfn.XMATCH(AT$1,'UN Treasury'!$A$1:$BQ$1,-1,1),FALSE)</f>
        <v>101</v>
      </c>
      <c r="AU13">
        <f>VLOOKUP($A13,'UN Treasury'!$A$1:$BQ$224,_xlfn.XMATCH(AU$1,'UN Treasury'!$A$1:$BQ$1,-1,1),FALSE)</f>
        <v>100</v>
      </c>
      <c r="AV13">
        <f>VLOOKUP($A13,'UN Treasury'!$A$1:$BQ$224,_xlfn.XMATCH(AV$1,'UN Treasury'!$A$1:$BQ$1,-1,1),FALSE)</f>
        <v>101.569</v>
      </c>
      <c r="AW13">
        <f>VLOOKUP($A13,'UN Treasury'!$A$1:$BQ$224,_xlfn.XMATCH(AW$1,'UN Treasury'!$A$1:$BQ$1,-1,1),FALSE)</f>
        <v>95.692999999999998</v>
      </c>
      <c r="AX13">
        <f>VLOOKUP($A13,'UN Treasury'!$A$1:$BQ$224,_xlfn.XMATCH(AX$1,'UN Treasury'!$A$1:$BQ$1,-1,1),FALSE)</f>
        <v>94.936000000000007</v>
      </c>
      <c r="AY13">
        <f>VLOOKUP($A13,'UN Treasury'!$A$1:$BQ$224,_xlfn.XMATCH(AY$1,'UN Treasury'!$A$1:$BQ$1,-1,1),FALSE)</f>
        <v>93.53</v>
      </c>
      <c r="AZ13">
        <f>VLOOKUP($A13,'UN Treasury'!$A$1:$BQ$224,_xlfn.XMATCH(AZ$1,'UN Treasury'!$A$1:$BQ$1,-1,1),FALSE)</f>
        <v>93.12</v>
      </c>
      <c r="BA13">
        <f>VLOOKUP($A13,'UN Treasury'!$A$1:$BQ$224,_xlfn.XMATCH(BA$1,'UN Treasury'!$A$1:$BQ$1,-1,1),FALSE)</f>
        <v>86.38</v>
      </c>
      <c r="BB13">
        <f>VLOOKUP($A13,'UN Treasury'!$A$1:$BQ$224,_xlfn.XMATCH(BB$1,'UN Treasury'!$A$1:$BQ$1,-1,1),FALSE)</f>
        <v>86.018000000000001</v>
      </c>
      <c r="BC13">
        <f>VLOOKUP($A13,'UN Treasury'!$A$1:$BQ$224,_xlfn.XMATCH(BC$1,'UN Treasury'!$A$1:$BQ$1,-1,1),FALSE)</f>
        <v>85.44</v>
      </c>
      <c r="BD13">
        <f>VLOOKUP($A13,'UN Treasury'!$A$1:$BQ$224,_xlfn.XMATCH(BD$1,'UN Treasury'!$A$1:$BQ$1,-1,1),FALSE)</f>
        <v>85.727099999999993</v>
      </c>
      <c r="BE13">
        <f>VLOOKUP($A13,'UN Treasury'!$A$1:$BQ$224,_xlfn.XMATCH(BE$1,'UN Treasury'!$A$1:$BQ$1,-1,1),FALSE)</f>
        <v>85.882000000000005</v>
      </c>
      <c r="BF13">
        <f>VLOOKUP($A13,'UN Treasury'!$A$1:$BQ$224,_xlfn.XMATCH(BF$1,'UN Treasury'!$A$1:$BQ$1,-1,1),FALSE)</f>
        <v>85.702100000000002</v>
      </c>
      <c r="BG13">
        <f>VLOOKUP($A13,'UN Treasury'!$A$1:$BQ$224,_xlfn.XMATCH(BG$1,'UN Treasury'!$A$1:$BQ$1,-1,1),FALSE)</f>
        <v>85.587999999999994</v>
      </c>
      <c r="BH13">
        <f>VLOOKUP($A13,'UN Treasury'!$A$1:$BQ$224,_xlfn.XMATCH(BH$1,'UN Treasury'!$A$1:$BQ$1,-1,1),FALSE)</f>
        <v>85.359399999999994</v>
      </c>
      <c r="BI13">
        <f>VLOOKUP($A13,'UN Treasury'!$A$1:$BQ$224,_xlfn.XMATCH(BI$1,'UN Treasury'!$A$1:$BQ$1,-1,1),FALSE)</f>
        <v>84.844999999999999</v>
      </c>
      <c r="BJ13">
        <f>VLOOKUP($A13,'UN Treasury'!$A$1:$BQ$224,_xlfn.XMATCH(BJ$1,'UN Treasury'!$A$1:$BQ$1,-1,1),FALSE)</f>
        <v>84.639600000000002</v>
      </c>
      <c r="BK13">
        <f>VLOOKUP($A13,'UN Treasury'!$A$1:$BQ$224,_xlfn.XMATCH(BK$1,'UN Treasury'!$A$1:$BQ$1,-1,1),FALSE)</f>
        <v>84.605800000000002</v>
      </c>
      <c r="BL13">
        <f>VLOOKUP($A13,'UN Treasury'!$A$1:$BQ$224,_xlfn.XMATCH(BL$1,'UN Treasury'!$A$1:$BQ$1,-1,1),FALSE)</f>
        <v>84.734499999999997</v>
      </c>
      <c r="BM13">
        <f>VLOOKUP($A13,'UN Treasury'!$A$1:$BQ$224,_xlfn.XMATCH(BM$1,'UN Treasury'!$A$1:$BQ$1,-1,1),FALSE)</f>
        <v>84.760800000000003</v>
      </c>
      <c r="BN13">
        <f>VLOOKUP($A13,'UN Treasury'!$A$1:$BQ$224,_xlfn.XMATCH(BN$1,'UN Treasury'!$A$1:$BQ$1,-1,1),FALSE)</f>
        <v>84.45</v>
      </c>
      <c r="BO13">
        <f>VLOOKUP($A13,'UN Treasury'!$A$1:$BQ$224,_xlfn.XMATCH(BO$1,'UN Treasury'!$A$1:$BQ$1,-1,1),FALSE)</f>
        <v>84.776399999999995</v>
      </c>
      <c r="BP13">
        <f>VLOOKUP($A13,'UN Treasury'!$A$1:$BQ$224,_xlfn.XMATCH(BP$1,'UN Treasury'!$A$1:$BQ$1,-1,1),FALSE)</f>
        <v>84.713999999999999</v>
      </c>
      <c r="BQ13">
        <f>VLOOKUP($A13,'UN Treasury'!$A$1:$BQ$224,_xlfn.XMATCH(BQ$1,'UN Treasury'!$A$1:$BQ$1,-1,1),FALSE)</f>
        <v>84.461100000000002</v>
      </c>
    </row>
    <row r="14" spans="1:69" x14ac:dyDescent="0.25">
      <c r="A14" t="s">
        <v>53</v>
      </c>
      <c r="B14">
        <f>VLOOKUP($A14,'UN Treasury'!$A$1:$BQ$224,_xlfn.XMATCH(B$1,'UN Treasury'!$A$1:$BQ$1,-1,1),FALSE)</f>
        <v>0.377</v>
      </c>
      <c r="C14">
        <f>VLOOKUP($A14,'UN Treasury'!$A$1:$BQ$224,_xlfn.XMATCH(C$1,'UN Treasury'!$A$1:$BQ$1,-1,1),FALSE)</f>
        <v>0.377</v>
      </c>
      <c r="D14">
        <f>VLOOKUP($A14,'UN Treasury'!$A$1:$BQ$224,_xlfn.XMATCH(D$1,'UN Treasury'!$A$1:$BQ$1,-1,1),FALSE)</f>
        <v>0.377</v>
      </c>
      <c r="E14">
        <f>VLOOKUP($A14,'UN Treasury'!$A$1:$BQ$224,_xlfn.XMATCH(E$1,'UN Treasury'!$A$1:$BQ$1,-1,1),FALSE)</f>
        <v>0.377</v>
      </c>
      <c r="F14">
        <f>VLOOKUP($A14,'UN Treasury'!$A$1:$BQ$224,_xlfn.XMATCH(F$1,'UN Treasury'!$A$1:$BQ$1,-1,1),FALSE)</f>
        <v>0.377</v>
      </c>
      <c r="G14">
        <f>VLOOKUP($A14,'UN Treasury'!$A$1:$BQ$224,_xlfn.XMATCH(G$1,'UN Treasury'!$A$1:$BQ$1,-1,1),FALSE)</f>
        <v>0.377</v>
      </c>
      <c r="H14">
        <f>VLOOKUP($A14,'UN Treasury'!$A$1:$BQ$224,_xlfn.XMATCH(H$1,'UN Treasury'!$A$1:$BQ$1,-1,1),FALSE)</f>
        <v>0.377</v>
      </c>
      <c r="I14">
        <f>VLOOKUP($A14,'UN Treasury'!$A$1:$BQ$224,_xlfn.XMATCH(I$1,'UN Treasury'!$A$1:$BQ$1,-1,1),FALSE)</f>
        <v>0.377</v>
      </c>
      <c r="J14">
        <f>VLOOKUP($A14,'UN Treasury'!$A$1:$BQ$224,_xlfn.XMATCH(J$1,'UN Treasury'!$A$1:$BQ$1,-1,1),FALSE)</f>
        <v>0.377</v>
      </c>
      <c r="K14">
        <f>VLOOKUP($A14,'UN Treasury'!$A$1:$BQ$224,_xlfn.XMATCH(K$1,'UN Treasury'!$A$1:$BQ$1,-1,1),FALSE)</f>
        <v>0.377</v>
      </c>
      <c r="L14">
        <f>VLOOKUP($A14,'UN Treasury'!$A$1:$BQ$224,_xlfn.XMATCH(L$1,'UN Treasury'!$A$1:$BQ$1,-1,1),FALSE)</f>
        <v>0.377</v>
      </c>
      <c r="M14">
        <f>VLOOKUP($A14,'UN Treasury'!$A$1:$BQ$224,_xlfn.XMATCH(M$1,'UN Treasury'!$A$1:$BQ$1,-1,1),FALSE)</f>
        <v>0.377</v>
      </c>
      <c r="N14">
        <f>VLOOKUP($A14,'UN Treasury'!$A$1:$BQ$224,_xlfn.XMATCH(N$1,'UN Treasury'!$A$1:$BQ$1,-1,1),FALSE)</f>
        <v>0.377</v>
      </c>
      <c r="O14">
        <f>VLOOKUP($A14,'UN Treasury'!$A$1:$BQ$224,_xlfn.XMATCH(O$1,'UN Treasury'!$A$1:$BQ$1,-1,1),FALSE)</f>
        <v>0.377</v>
      </c>
      <c r="P14">
        <f>VLOOKUP($A14,'UN Treasury'!$A$1:$BQ$224,_xlfn.XMATCH(P$1,'UN Treasury'!$A$1:$BQ$1,-1,1),FALSE)</f>
        <v>0.377</v>
      </c>
      <c r="Q14">
        <f>VLOOKUP($A14,'UN Treasury'!$A$1:$BQ$224,_xlfn.XMATCH(Q$1,'UN Treasury'!$A$1:$BQ$1,-1,1),FALSE)</f>
        <v>0.377</v>
      </c>
      <c r="R14">
        <f>VLOOKUP($A14,'UN Treasury'!$A$1:$BQ$224,_xlfn.XMATCH(R$1,'UN Treasury'!$A$1:$BQ$1,-1,1),FALSE)</f>
        <v>0.377</v>
      </c>
      <c r="S14">
        <f>VLOOKUP($A14,'UN Treasury'!$A$1:$BQ$224,_xlfn.XMATCH(S$1,'UN Treasury'!$A$1:$BQ$1,-1,1),FALSE)</f>
        <v>0.377</v>
      </c>
      <c r="T14">
        <f>VLOOKUP($A14,'UN Treasury'!$A$1:$BQ$224,_xlfn.XMATCH(T$1,'UN Treasury'!$A$1:$BQ$1,-1,1),FALSE)</f>
        <v>0.377</v>
      </c>
      <c r="U14">
        <f>VLOOKUP($A14,'UN Treasury'!$A$1:$BQ$224,_xlfn.XMATCH(U$1,'UN Treasury'!$A$1:$BQ$1,-1,1),FALSE)</f>
        <v>0.377</v>
      </c>
      <c r="V14">
        <f>VLOOKUP($A14,'UN Treasury'!$A$1:$BQ$224,_xlfn.XMATCH(V$1,'UN Treasury'!$A$1:$BQ$1,-1,1),FALSE)</f>
        <v>0.377</v>
      </c>
      <c r="W14">
        <f>VLOOKUP($A14,'UN Treasury'!$A$1:$BQ$224,_xlfn.XMATCH(W$1,'UN Treasury'!$A$1:$BQ$1,-1,1),FALSE)</f>
        <v>0.377</v>
      </c>
      <c r="X14">
        <f>VLOOKUP($A14,'UN Treasury'!$A$1:$BQ$224,_xlfn.XMATCH(X$1,'UN Treasury'!$A$1:$BQ$1,-1,1),FALSE)</f>
        <v>0.377</v>
      </c>
      <c r="Y14">
        <f>VLOOKUP($A14,'UN Treasury'!$A$1:$BQ$224,_xlfn.XMATCH(Y$1,'UN Treasury'!$A$1:$BQ$1,-1,1),FALSE)</f>
        <v>0.377</v>
      </c>
      <c r="Z14">
        <f>VLOOKUP($A14,'UN Treasury'!$A$1:$BQ$224,_xlfn.XMATCH(Z$1,'UN Treasury'!$A$1:$BQ$1,-1,1),FALSE)</f>
        <v>0.377</v>
      </c>
      <c r="AA14">
        <f>VLOOKUP($A14,'UN Treasury'!$A$1:$BQ$224,_xlfn.XMATCH(AA$1,'UN Treasury'!$A$1:$BQ$1,-1,1),FALSE)</f>
        <v>0.377</v>
      </c>
      <c r="AB14">
        <f>VLOOKUP($A14,'UN Treasury'!$A$1:$BQ$224,_xlfn.XMATCH(AB$1,'UN Treasury'!$A$1:$BQ$1,-1,1),FALSE)</f>
        <v>0.377</v>
      </c>
      <c r="AC14">
        <f>VLOOKUP($A14,'UN Treasury'!$A$1:$BQ$224,_xlfn.XMATCH(AC$1,'UN Treasury'!$A$1:$BQ$1,-1,1),FALSE)</f>
        <v>0.377</v>
      </c>
      <c r="AD14">
        <f>VLOOKUP($A14,'UN Treasury'!$A$1:$BQ$224,_xlfn.XMATCH(AD$1,'UN Treasury'!$A$1:$BQ$1,-1,1),FALSE)</f>
        <v>0.377</v>
      </c>
      <c r="AE14">
        <f>VLOOKUP($A14,'UN Treasury'!$A$1:$BQ$224,_xlfn.XMATCH(AE$1,'UN Treasury'!$A$1:$BQ$1,-1,1),FALSE)</f>
        <v>0.377</v>
      </c>
      <c r="AF14">
        <f>VLOOKUP($A14,'UN Treasury'!$A$1:$BQ$224,_xlfn.XMATCH(AF$1,'UN Treasury'!$A$1:$BQ$1,-1,1),FALSE)</f>
        <v>0.377</v>
      </c>
      <c r="AG14">
        <f>VLOOKUP($A14,'UN Treasury'!$A$1:$BQ$224,_xlfn.XMATCH(AG$1,'UN Treasury'!$A$1:$BQ$1,-1,1),FALSE)</f>
        <v>0.377</v>
      </c>
      <c r="AH14">
        <f>VLOOKUP($A14,'UN Treasury'!$A$1:$BQ$224,_xlfn.XMATCH(AH$1,'UN Treasury'!$A$1:$BQ$1,-1,1),FALSE)</f>
        <v>0.377</v>
      </c>
      <c r="AI14">
        <f>VLOOKUP($A14,'UN Treasury'!$A$1:$BQ$224,_xlfn.XMATCH(AI$1,'UN Treasury'!$A$1:$BQ$1,-1,1),FALSE)</f>
        <v>0.377</v>
      </c>
      <c r="AJ14">
        <f>VLOOKUP($A14,'UN Treasury'!$A$1:$BQ$224,_xlfn.XMATCH(AJ$1,'UN Treasury'!$A$1:$BQ$1,-1,1),FALSE)</f>
        <v>0.377</v>
      </c>
      <c r="AK14">
        <f>VLOOKUP($A14,'UN Treasury'!$A$1:$BQ$224,_xlfn.XMATCH(AK$1,'UN Treasury'!$A$1:$BQ$1,-1,1),FALSE)</f>
        <v>0.377</v>
      </c>
      <c r="AL14">
        <f>VLOOKUP($A14,'UN Treasury'!$A$1:$BQ$224,_xlfn.XMATCH(AL$1,'UN Treasury'!$A$1:$BQ$1,-1,1),FALSE)</f>
        <v>0.377</v>
      </c>
      <c r="AM14">
        <f>VLOOKUP($A14,'UN Treasury'!$A$1:$BQ$224,_xlfn.XMATCH(AM$1,'UN Treasury'!$A$1:$BQ$1,-1,1),FALSE)</f>
        <v>0.377</v>
      </c>
      <c r="AN14">
        <f>VLOOKUP($A14,'UN Treasury'!$A$1:$BQ$224,_xlfn.XMATCH(AN$1,'UN Treasury'!$A$1:$BQ$1,-1,1),FALSE)</f>
        <v>0.377</v>
      </c>
      <c r="AO14">
        <f>VLOOKUP($A14,'UN Treasury'!$A$1:$BQ$224,_xlfn.XMATCH(AO$1,'UN Treasury'!$A$1:$BQ$1,-1,1),FALSE)</f>
        <v>0.377</v>
      </c>
      <c r="AP14">
        <f>VLOOKUP($A14,'UN Treasury'!$A$1:$BQ$224,_xlfn.XMATCH(AP$1,'UN Treasury'!$A$1:$BQ$1,-1,1),FALSE)</f>
        <v>0.377</v>
      </c>
      <c r="AQ14">
        <f>VLOOKUP($A14,'UN Treasury'!$A$1:$BQ$224,_xlfn.XMATCH(AQ$1,'UN Treasury'!$A$1:$BQ$1,-1,1),FALSE)</f>
        <v>0.377</v>
      </c>
      <c r="AR14">
        <f>VLOOKUP($A14,'UN Treasury'!$A$1:$BQ$224,_xlfn.XMATCH(AR$1,'UN Treasury'!$A$1:$BQ$1,-1,1),FALSE)</f>
        <v>0.377</v>
      </c>
      <c r="AS14">
        <f>VLOOKUP($A14,'UN Treasury'!$A$1:$BQ$224,_xlfn.XMATCH(AS$1,'UN Treasury'!$A$1:$BQ$1,-1,1),FALSE)</f>
        <v>0.377</v>
      </c>
      <c r="AT14">
        <f>VLOOKUP($A14,'UN Treasury'!$A$1:$BQ$224,_xlfn.XMATCH(AT$1,'UN Treasury'!$A$1:$BQ$1,-1,1),FALSE)</f>
        <v>0.377</v>
      </c>
      <c r="AU14">
        <f>VLOOKUP($A14,'UN Treasury'!$A$1:$BQ$224,_xlfn.XMATCH(AU$1,'UN Treasury'!$A$1:$BQ$1,-1,1),FALSE)</f>
        <v>0.377</v>
      </c>
      <c r="AV14">
        <f>VLOOKUP($A14,'UN Treasury'!$A$1:$BQ$224,_xlfn.XMATCH(AV$1,'UN Treasury'!$A$1:$BQ$1,-1,1),FALSE)</f>
        <v>0.377</v>
      </c>
      <c r="AW14">
        <f>VLOOKUP($A14,'UN Treasury'!$A$1:$BQ$224,_xlfn.XMATCH(AW$1,'UN Treasury'!$A$1:$BQ$1,-1,1),FALSE)</f>
        <v>0.377</v>
      </c>
      <c r="AX14">
        <f>VLOOKUP($A14,'UN Treasury'!$A$1:$BQ$224,_xlfn.XMATCH(AX$1,'UN Treasury'!$A$1:$BQ$1,-1,1),FALSE)</f>
        <v>0.377</v>
      </c>
      <c r="AY14">
        <f>VLOOKUP($A14,'UN Treasury'!$A$1:$BQ$224,_xlfn.XMATCH(AY$1,'UN Treasury'!$A$1:$BQ$1,-1,1),FALSE)</f>
        <v>0.377</v>
      </c>
      <c r="AZ14">
        <f>VLOOKUP($A14,'UN Treasury'!$A$1:$BQ$224,_xlfn.XMATCH(AZ$1,'UN Treasury'!$A$1:$BQ$1,-1,1),FALSE)</f>
        <v>0.377</v>
      </c>
      <c r="BA14">
        <f>VLOOKUP($A14,'UN Treasury'!$A$1:$BQ$224,_xlfn.XMATCH(BA$1,'UN Treasury'!$A$1:$BQ$1,-1,1),FALSE)</f>
        <v>0.377</v>
      </c>
      <c r="BB14">
        <f>VLOOKUP($A14,'UN Treasury'!$A$1:$BQ$224,_xlfn.XMATCH(BB$1,'UN Treasury'!$A$1:$BQ$1,-1,1),FALSE)</f>
        <v>0.377</v>
      </c>
      <c r="BC14">
        <f>VLOOKUP($A14,'UN Treasury'!$A$1:$BQ$224,_xlfn.XMATCH(BC$1,'UN Treasury'!$A$1:$BQ$1,-1,1),FALSE)</f>
        <v>0.377</v>
      </c>
      <c r="BD14">
        <f>VLOOKUP($A14,'UN Treasury'!$A$1:$BQ$224,_xlfn.XMATCH(BD$1,'UN Treasury'!$A$1:$BQ$1,-1,1),FALSE)</f>
        <v>0.377</v>
      </c>
      <c r="BE14">
        <f>VLOOKUP($A14,'UN Treasury'!$A$1:$BQ$224,_xlfn.XMATCH(BE$1,'UN Treasury'!$A$1:$BQ$1,-1,1),FALSE)</f>
        <v>0.377</v>
      </c>
      <c r="BF14">
        <f>VLOOKUP($A14,'UN Treasury'!$A$1:$BQ$224,_xlfn.XMATCH(BF$1,'UN Treasury'!$A$1:$BQ$1,-1,1),FALSE)</f>
        <v>0.377</v>
      </c>
      <c r="BG14">
        <f>VLOOKUP($A14,'UN Treasury'!$A$1:$BQ$224,_xlfn.XMATCH(BG$1,'UN Treasury'!$A$1:$BQ$1,-1,1),FALSE)</f>
        <v>0.377</v>
      </c>
      <c r="BH14">
        <f>VLOOKUP($A14,'UN Treasury'!$A$1:$BQ$224,_xlfn.XMATCH(BH$1,'UN Treasury'!$A$1:$BQ$1,-1,1),FALSE)</f>
        <v>0.377</v>
      </c>
      <c r="BI14">
        <f>VLOOKUP($A14,'UN Treasury'!$A$1:$BQ$224,_xlfn.XMATCH(BI$1,'UN Treasury'!$A$1:$BQ$1,-1,1),FALSE)</f>
        <v>0.377</v>
      </c>
      <c r="BJ14">
        <f>VLOOKUP($A14,'UN Treasury'!$A$1:$BQ$224,_xlfn.XMATCH(BJ$1,'UN Treasury'!$A$1:$BQ$1,-1,1),FALSE)</f>
        <v>0.377</v>
      </c>
      <c r="BK14">
        <f>VLOOKUP($A14,'UN Treasury'!$A$1:$BQ$224,_xlfn.XMATCH(BK$1,'UN Treasury'!$A$1:$BQ$1,-1,1),FALSE)</f>
        <v>0.377</v>
      </c>
      <c r="BL14">
        <f>VLOOKUP($A14,'UN Treasury'!$A$1:$BQ$224,_xlfn.XMATCH(BL$1,'UN Treasury'!$A$1:$BQ$1,-1,1),FALSE)</f>
        <v>0.377</v>
      </c>
      <c r="BM14">
        <f>VLOOKUP($A14,'UN Treasury'!$A$1:$BQ$224,_xlfn.XMATCH(BM$1,'UN Treasury'!$A$1:$BQ$1,-1,1),FALSE)</f>
        <v>0.377</v>
      </c>
      <c r="BN14">
        <f>VLOOKUP($A14,'UN Treasury'!$A$1:$BQ$224,_xlfn.XMATCH(BN$1,'UN Treasury'!$A$1:$BQ$1,-1,1),FALSE)</f>
        <v>0.377</v>
      </c>
      <c r="BO14">
        <f>VLOOKUP($A14,'UN Treasury'!$A$1:$BQ$224,_xlfn.XMATCH(BO$1,'UN Treasury'!$A$1:$BQ$1,-1,1),FALSE)</f>
        <v>0.377</v>
      </c>
      <c r="BP14">
        <f>VLOOKUP($A14,'UN Treasury'!$A$1:$BQ$224,_xlfn.XMATCH(BP$1,'UN Treasury'!$A$1:$BQ$1,-1,1),FALSE)</f>
        <v>0.377</v>
      </c>
      <c r="BQ14">
        <f>VLOOKUP($A14,'UN Treasury'!$A$1:$BQ$224,_xlfn.XMATCH(BQ$1,'UN Treasury'!$A$1:$BQ$1,-1,1),FALSE)</f>
        <v>0.377</v>
      </c>
    </row>
    <row r="15" spans="1:69" x14ac:dyDescent="0.25">
      <c r="A15" t="s">
        <v>64</v>
      </c>
      <c r="B15">
        <f>VLOOKUP($A15,'UN Treasury'!$A$1:$BQ$224,_xlfn.XMATCH(B$1,'UN Treasury'!$A$1:$BQ$1,-1,1),FALSE)</f>
        <v>2974.9029999999998</v>
      </c>
      <c r="C15">
        <f>VLOOKUP($A15,'UN Treasury'!$A$1:$BQ$224,_xlfn.XMATCH(C$1,'UN Treasury'!$A$1:$BQ$1,-1,1),FALSE)</f>
        <v>2963.3910000000001</v>
      </c>
      <c r="D15">
        <f>VLOOKUP($A15,'UN Treasury'!$A$1:$BQ$224,_xlfn.XMATCH(D$1,'UN Treasury'!$A$1:$BQ$1,-1,1),FALSE)</f>
        <v>2956</v>
      </c>
      <c r="E15">
        <f>VLOOKUP($A15,'UN Treasury'!$A$1:$BQ$224,_xlfn.XMATCH(E$1,'UN Treasury'!$A$1:$BQ$1,-1,1),FALSE)</f>
        <v>2957.5079999999998</v>
      </c>
      <c r="F15">
        <f>VLOOKUP($A15,'UN Treasury'!$A$1:$BQ$224,_xlfn.XMATCH(F$1,'UN Treasury'!$A$1:$BQ$1,-1,1),FALSE)</f>
        <v>2953.6880000000001</v>
      </c>
      <c r="G15">
        <f>VLOOKUP($A15,'UN Treasury'!$A$1:$BQ$224,_xlfn.XMATCH(G$1,'UN Treasury'!$A$1:$BQ$1,-1,1),FALSE)</f>
        <v>2949.75</v>
      </c>
      <c r="H15">
        <f>VLOOKUP($A15,'UN Treasury'!$A$1:$BQ$224,_xlfn.XMATCH(H$1,'UN Treasury'!$A$1:$BQ$1,-1,1),FALSE)</f>
        <v>2947</v>
      </c>
      <c r="I15">
        <f>VLOOKUP($A15,'UN Treasury'!$A$1:$BQ$224,_xlfn.XMATCH(I$1,'UN Treasury'!$A$1:$BQ$1,-1,1),FALSE)</f>
        <v>2947.37</v>
      </c>
      <c r="J15">
        <f>VLOOKUP($A15,'UN Treasury'!$A$1:$BQ$224,_xlfn.XMATCH(J$1,'UN Treasury'!$A$1:$BQ$1,-1,1),FALSE)</f>
        <v>2947.636</v>
      </c>
      <c r="K15">
        <f>VLOOKUP($A15,'UN Treasury'!$A$1:$BQ$224,_xlfn.XMATCH(K$1,'UN Treasury'!$A$1:$BQ$1,-1,1),FALSE)</f>
        <v>2938.8890000000001</v>
      </c>
      <c r="L15">
        <f>VLOOKUP($A15,'UN Treasury'!$A$1:$BQ$224,_xlfn.XMATCH(L$1,'UN Treasury'!$A$1:$BQ$1,-1,1),FALSE)</f>
        <v>2934.4949999999999</v>
      </c>
      <c r="M15">
        <f>VLOOKUP($A15,'UN Treasury'!$A$1:$BQ$224,_xlfn.XMATCH(M$1,'UN Treasury'!$A$1:$BQ$1,-1,1),FALSE)</f>
        <v>2929.703</v>
      </c>
      <c r="N15">
        <f>VLOOKUP($A15,'UN Treasury'!$A$1:$BQ$224,_xlfn.XMATCH(N$1,'UN Treasury'!$A$1:$BQ$1,-1,1),FALSE)</f>
        <v>2925.7150000000001</v>
      </c>
      <c r="O15">
        <f>VLOOKUP($A15,'UN Treasury'!$A$1:$BQ$224,_xlfn.XMATCH(O$1,'UN Treasury'!$A$1:$BQ$1,-1,1),FALSE)</f>
        <v>2921.123</v>
      </c>
      <c r="P15">
        <f>VLOOKUP($A15,'UN Treasury'!$A$1:$BQ$224,_xlfn.XMATCH(P$1,'UN Treasury'!$A$1:$BQ$1,-1,1),FALSE)</f>
        <v>2916.2220000000002</v>
      </c>
      <c r="Q15">
        <f>VLOOKUP($A15,'UN Treasury'!$A$1:$BQ$224,_xlfn.XMATCH(Q$1,'UN Treasury'!$A$1:$BQ$1,-1,1),FALSE)</f>
        <v>2912.0160000000001</v>
      </c>
      <c r="R15">
        <f>VLOOKUP($A15,'UN Treasury'!$A$1:$BQ$224,_xlfn.XMATCH(R$1,'UN Treasury'!$A$1:$BQ$1,-1,1),FALSE)</f>
        <v>2906.808</v>
      </c>
      <c r="S15">
        <f>VLOOKUP($A15,'UN Treasury'!$A$1:$BQ$224,_xlfn.XMATCH(S$1,'UN Treasury'!$A$1:$BQ$1,-1,1),FALSE)</f>
        <v>2902.1849999999999</v>
      </c>
      <c r="T15">
        <f>VLOOKUP($A15,'UN Treasury'!$A$1:$BQ$224,_xlfn.XMATCH(T$1,'UN Treasury'!$A$1:$BQ$1,-1,1),FALSE)</f>
        <v>2897.692</v>
      </c>
      <c r="U15">
        <f>VLOOKUP($A15,'UN Treasury'!$A$1:$BQ$224,_xlfn.XMATCH(U$1,'UN Treasury'!$A$1:$BQ$1,-1,1),FALSE)</f>
        <v>2892.6030000000001</v>
      </c>
      <c r="V15">
        <f>VLOOKUP($A15,'UN Treasury'!$A$1:$BQ$224,_xlfn.XMATCH(V$1,'UN Treasury'!$A$1:$BQ$1,-1,1),FALSE)</f>
        <v>2888.1579999999999</v>
      </c>
      <c r="W15">
        <f>VLOOKUP($A15,'UN Treasury'!$A$1:$BQ$224,_xlfn.XMATCH(W$1,'UN Treasury'!$A$1:$BQ$1,-1,1),FALSE)</f>
        <v>2917.6669999999999</v>
      </c>
      <c r="X15">
        <f>VLOOKUP($A15,'UN Treasury'!$A$1:$BQ$224,_xlfn.XMATCH(X$1,'UN Treasury'!$A$1:$BQ$1,-1,1),FALSE)</f>
        <v>2878.2379999999998</v>
      </c>
      <c r="Y15">
        <f>VLOOKUP($A15,'UN Treasury'!$A$1:$BQ$224,_xlfn.XMATCH(Y$1,'UN Treasury'!$A$1:$BQ$1,-1,1),FALSE)</f>
        <v>2873.1689999999999</v>
      </c>
      <c r="Z15">
        <f>VLOOKUP($A15,'UN Treasury'!$A$1:$BQ$224,_xlfn.XMATCH(Z$1,'UN Treasury'!$A$1:$BQ$1,-1,1),FALSE)</f>
        <v>2868.0610000000001</v>
      </c>
      <c r="AA15">
        <f>VLOOKUP($A15,'UN Treasury'!$A$1:$BQ$224,_xlfn.XMATCH(AA$1,'UN Treasury'!$A$1:$BQ$1,-1,1),FALSE)</f>
        <v>2862.8229999999999</v>
      </c>
      <c r="AB15">
        <f>VLOOKUP($A15,'UN Treasury'!$A$1:$BQ$224,_xlfn.XMATCH(AB$1,'UN Treasury'!$A$1:$BQ$1,-1,1),FALSE)</f>
        <v>2858.3490000000002</v>
      </c>
      <c r="AC15">
        <f>VLOOKUP($A15,'UN Treasury'!$A$1:$BQ$224,_xlfn.XMATCH(AC$1,'UN Treasury'!$A$1:$BQ$1,-1,1),FALSE)</f>
        <v>2852.8229999999999</v>
      </c>
      <c r="AD15">
        <f>VLOOKUP($A15,'UN Treasury'!$A$1:$BQ$224,_xlfn.XMATCH(AD$1,'UN Treasury'!$A$1:$BQ$1,-1,1),FALSE)</f>
        <v>2848.1010000000001</v>
      </c>
      <c r="AE15">
        <f>VLOOKUP($A15,'UN Treasury'!$A$1:$BQ$224,_xlfn.XMATCH(AE$1,'UN Treasury'!$A$1:$BQ$1,-1,1),FALSE)</f>
        <v>2850.297</v>
      </c>
      <c r="AF15">
        <f>VLOOKUP($A15,'UN Treasury'!$A$1:$BQ$224,_xlfn.XMATCH(AF$1,'UN Treasury'!$A$1:$BQ$1,-1,1),FALSE)</f>
        <v>2838.9749999999999</v>
      </c>
      <c r="AG15">
        <f>VLOOKUP($A15,'UN Treasury'!$A$1:$BQ$224,_xlfn.XMATCH(AG$1,'UN Treasury'!$A$1:$BQ$1,-1,1),FALSE)</f>
        <v>2834.7890000000002</v>
      </c>
      <c r="AH15">
        <f>VLOOKUP($A15,'UN Treasury'!$A$1:$BQ$224,_xlfn.XMATCH(AH$1,'UN Treasury'!$A$1:$BQ$1,-1,1),FALSE)</f>
        <v>2829.68</v>
      </c>
      <c r="AI15">
        <f>VLOOKUP($A15,'UN Treasury'!$A$1:$BQ$224,_xlfn.XMATCH(AI$1,'UN Treasury'!$A$1:$BQ$1,-1,1),FALSE)</f>
        <v>2825.2460000000001</v>
      </c>
      <c r="AJ15">
        <f>VLOOKUP($A15,'UN Treasury'!$A$1:$BQ$224,_xlfn.XMATCH(AJ$1,'UN Treasury'!$A$1:$BQ$1,-1,1),FALSE)</f>
        <v>2821.32</v>
      </c>
      <c r="AK15">
        <f>VLOOKUP($A15,'UN Treasury'!$A$1:$BQ$224,_xlfn.XMATCH(AK$1,'UN Treasury'!$A$1:$BQ$1,-1,1),FALSE)</f>
        <v>2816.7840000000001</v>
      </c>
      <c r="AL15">
        <f>VLOOKUP($A15,'UN Treasury'!$A$1:$BQ$224,_xlfn.XMATCH(AL$1,'UN Treasury'!$A$1:$BQ$1,-1,1),FALSE)</f>
        <v>2810.7330000000002</v>
      </c>
      <c r="AM15">
        <f>VLOOKUP($A15,'UN Treasury'!$A$1:$BQ$224,_xlfn.XMATCH(AM$1,'UN Treasury'!$A$1:$BQ$1,-1,1),FALSE)</f>
        <v>2806.12</v>
      </c>
      <c r="AN15">
        <f>VLOOKUP($A15,'UN Treasury'!$A$1:$BQ$224,_xlfn.XMATCH(AN$1,'UN Treasury'!$A$1:$BQ$1,-1,1),FALSE)</f>
        <v>2800.8620000000001</v>
      </c>
      <c r="AO15">
        <f>VLOOKUP($A15,'UN Treasury'!$A$1:$BQ$224,_xlfn.XMATCH(AO$1,'UN Treasury'!$A$1:$BQ$1,-1,1),FALSE)</f>
        <v>2795.357</v>
      </c>
      <c r="AP15">
        <f>VLOOKUP($A15,'UN Treasury'!$A$1:$BQ$224,_xlfn.XMATCH(AP$1,'UN Treasury'!$A$1:$BQ$1,-1,1),FALSE)</f>
        <v>2063.598</v>
      </c>
      <c r="AQ15">
        <f>VLOOKUP($A15,'UN Treasury'!$A$1:$BQ$224,_xlfn.XMATCH(AQ$1,'UN Treasury'!$A$1:$BQ$1,-1,1),FALSE)</f>
        <v>2058.221</v>
      </c>
      <c r="AR15">
        <f>VLOOKUP($A15,'UN Treasury'!$A$1:$BQ$224,_xlfn.XMATCH(AR$1,'UN Treasury'!$A$1:$BQ$1,-1,1),FALSE)</f>
        <v>2069.2600000000002</v>
      </c>
      <c r="AS15">
        <f>VLOOKUP($A15,'UN Treasury'!$A$1:$BQ$224,_xlfn.XMATCH(AS$1,'UN Treasury'!$A$1:$BQ$1,-1,1),FALSE)</f>
        <v>2048.4499999999998</v>
      </c>
      <c r="AT15">
        <f>VLOOKUP($A15,'UN Treasury'!$A$1:$BQ$224,_xlfn.XMATCH(AT$1,'UN Treasury'!$A$1:$BQ$1,-1,1),FALSE)</f>
        <v>2043.123</v>
      </c>
      <c r="AU15">
        <f>VLOOKUP($A15,'UN Treasury'!$A$1:$BQ$224,_xlfn.XMATCH(AU$1,'UN Treasury'!$A$1:$BQ$1,-1,1),FALSE)</f>
        <v>2037.885</v>
      </c>
      <c r="AV15">
        <f>VLOOKUP($A15,'UN Treasury'!$A$1:$BQ$224,_xlfn.XMATCH(AV$1,'UN Treasury'!$A$1:$BQ$1,-1,1),FALSE)</f>
        <v>2033.749</v>
      </c>
      <c r="AW15">
        <f>VLOOKUP($A15,'UN Treasury'!$A$1:$BQ$224,_xlfn.XMATCH(AW$1,'UN Treasury'!$A$1:$BQ$1,-1,1),FALSE)</f>
        <v>2028.788</v>
      </c>
      <c r="AX15">
        <f>VLOOKUP($A15,'UN Treasury'!$A$1:$BQ$224,_xlfn.XMATCH(AX$1,'UN Treasury'!$A$1:$BQ$1,-1,1),FALSE)</f>
        <v>2023.5309999999999</v>
      </c>
      <c r="AY15">
        <f>VLOOKUP($A15,'UN Treasury'!$A$1:$BQ$224,_xlfn.XMATCH(AY$1,'UN Treasury'!$A$1:$BQ$1,-1,1),FALSE)</f>
        <v>2018.6610000000001</v>
      </c>
      <c r="AZ15">
        <f>VLOOKUP($A15,'UN Treasury'!$A$1:$BQ$224,_xlfn.XMATCH(AZ$1,'UN Treasury'!$A$1:$BQ$1,-1,1),FALSE)</f>
        <v>2014.008</v>
      </c>
      <c r="BA15">
        <f>VLOOKUP($A15,'UN Treasury'!$A$1:$BQ$224,_xlfn.XMATCH(BA$1,'UN Treasury'!$A$1:$BQ$1,-1,1),FALSE)</f>
        <v>2009.4749999999999</v>
      </c>
      <c r="BB15">
        <f>VLOOKUP($A15,'UN Treasury'!$A$1:$BQ$224,_xlfn.XMATCH(BB$1,'UN Treasury'!$A$1:$BQ$1,-1,1),FALSE)</f>
        <v>2005.249</v>
      </c>
      <c r="BC15">
        <f>VLOOKUP($A15,'UN Treasury'!$A$1:$BQ$224,_xlfn.XMATCH(BC$1,'UN Treasury'!$A$1:$BQ$1,-1,1),FALSE)</f>
        <v>2000.973</v>
      </c>
      <c r="BD15">
        <f>VLOOKUP($A15,'UN Treasury'!$A$1:$BQ$224,_xlfn.XMATCH(BD$1,'UN Treasury'!$A$1:$BQ$1,-1,1),FALSE)</f>
        <v>1996.46</v>
      </c>
      <c r="BE15">
        <f>VLOOKUP($A15,'UN Treasury'!$A$1:$BQ$224,_xlfn.XMATCH(BE$1,'UN Treasury'!$A$1:$BQ$1,-1,1),FALSE)</f>
        <v>1991.43</v>
      </c>
      <c r="BF15">
        <f>VLOOKUP($A15,'UN Treasury'!$A$1:$BQ$224,_xlfn.XMATCH(BF$1,'UN Treasury'!$A$1:$BQ$1,-1,1),FALSE)</f>
        <v>1983.643</v>
      </c>
      <c r="BG15">
        <f>VLOOKUP($A15,'UN Treasury'!$A$1:$BQ$224,_xlfn.XMATCH(BG$1,'UN Treasury'!$A$1:$BQ$1,-1,1),FALSE)</f>
        <v>1978.723</v>
      </c>
      <c r="BH15">
        <f>VLOOKUP($A15,'UN Treasury'!$A$1:$BQ$224,_xlfn.XMATCH(BH$1,'UN Treasury'!$A$1:$BQ$1,-1,1),FALSE)</f>
        <v>1974.298</v>
      </c>
      <c r="BI15">
        <f>VLOOKUP($A15,'UN Treasury'!$A$1:$BQ$224,_xlfn.XMATCH(BI$1,'UN Treasury'!$A$1:$BQ$1,-1,1),FALSE)</f>
        <v>1968.932</v>
      </c>
      <c r="BJ15">
        <f>VLOOKUP($A15,'UN Treasury'!$A$1:$BQ$224,_xlfn.XMATCH(BJ$1,'UN Treasury'!$A$1:$BQ$1,-1,1),FALSE)</f>
        <v>1964.0409999999999</v>
      </c>
      <c r="BK15">
        <f>VLOOKUP($A15,'UN Treasury'!$A$1:$BQ$224,_xlfn.XMATCH(BK$1,'UN Treasury'!$A$1:$BQ$1,-1,1),FALSE)</f>
        <v>1958.952</v>
      </c>
      <c r="BL15">
        <f>VLOOKUP($A15,'UN Treasury'!$A$1:$BQ$224,_xlfn.XMATCH(BL$1,'UN Treasury'!$A$1:$BQ$1,-1,1),FALSE)</f>
        <v>1953.8630000000001</v>
      </c>
      <c r="BM15">
        <f>VLOOKUP($A15,'UN Treasury'!$A$1:$BQ$224,_xlfn.XMATCH(BM$1,'UN Treasury'!$A$1:$BQ$1,-1,1),FALSE)</f>
        <v>1949.181</v>
      </c>
      <c r="BN15">
        <f>VLOOKUP($A15,'UN Treasury'!$A$1:$BQ$224,_xlfn.XMATCH(BN$1,'UN Treasury'!$A$1:$BQ$1,-1,1),FALSE)</f>
        <v>1943.626</v>
      </c>
      <c r="BO15">
        <f>VLOOKUP($A15,'UN Treasury'!$A$1:$BQ$224,_xlfn.XMATCH(BO$1,'UN Treasury'!$A$1:$BQ$1,-1,1),FALSE)</f>
        <v>1938.586</v>
      </c>
      <c r="BP15">
        <f>VLOOKUP($A15,'UN Treasury'!$A$1:$BQ$224,_xlfn.XMATCH(BP$1,'UN Treasury'!$A$1:$BQ$1,-1,1),FALSE)</f>
        <v>1934.35</v>
      </c>
      <c r="BQ15">
        <f>VLOOKUP($A15,'UN Treasury'!$A$1:$BQ$224,_xlfn.XMATCH(BQ$1,'UN Treasury'!$A$1:$BQ$1,-1,1),FALSE)</f>
        <v>1929.9359999999999</v>
      </c>
    </row>
    <row r="16" spans="1:69" x14ac:dyDescent="0.25">
      <c r="A16" t="s">
        <v>67</v>
      </c>
      <c r="B16">
        <f>VLOOKUP($A16,'UN Treasury'!$A$1:$BQ$224,_xlfn.XMATCH(B$1,'UN Treasury'!$A$1:$BQ$1,-1,1),FALSE)</f>
        <v>1</v>
      </c>
      <c r="C16">
        <f>VLOOKUP($A16,'UN Treasury'!$A$1:$BQ$224,_xlfn.XMATCH(C$1,'UN Treasury'!$A$1:$BQ$1,-1,1),FALSE)</f>
        <v>1</v>
      </c>
      <c r="D16">
        <f>VLOOKUP($A16,'UN Treasury'!$A$1:$BQ$224,_xlfn.XMATCH(D$1,'UN Treasury'!$A$1:$BQ$1,-1,1),FALSE)</f>
        <v>1</v>
      </c>
      <c r="E16">
        <f>VLOOKUP($A16,'UN Treasury'!$A$1:$BQ$224,_xlfn.XMATCH(E$1,'UN Treasury'!$A$1:$BQ$1,-1,1),FALSE)</f>
        <v>1</v>
      </c>
      <c r="F16">
        <f>VLOOKUP($A16,'UN Treasury'!$A$1:$BQ$224,_xlfn.XMATCH(F$1,'UN Treasury'!$A$1:$BQ$1,-1,1),FALSE)</f>
        <v>1</v>
      </c>
      <c r="G16">
        <f>VLOOKUP($A16,'UN Treasury'!$A$1:$BQ$224,_xlfn.XMATCH(G$1,'UN Treasury'!$A$1:$BQ$1,-1,1),FALSE)</f>
        <v>1</v>
      </c>
      <c r="H16">
        <f>VLOOKUP($A16,'UN Treasury'!$A$1:$BQ$224,_xlfn.XMATCH(H$1,'UN Treasury'!$A$1:$BQ$1,-1,1),FALSE)</f>
        <v>1</v>
      </c>
      <c r="I16">
        <f>VLOOKUP($A16,'UN Treasury'!$A$1:$BQ$224,_xlfn.XMATCH(I$1,'UN Treasury'!$A$1:$BQ$1,-1,1),FALSE)</f>
        <v>1</v>
      </c>
      <c r="J16">
        <f>VLOOKUP($A16,'UN Treasury'!$A$1:$BQ$224,_xlfn.XMATCH(J$1,'UN Treasury'!$A$1:$BQ$1,-1,1),FALSE)</f>
        <v>1</v>
      </c>
      <c r="K16">
        <f>VLOOKUP($A16,'UN Treasury'!$A$1:$BQ$224,_xlfn.XMATCH(K$1,'UN Treasury'!$A$1:$BQ$1,-1,1),FALSE)</f>
        <v>1</v>
      </c>
      <c r="L16">
        <f>VLOOKUP($A16,'UN Treasury'!$A$1:$BQ$224,_xlfn.XMATCH(L$1,'UN Treasury'!$A$1:$BQ$1,-1,1),FALSE)</f>
        <v>1</v>
      </c>
      <c r="M16">
        <f>VLOOKUP($A16,'UN Treasury'!$A$1:$BQ$224,_xlfn.XMATCH(M$1,'UN Treasury'!$A$1:$BQ$1,-1,1),FALSE)</f>
        <v>1</v>
      </c>
      <c r="N16">
        <f>VLOOKUP($A16,'UN Treasury'!$A$1:$BQ$224,_xlfn.XMATCH(N$1,'UN Treasury'!$A$1:$BQ$1,-1,1),FALSE)</f>
        <v>1</v>
      </c>
      <c r="O16">
        <f>VLOOKUP($A16,'UN Treasury'!$A$1:$BQ$224,_xlfn.XMATCH(O$1,'UN Treasury'!$A$1:$BQ$1,-1,1),FALSE)</f>
        <v>1</v>
      </c>
      <c r="P16">
        <f>VLOOKUP($A16,'UN Treasury'!$A$1:$BQ$224,_xlfn.XMATCH(P$1,'UN Treasury'!$A$1:$BQ$1,-1,1),FALSE)</f>
        <v>1</v>
      </c>
      <c r="Q16">
        <f>VLOOKUP($A16,'UN Treasury'!$A$1:$BQ$224,_xlfn.XMATCH(Q$1,'UN Treasury'!$A$1:$BQ$1,-1,1),FALSE)</f>
        <v>1</v>
      </c>
      <c r="R16">
        <f>VLOOKUP($A16,'UN Treasury'!$A$1:$BQ$224,_xlfn.XMATCH(R$1,'UN Treasury'!$A$1:$BQ$1,-1,1),FALSE)</f>
        <v>1</v>
      </c>
      <c r="S16">
        <f>VLOOKUP($A16,'UN Treasury'!$A$1:$BQ$224,_xlfn.XMATCH(S$1,'UN Treasury'!$A$1:$BQ$1,-1,1),FALSE)</f>
        <v>1</v>
      </c>
      <c r="T16">
        <f>VLOOKUP($A16,'UN Treasury'!$A$1:$BQ$224,_xlfn.XMATCH(T$1,'UN Treasury'!$A$1:$BQ$1,-1,1),FALSE)</f>
        <v>1</v>
      </c>
      <c r="U16">
        <f>VLOOKUP($A16,'UN Treasury'!$A$1:$BQ$224,_xlfn.XMATCH(U$1,'UN Treasury'!$A$1:$BQ$1,-1,1),FALSE)</f>
        <v>1</v>
      </c>
      <c r="V16">
        <f>VLOOKUP($A16,'UN Treasury'!$A$1:$BQ$224,_xlfn.XMATCH(V$1,'UN Treasury'!$A$1:$BQ$1,-1,1),FALSE)</f>
        <v>1</v>
      </c>
      <c r="W16">
        <f>VLOOKUP($A16,'UN Treasury'!$A$1:$BQ$224,_xlfn.XMATCH(W$1,'UN Treasury'!$A$1:$BQ$1,-1,1),FALSE)</f>
        <v>1</v>
      </c>
      <c r="X16">
        <f>VLOOKUP($A16,'UN Treasury'!$A$1:$BQ$224,_xlfn.XMATCH(X$1,'UN Treasury'!$A$1:$BQ$1,-1,1),FALSE)</f>
        <v>1</v>
      </c>
      <c r="Y16">
        <f>VLOOKUP($A16,'UN Treasury'!$A$1:$BQ$224,_xlfn.XMATCH(Y$1,'UN Treasury'!$A$1:$BQ$1,-1,1),FALSE)</f>
        <v>1</v>
      </c>
      <c r="Z16">
        <f>VLOOKUP($A16,'UN Treasury'!$A$1:$BQ$224,_xlfn.XMATCH(Z$1,'UN Treasury'!$A$1:$BQ$1,-1,1),FALSE)</f>
        <v>1</v>
      </c>
      <c r="AA16">
        <f>VLOOKUP($A16,'UN Treasury'!$A$1:$BQ$224,_xlfn.XMATCH(AA$1,'UN Treasury'!$A$1:$BQ$1,-1,1),FALSE)</f>
        <v>1</v>
      </c>
      <c r="AB16">
        <f>VLOOKUP($A16,'UN Treasury'!$A$1:$BQ$224,_xlfn.XMATCH(AB$1,'UN Treasury'!$A$1:$BQ$1,-1,1),FALSE)</f>
        <v>1</v>
      </c>
      <c r="AC16">
        <f>VLOOKUP($A16,'UN Treasury'!$A$1:$BQ$224,_xlfn.XMATCH(AC$1,'UN Treasury'!$A$1:$BQ$1,-1,1),FALSE)</f>
        <v>1</v>
      </c>
      <c r="AD16">
        <f>VLOOKUP($A16,'UN Treasury'!$A$1:$BQ$224,_xlfn.XMATCH(AD$1,'UN Treasury'!$A$1:$BQ$1,-1,1),FALSE)</f>
        <v>1</v>
      </c>
      <c r="AE16">
        <f>VLOOKUP($A16,'UN Treasury'!$A$1:$BQ$224,_xlfn.XMATCH(AE$1,'UN Treasury'!$A$1:$BQ$1,-1,1),FALSE)</f>
        <v>1</v>
      </c>
      <c r="AF16">
        <f>VLOOKUP($A16,'UN Treasury'!$A$1:$BQ$224,_xlfn.XMATCH(AF$1,'UN Treasury'!$A$1:$BQ$1,-1,1),FALSE)</f>
        <v>1</v>
      </c>
      <c r="AG16">
        <f>VLOOKUP($A16,'UN Treasury'!$A$1:$BQ$224,_xlfn.XMATCH(AG$1,'UN Treasury'!$A$1:$BQ$1,-1,1),FALSE)</f>
        <v>1</v>
      </c>
      <c r="AH16">
        <f>VLOOKUP($A16,'UN Treasury'!$A$1:$BQ$224,_xlfn.XMATCH(AH$1,'UN Treasury'!$A$1:$BQ$1,-1,1),FALSE)</f>
        <v>1</v>
      </c>
      <c r="AI16">
        <f>VLOOKUP($A16,'UN Treasury'!$A$1:$BQ$224,_xlfn.XMATCH(AI$1,'UN Treasury'!$A$1:$BQ$1,-1,1),FALSE)</f>
        <v>1</v>
      </c>
      <c r="AJ16">
        <f>VLOOKUP($A16,'UN Treasury'!$A$1:$BQ$224,_xlfn.XMATCH(AJ$1,'UN Treasury'!$A$1:$BQ$1,-1,1),FALSE)</f>
        <v>1</v>
      </c>
      <c r="AK16">
        <f>VLOOKUP($A16,'UN Treasury'!$A$1:$BQ$224,_xlfn.XMATCH(AK$1,'UN Treasury'!$A$1:$BQ$1,-1,1),FALSE)</f>
        <v>1</v>
      </c>
      <c r="AL16">
        <f>VLOOKUP($A16,'UN Treasury'!$A$1:$BQ$224,_xlfn.XMATCH(AL$1,'UN Treasury'!$A$1:$BQ$1,-1,1),FALSE)</f>
        <v>1</v>
      </c>
      <c r="AM16">
        <f>VLOOKUP($A16,'UN Treasury'!$A$1:$BQ$224,_xlfn.XMATCH(AM$1,'UN Treasury'!$A$1:$BQ$1,-1,1),FALSE)</f>
        <v>1</v>
      </c>
      <c r="AN16">
        <f>VLOOKUP($A16,'UN Treasury'!$A$1:$BQ$224,_xlfn.XMATCH(AN$1,'UN Treasury'!$A$1:$BQ$1,-1,1),FALSE)</f>
        <v>1</v>
      </c>
      <c r="AO16">
        <f>VLOOKUP($A16,'UN Treasury'!$A$1:$BQ$224,_xlfn.XMATCH(AO$1,'UN Treasury'!$A$1:$BQ$1,-1,1),FALSE)</f>
        <v>1</v>
      </c>
      <c r="AP16">
        <f>VLOOKUP($A16,'UN Treasury'!$A$1:$BQ$224,_xlfn.XMATCH(AP$1,'UN Treasury'!$A$1:$BQ$1,-1,1),FALSE)</f>
        <v>1</v>
      </c>
      <c r="AQ16">
        <f>VLOOKUP($A16,'UN Treasury'!$A$1:$BQ$224,_xlfn.XMATCH(AQ$1,'UN Treasury'!$A$1:$BQ$1,-1,1),FALSE)</f>
        <v>1</v>
      </c>
      <c r="AR16">
        <f>VLOOKUP($A16,'UN Treasury'!$A$1:$BQ$224,_xlfn.XMATCH(AR$1,'UN Treasury'!$A$1:$BQ$1,-1,1),FALSE)</f>
        <v>1</v>
      </c>
      <c r="AS16">
        <f>VLOOKUP($A16,'UN Treasury'!$A$1:$BQ$224,_xlfn.XMATCH(AS$1,'UN Treasury'!$A$1:$BQ$1,-1,1),FALSE)</f>
        <v>1</v>
      </c>
      <c r="AT16">
        <f>VLOOKUP($A16,'UN Treasury'!$A$1:$BQ$224,_xlfn.XMATCH(AT$1,'UN Treasury'!$A$1:$BQ$1,-1,1),FALSE)</f>
        <v>1</v>
      </c>
      <c r="AU16">
        <f>VLOOKUP($A16,'UN Treasury'!$A$1:$BQ$224,_xlfn.XMATCH(AU$1,'UN Treasury'!$A$1:$BQ$1,-1,1),FALSE)</f>
        <v>1</v>
      </c>
      <c r="AV16">
        <f>VLOOKUP($A16,'UN Treasury'!$A$1:$BQ$224,_xlfn.XMATCH(AV$1,'UN Treasury'!$A$1:$BQ$1,-1,1),FALSE)</f>
        <v>1</v>
      </c>
      <c r="AW16">
        <f>VLOOKUP($A16,'UN Treasury'!$A$1:$BQ$224,_xlfn.XMATCH(AW$1,'UN Treasury'!$A$1:$BQ$1,-1,1),FALSE)</f>
        <v>1</v>
      </c>
      <c r="AX16">
        <f>VLOOKUP($A16,'UN Treasury'!$A$1:$BQ$224,_xlfn.XMATCH(AX$1,'UN Treasury'!$A$1:$BQ$1,-1,1),FALSE)</f>
        <v>1</v>
      </c>
      <c r="AY16">
        <f>VLOOKUP($A16,'UN Treasury'!$A$1:$BQ$224,_xlfn.XMATCH(AY$1,'UN Treasury'!$A$1:$BQ$1,-1,1),FALSE)</f>
        <v>1</v>
      </c>
      <c r="AZ16">
        <f>VLOOKUP($A16,'UN Treasury'!$A$1:$BQ$224,_xlfn.XMATCH(AZ$1,'UN Treasury'!$A$1:$BQ$1,-1,1),FALSE)</f>
        <v>1</v>
      </c>
      <c r="BA16">
        <f>VLOOKUP($A16,'UN Treasury'!$A$1:$BQ$224,_xlfn.XMATCH(BA$1,'UN Treasury'!$A$1:$BQ$1,-1,1),FALSE)</f>
        <v>1</v>
      </c>
      <c r="BB16">
        <f>VLOOKUP($A16,'UN Treasury'!$A$1:$BQ$224,_xlfn.XMATCH(BB$1,'UN Treasury'!$A$1:$BQ$1,-1,1),FALSE)</f>
        <v>1</v>
      </c>
      <c r="BC16">
        <f>VLOOKUP($A16,'UN Treasury'!$A$1:$BQ$224,_xlfn.XMATCH(BC$1,'UN Treasury'!$A$1:$BQ$1,-1,1),FALSE)</f>
        <v>1</v>
      </c>
      <c r="BD16">
        <f>VLOOKUP($A16,'UN Treasury'!$A$1:$BQ$224,_xlfn.XMATCH(BD$1,'UN Treasury'!$A$1:$BQ$1,-1,1),FALSE)</f>
        <v>1</v>
      </c>
      <c r="BE16">
        <f>VLOOKUP($A16,'UN Treasury'!$A$1:$BQ$224,_xlfn.XMATCH(BE$1,'UN Treasury'!$A$1:$BQ$1,-1,1),FALSE)</f>
        <v>1</v>
      </c>
      <c r="BF16">
        <f>VLOOKUP($A16,'UN Treasury'!$A$1:$BQ$224,_xlfn.XMATCH(BF$1,'UN Treasury'!$A$1:$BQ$1,-1,1),FALSE)</f>
        <v>1</v>
      </c>
      <c r="BG16">
        <f>VLOOKUP($A16,'UN Treasury'!$A$1:$BQ$224,_xlfn.XMATCH(BG$1,'UN Treasury'!$A$1:$BQ$1,-1,1),FALSE)</f>
        <v>1</v>
      </c>
      <c r="BH16">
        <f>VLOOKUP($A16,'UN Treasury'!$A$1:$BQ$224,_xlfn.XMATCH(BH$1,'UN Treasury'!$A$1:$BQ$1,-1,1),FALSE)</f>
        <v>1</v>
      </c>
      <c r="BI16">
        <f>VLOOKUP($A16,'UN Treasury'!$A$1:$BQ$224,_xlfn.XMATCH(BI$1,'UN Treasury'!$A$1:$BQ$1,-1,1),FALSE)</f>
        <v>1</v>
      </c>
      <c r="BJ16">
        <f>VLOOKUP($A16,'UN Treasury'!$A$1:$BQ$224,_xlfn.XMATCH(BJ$1,'UN Treasury'!$A$1:$BQ$1,-1,1),FALSE)</f>
        <v>1</v>
      </c>
      <c r="BK16">
        <f>VLOOKUP($A16,'UN Treasury'!$A$1:$BQ$224,_xlfn.XMATCH(BK$1,'UN Treasury'!$A$1:$BQ$1,-1,1),FALSE)</f>
        <v>1</v>
      </c>
      <c r="BL16">
        <f>VLOOKUP($A16,'UN Treasury'!$A$1:$BQ$224,_xlfn.XMATCH(BL$1,'UN Treasury'!$A$1:$BQ$1,-1,1),FALSE)</f>
        <v>1</v>
      </c>
      <c r="BM16">
        <f>VLOOKUP($A16,'UN Treasury'!$A$1:$BQ$224,_xlfn.XMATCH(BM$1,'UN Treasury'!$A$1:$BQ$1,-1,1),FALSE)</f>
        <v>1</v>
      </c>
      <c r="BN16">
        <f>VLOOKUP($A16,'UN Treasury'!$A$1:$BQ$224,_xlfn.XMATCH(BN$1,'UN Treasury'!$A$1:$BQ$1,-1,1),FALSE)</f>
        <v>1</v>
      </c>
      <c r="BO16">
        <f>VLOOKUP($A16,'UN Treasury'!$A$1:$BQ$224,_xlfn.XMATCH(BO$1,'UN Treasury'!$A$1:$BQ$1,-1,1),FALSE)</f>
        <v>1</v>
      </c>
      <c r="BP16">
        <f>VLOOKUP($A16,'UN Treasury'!$A$1:$BQ$224,_xlfn.XMATCH(BP$1,'UN Treasury'!$A$1:$BQ$1,-1,1),FALSE)</f>
        <v>1</v>
      </c>
      <c r="BQ16">
        <f>VLOOKUP($A16,'UN Treasury'!$A$1:$BQ$224,_xlfn.XMATCH(BQ$1,'UN Treasury'!$A$1:$BQ$1,-1,1),FALSE)</f>
        <v>1</v>
      </c>
    </row>
    <row r="17" spans="1:69" x14ac:dyDescent="0.25">
      <c r="A17" t="s">
        <v>70</v>
      </c>
      <c r="B17">
        <f>VLOOKUP($A17,'UN Treasury'!$A$1:$BQ$224,_xlfn.XMATCH(B$1,'UN Treasury'!$A$1:$BQ$1,-1,1),FALSE)</f>
        <v>1.28</v>
      </c>
      <c r="C17">
        <f>VLOOKUP($A17,'UN Treasury'!$A$1:$BQ$224,_xlfn.XMATCH(C$1,'UN Treasury'!$A$1:$BQ$1,-1,1),FALSE)</f>
        <v>1.292</v>
      </c>
      <c r="D17">
        <f>VLOOKUP($A17,'UN Treasury'!$A$1:$BQ$224,_xlfn.XMATCH(D$1,'UN Treasury'!$A$1:$BQ$1,-1,1),FALSE)</f>
        <v>1.2889999999999999</v>
      </c>
      <c r="E17">
        <f>VLOOKUP($A17,'UN Treasury'!$A$1:$BQ$224,_xlfn.XMATCH(E$1,'UN Treasury'!$A$1:$BQ$1,-1,1),FALSE)</f>
        <v>1.2729999999999999</v>
      </c>
      <c r="F17">
        <f>VLOOKUP($A17,'UN Treasury'!$A$1:$BQ$224,_xlfn.XMATCH(F$1,'UN Treasury'!$A$1:$BQ$1,-1,1),FALSE)</f>
        <v>1.2749999999999999</v>
      </c>
      <c r="G17">
        <f>VLOOKUP($A17,'UN Treasury'!$A$1:$BQ$224,_xlfn.XMATCH(G$1,'UN Treasury'!$A$1:$BQ$1,-1,1),FALSE)</f>
        <v>1.2769999999999999</v>
      </c>
      <c r="H17">
        <f>VLOOKUP($A17,'UN Treasury'!$A$1:$BQ$224,_xlfn.XMATCH(H$1,'UN Treasury'!$A$1:$BQ$1,-1,1),FALSE)</f>
        <v>1.2609999999999999</v>
      </c>
      <c r="I17">
        <f>VLOOKUP($A17,'UN Treasury'!$A$1:$BQ$224,_xlfn.XMATCH(I$1,'UN Treasury'!$A$1:$BQ$1,-1,1),FALSE)</f>
        <v>1.2889999999999999</v>
      </c>
      <c r="J17">
        <f>VLOOKUP($A17,'UN Treasury'!$A$1:$BQ$224,_xlfn.XMATCH(J$1,'UN Treasury'!$A$1:$BQ$1,-1,1),FALSE)</f>
        <v>1.2909999999999999</v>
      </c>
      <c r="K17">
        <f>VLOOKUP($A17,'UN Treasury'!$A$1:$BQ$224,_xlfn.XMATCH(K$1,'UN Treasury'!$A$1:$BQ$1,-1,1),FALSE)</f>
        <v>1.3029999999999999</v>
      </c>
      <c r="L17">
        <f>VLOOKUP($A17,'UN Treasury'!$A$1:$BQ$224,_xlfn.XMATCH(L$1,'UN Treasury'!$A$1:$BQ$1,-1,1),FALSE)</f>
        <v>1.2989999999999999</v>
      </c>
      <c r="M17">
        <f>VLOOKUP($A17,'UN Treasury'!$A$1:$BQ$224,_xlfn.XMATCH(M$1,'UN Treasury'!$A$1:$BQ$1,-1,1),FALSE)</f>
        <v>1.2829999999999999</v>
      </c>
      <c r="N17">
        <f>VLOOKUP($A17,'UN Treasury'!$A$1:$BQ$224,_xlfn.XMATCH(N$1,'UN Treasury'!$A$1:$BQ$1,-1,1),FALSE)</f>
        <v>1.28</v>
      </c>
      <c r="O17">
        <f>VLOOKUP($A17,'UN Treasury'!$A$1:$BQ$224,_xlfn.XMATCH(O$1,'UN Treasury'!$A$1:$BQ$1,-1,1),FALSE)</f>
        <v>1.28</v>
      </c>
      <c r="P17">
        <f>VLOOKUP($A17,'UN Treasury'!$A$1:$BQ$224,_xlfn.XMATCH(P$1,'UN Treasury'!$A$1:$BQ$1,-1,1),FALSE)</f>
        <v>1.2849999999999999</v>
      </c>
      <c r="Q17">
        <f>VLOOKUP($A17,'UN Treasury'!$A$1:$BQ$224,_xlfn.XMATCH(Q$1,'UN Treasury'!$A$1:$BQ$1,-1,1),FALSE)</f>
        <v>1.3029999999999999</v>
      </c>
      <c r="R17">
        <f>VLOOKUP($A17,'UN Treasury'!$A$1:$BQ$224,_xlfn.XMATCH(R$1,'UN Treasury'!$A$1:$BQ$1,-1,1),FALSE)</f>
        <v>1.3180000000000001</v>
      </c>
      <c r="S17">
        <f>VLOOKUP($A17,'UN Treasury'!$A$1:$BQ$224,_xlfn.XMATCH(S$1,'UN Treasury'!$A$1:$BQ$1,-1,1),FALSE)</f>
        <v>1.3340000000000001</v>
      </c>
      <c r="T17">
        <f>VLOOKUP($A17,'UN Treasury'!$A$1:$BQ$224,_xlfn.XMATCH(T$1,'UN Treasury'!$A$1:$BQ$1,-1,1),FALSE)</f>
        <v>1.3560000000000001</v>
      </c>
      <c r="U17">
        <f>VLOOKUP($A17,'UN Treasury'!$A$1:$BQ$224,_xlfn.XMATCH(U$1,'UN Treasury'!$A$1:$BQ$1,-1,1),FALSE)</f>
        <v>1.373</v>
      </c>
      <c r="V17">
        <f>VLOOKUP($A17,'UN Treasury'!$A$1:$BQ$224,_xlfn.XMATCH(V$1,'UN Treasury'!$A$1:$BQ$1,-1,1),FALSE)</f>
        <v>1.343</v>
      </c>
      <c r="W17">
        <f>VLOOKUP($A17,'UN Treasury'!$A$1:$BQ$224,_xlfn.XMATCH(W$1,'UN Treasury'!$A$1:$BQ$1,-1,1),FALSE)</f>
        <v>1.339</v>
      </c>
      <c r="X17">
        <f>VLOOKUP($A17,'UN Treasury'!$A$1:$BQ$224,_xlfn.XMATCH(X$1,'UN Treasury'!$A$1:$BQ$1,-1,1),FALSE)</f>
        <v>1.306</v>
      </c>
      <c r="Y17">
        <f>VLOOKUP($A17,'UN Treasury'!$A$1:$BQ$224,_xlfn.XMATCH(Y$1,'UN Treasury'!$A$1:$BQ$1,-1,1),FALSE)</f>
        <v>1.304</v>
      </c>
      <c r="Z17">
        <f>VLOOKUP($A17,'UN Treasury'!$A$1:$BQ$224,_xlfn.XMATCH(Z$1,'UN Treasury'!$A$1:$BQ$1,-1,1),FALSE)</f>
        <v>1.32</v>
      </c>
      <c r="AA17">
        <f>VLOOKUP($A17,'UN Treasury'!$A$1:$BQ$224,_xlfn.XMATCH(AA$1,'UN Treasury'!$A$1:$BQ$1,-1,1),FALSE)</f>
        <v>1.3420000000000001</v>
      </c>
      <c r="AB17">
        <f>VLOOKUP($A17,'UN Treasury'!$A$1:$BQ$224,_xlfn.XMATCH(AB$1,'UN Treasury'!$A$1:$BQ$1,-1,1),FALSE)</f>
        <v>1.345</v>
      </c>
      <c r="AC17">
        <f>VLOOKUP($A17,'UN Treasury'!$A$1:$BQ$224,_xlfn.XMATCH(AC$1,'UN Treasury'!$A$1:$BQ$1,-1,1),FALSE)</f>
        <v>1.3520000000000001</v>
      </c>
      <c r="AD17">
        <f>VLOOKUP($A17,'UN Treasury'!$A$1:$BQ$224,_xlfn.XMATCH(AD$1,'UN Treasury'!$A$1:$BQ$1,-1,1),FALSE)</f>
        <v>1.353</v>
      </c>
      <c r="AE17">
        <f>VLOOKUP($A17,'UN Treasury'!$A$1:$BQ$224,_xlfn.XMATCH(AE$1,'UN Treasury'!$A$1:$BQ$1,-1,1),FALSE)</f>
        <v>1.333</v>
      </c>
      <c r="AF17">
        <f>VLOOKUP($A17,'UN Treasury'!$A$1:$BQ$224,_xlfn.XMATCH(AF$1,'UN Treasury'!$A$1:$BQ$1,-1,1),FALSE)</f>
        <v>1.35</v>
      </c>
      <c r="AG17">
        <f>VLOOKUP($A17,'UN Treasury'!$A$1:$BQ$224,_xlfn.XMATCH(AG$1,'UN Treasury'!$A$1:$BQ$1,-1,1),FALSE)</f>
        <v>1.3320000000000001</v>
      </c>
      <c r="AH17">
        <f>VLOOKUP($A17,'UN Treasury'!$A$1:$BQ$224,_xlfn.XMATCH(AH$1,'UN Treasury'!$A$1:$BQ$1,-1,1),FALSE)</f>
        <v>1.3420000000000001</v>
      </c>
      <c r="AI17">
        <f>VLOOKUP($A17,'UN Treasury'!$A$1:$BQ$224,_xlfn.XMATCH(AI$1,'UN Treasury'!$A$1:$BQ$1,-1,1),FALSE)</f>
        <v>1.361</v>
      </c>
      <c r="AJ17">
        <f>VLOOKUP($A17,'UN Treasury'!$A$1:$BQ$224,_xlfn.XMATCH(AJ$1,'UN Treasury'!$A$1:$BQ$1,-1,1),FALSE)</f>
        <v>1.3620000000000001</v>
      </c>
      <c r="AK17">
        <f>VLOOKUP($A17,'UN Treasury'!$A$1:$BQ$224,_xlfn.XMATCH(AK$1,'UN Treasury'!$A$1:$BQ$1,-1,1),FALSE)</f>
        <v>1.361</v>
      </c>
      <c r="AL17">
        <f>VLOOKUP($A17,'UN Treasury'!$A$1:$BQ$224,_xlfn.XMATCH(AL$1,'UN Treasury'!$A$1:$BQ$1,-1,1),FALSE)</f>
        <v>1.3520000000000001</v>
      </c>
      <c r="AM17">
        <f>VLOOKUP($A17,'UN Treasury'!$A$1:$BQ$224,_xlfn.XMATCH(AM$1,'UN Treasury'!$A$1:$BQ$1,-1,1),FALSE)</f>
        <v>1.333</v>
      </c>
      <c r="AN17">
        <f>VLOOKUP($A17,'UN Treasury'!$A$1:$BQ$224,_xlfn.XMATCH(AN$1,'UN Treasury'!$A$1:$BQ$1,-1,1),FALSE)</f>
        <v>1.341</v>
      </c>
      <c r="AO17">
        <f>VLOOKUP($A17,'UN Treasury'!$A$1:$BQ$224,_xlfn.XMATCH(AO$1,'UN Treasury'!$A$1:$BQ$1,-1,1),FALSE)</f>
        <v>1.331</v>
      </c>
      <c r="AP17">
        <f>VLOOKUP($A17,'UN Treasury'!$A$1:$BQ$224,_xlfn.XMATCH(AP$1,'UN Treasury'!$A$1:$BQ$1,-1,1),FALSE)</f>
        <v>1.3280000000000001</v>
      </c>
      <c r="AQ17">
        <f>VLOOKUP($A17,'UN Treasury'!$A$1:$BQ$224,_xlfn.XMATCH(AQ$1,'UN Treasury'!$A$1:$BQ$1,-1,1),FALSE)</f>
        <v>1.349</v>
      </c>
      <c r="AR17">
        <f>VLOOKUP($A17,'UN Treasury'!$A$1:$BQ$224,_xlfn.XMATCH(AR$1,'UN Treasury'!$A$1:$BQ$1,-1,1),FALSE)</f>
        <v>1.33</v>
      </c>
      <c r="AS17">
        <f>VLOOKUP($A17,'UN Treasury'!$A$1:$BQ$224,_xlfn.XMATCH(AS$1,'UN Treasury'!$A$1:$BQ$1,-1,1),FALSE)</f>
        <v>1.331</v>
      </c>
      <c r="AT17">
        <f>VLOOKUP($A17,'UN Treasury'!$A$1:$BQ$224,_xlfn.XMATCH(AT$1,'UN Treasury'!$A$1:$BQ$1,-1,1),FALSE)</f>
        <v>1.3440000000000001</v>
      </c>
      <c r="AU17">
        <f>VLOOKUP($A17,'UN Treasury'!$A$1:$BQ$224,_xlfn.XMATCH(AU$1,'UN Treasury'!$A$1:$BQ$1,-1,1),FALSE)</f>
        <v>1.3759999999999999</v>
      </c>
      <c r="AV17">
        <f>VLOOKUP($A17,'UN Treasury'!$A$1:$BQ$224,_xlfn.XMATCH(AV$1,'UN Treasury'!$A$1:$BQ$1,-1,1),FALSE)</f>
        <v>1.4370000000000001</v>
      </c>
      <c r="AW17">
        <f>VLOOKUP($A17,'UN Treasury'!$A$1:$BQ$224,_xlfn.XMATCH(AW$1,'UN Treasury'!$A$1:$BQ$1,-1,1),FALSE)</f>
        <v>1.4039999999999999</v>
      </c>
      <c r="AX17">
        <f>VLOOKUP($A17,'UN Treasury'!$A$1:$BQ$224,_xlfn.XMATCH(AX$1,'UN Treasury'!$A$1:$BQ$1,-1,1),FALSE)</f>
        <v>1.367</v>
      </c>
      <c r="AY17">
        <f>VLOOKUP($A17,'UN Treasury'!$A$1:$BQ$224,_xlfn.XMATCH(AY$1,'UN Treasury'!$A$1:$BQ$1,-1,1),FALSE)</f>
        <v>1.407</v>
      </c>
      <c r="AZ17">
        <f>VLOOKUP($A17,'UN Treasury'!$A$1:$BQ$224,_xlfn.XMATCH(AZ$1,'UN Treasury'!$A$1:$BQ$1,-1,1),FALSE)</f>
        <v>1.39</v>
      </c>
      <c r="BA17">
        <f>VLOOKUP($A17,'UN Treasury'!$A$1:$BQ$224,_xlfn.XMATCH(BA$1,'UN Treasury'!$A$1:$BQ$1,-1,1),FALSE)</f>
        <v>1.385</v>
      </c>
      <c r="BB17">
        <f>VLOOKUP($A17,'UN Treasury'!$A$1:$BQ$224,_xlfn.XMATCH(BB$1,'UN Treasury'!$A$1:$BQ$1,-1,1),FALSE)</f>
        <v>1.363</v>
      </c>
      <c r="BC17">
        <f>VLOOKUP($A17,'UN Treasury'!$A$1:$BQ$224,_xlfn.XMATCH(BC$1,'UN Treasury'!$A$1:$BQ$1,-1,1),FALSE)</f>
        <v>1.36</v>
      </c>
      <c r="BD17">
        <f>VLOOKUP($A17,'UN Treasury'!$A$1:$BQ$224,_xlfn.XMATCH(BD$1,'UN Treasury'!$A$1:$BQ$1,-1,1),FALSE)</f>
        <v>1.343</v>
      </c>
      <c r="BE17">
        <f>VLOOKUP($A17,'UN Treasury'!$A$1:$BQ$224,_xlfn.XMATCH(BE$1,'UN Treasury'!$A$1:$BQ$1,-1,1),FALSE)</f>
        <v>1.3480000000000001</v>
      </c>
      <c r="BF17">
        <f>VLOOKUP($A17,'UN Treasury'!$A$1:$BQ$224,_xlfn.XMATCH(BF$1,'UN Treasury'!$A$1:$BQ$1,-1,1),FALSE)</f>
        <v>1.37</v>
      </c>
      <c r="BG17">
        <f>VLOOKUP($A17,'UN Treasury'!$A$1:$BQ$224,_xlfn.XMATCH(BG$1,'UN Treasury'!$A$1:$BQ$1,-1,1),FALSE)</f>
        <v>1.3540000000000001</v>
      </c>
      <c r="BH17">
        <f>VLOOKUP($A17,'UN Treasury'!$A$1:$BQ$224,_xlfn.XMATCH(BH$1,'UN Treasury'!$A$1:$BQ$1,-1,1),FALSE)</f>
        <v>1.359</v>
      </c>
      <c r="BI17">
        <f>VLOOKUP($A17,'UN Treasury'!$A$1:$BQ$224,_xlfn.XMATCH(BI$1,'UN Treasury'!$A$1:$BQ$1,-1,1),FALSE)</f>
        <v>1.3420000000000001</v>
      </c>
      <c r="BJ17">
        <f>VLOOKUP($A17,'UN Treasury'!$A$1:$BQ$224,_xlfn.XMATCH(BJ$1,'UN Treasury'!$A$1:$BQ$1,-1,1),FALSE)</f>
        <v>1.353</v>
      </c>
      <c r="BK17">
        <f>VLOOKUP($A17,'UN Treasury'!$A$1:$BQ$224,_xlfn.XMATCH(BK$1,'UN Treasury'!$A$1:$BQ$1,-1,1),FALSE)</f>
        <v>1.3440000000000001</v>
      </c>
      <c r="BL17">
        <f>VLOOKUP($A17,'UN Treasury'!$A$1:$BQ$224,_xlfn.XMATCH(BL$1,'UN Treasury'!$A$1:$BQ$1,-1,1),FALSE)</f>
        <v>1.3240000000000001</v>
      </c>
      <c r="BM17">
        <f>VLOOKUP($A17,'UN Treasury'!$A$1:$BQ$224,_xlfn.XMATCH(BM$1,'UN Treasury'!$A$1:$BQ$1,-1,1),FALSE)</f>
        <v>1.327</v>
      </c>
      <c r="BN17">
        <f>VLOOKUP($A17,'UN Treasury'!$A$1:$BQ$224,_xlfn.XMATCH(BN$1,'UN Treasury'!$A$1:$BQ$1,-1,1),FALSE)</f>
        <v>1.3480000000000001</v>
      </c>
      <c r="BO17">
        <f>VLOOKUP($A17,'UN Treasury'!$A$1:$BQ$224,_xlfn.XMATCH(BO$1,'UN Treasury'!$A$1:$BQ$1,-1,1),FALSE)</f>
        <v>1.341</v>
      </c>
      <c r="BP17">
        <f>VLOOKUP($A17,'UN Treasury'!$A$1:$BQ$224,_xlfn.XMATCH(BP$1,'UN Treasury'!$A$1:$BQ$1,-1,1),FALSE)</f>
        <v>1.3240000000000001</v>
      </c>
      <c r="BQ17">
        <f>VLOOKUP($A17,'UN Treasury'!$A$1:$BQ$224,_xlfn.XMATCH(BQ$1,'UN Treasury'!$A$1:$BQ$1,-1,1),FALSE)</f>
        <v>1.3260000000000001</v>
      </c>
    </row>
    <row r="18" spans="1:69" x14ac:dyDescent="0.25">
      <c r="A18" t="s">
        <v>72</v>
      </c>
      <c r="B18">
        <f>VLOOKUP($A18,'UN Treasury'!$A$1:$BQ$224,_xlfn.XMATCH(B$1,'UN Treasury'!$A$1:$BQ$1,-1,1),FALSE)</f>
        <v>11.66</v>
      </c>
      <c r="C18">
        <f>VLOOKUP($A18,'UN Treasury'!$A$1:$BQ$224,_xlfn.XMATCH(C$1,'UN Treasury'!$A$1:$BQ$1,-1,1),FALSE)</f>
        <v>6.8550000000000004</v>
      </c>
      <c r="D18">
        <f>VLOOKUP($A18,'UN Treasury'!$A$1:$BQ$224,_xlfn.XMATCH(D$1,'UN Treasury'!$A$1:$BQ$1,-1,1),FALSE)</f>
        <v>6.8550000000000004</v>
      </c>
      <c r="E18">
        <f>VLOOKUP($A18,'UN Treasury'!$A$1:$BQ$224,_xlfn.XMATCH(E$1,'UN Treasury'!$A$1:$BQ$1,-1,1),FALSE)</f>
        <v>6.8550000000000004</v>
      </c>
      <c r="F18">
        <f>VLOOKUP($A18,'UN Treasury'!$A$1:$BQ$224,_xlfn.XMATCH(F$1,'UN Treasury'!$A$1:$BQ$1,-1,1),FALSE)</f>
        <v>6.86</v>
      </c>
      <c r="G18">
        <f>VLOOKUP($A18,'UN Treasury'!$A$1:$BQ$224,_xlfn.XMATCH(G$1,'UN Treasury'!$A$1:$BQ$1,-1,1),FALSE)</f>
        <v>6.859</v>
      </c>
      <c r="H18">
        <f>VLOOKUP($A18,'UN Treasury'!$A$1:$BQ$224,_xlfn.XMATCH(H$1,'UN Treasury'!$A$1:$BQ$1,-1,1),FALSE)</f>
        <v>6.8620000000000001</v>
      </c>
      <c r="I18">
        <f>VLOOKUP($A18,'UN Treasury'!$A$1:$BQ$224,_xlfn.XMATCH(I$1,'UN Treasury'!$A$1:$BQ$1,-1,1),FALSE)</f>
        <v>6.8630000000000004</v>
      </c>
      <c r="J18">
        <f>VLOOKUP($A18,'UN Treasury'!$A$1:$BQ$224,_xlfn.XMATCH(J$1,'UN Treasury'!$A$1:$BQ$1,-1,1),FALSE)</f>
        <v>6.86</v>
      </c>
      <c r="K18">
        <f>VLOOKUP($A18,'UN Treasury'!$A$1:$BQ$224,_xlfn.XMATCH(K$1,'UN Treasury'!$A$1:$BQ$1,-1,1),FALSE)</f>
        <v>6.86</v>
      </c>
      <c r="L18">
        <f>VLOOKUP($A18,'UN Treasury'!$A$1:$BQ$224,_xlfn.XMATCH(L$1,'UN Treasury'!$A$1:$BQ$1,-1,1),FALSE)</f>
        <v>6.8540000000000001</v>
      </c>
      <c r="M18">
        <f>VLOOKUP($A18,'UN Treasury'!$A$1:$BQ$224,_xlfn.XMATCH(M$1,'UN Treasury'!$A$1:$BQ$1,-1,1),FALSE)</f>
        <v>6.8570000000000002</v>
      </c>
      <c r="N18">
        <f>VLOOKUP($A18,'UN Treasury'!$A$1:$BQ$224,_xlfn.XMATCH(N$1,'UN Treasury'!$A$1:$BQ$1,-1,1),FALSE)</f>
        <v>6.86</v>
      </c>
      <c r="O18">
        <f>VLOOKUP($A18,'UN Treasury'!$A$1:$BQ$224,_xlfn.XMATCH(O$1,'UN Treasury'!$A$1:$BQ$1,-1,1),FALSE)</f>
        <v>6.86</v>
      </c>
      <c r="P18">
        <f>VLOOKUP($A18,'UN Treasury'!$A$1:$BQ$224,_xlfn.XMATCH(P$1,'UN Treasury'!$A$1:$BQ$1,-1,1),FALSE)</f>
        <v>6.86</v>
      </c>
      <c r="Q18">
        <f>VLOOKUP($A18,'UN Treasury'!$A$1:$BQ$224,_xlfn.XMATCH(Q$1,'UN Treasury'!$A$1:$BQ$1,-1,1),FALSE)</f>
        <v>6.85</v>
      </c>
      <c r="R18">
        <f>VLOOKUP($A18,'UN Treasury'!$A$1:$BQ$224,_xlfn.XMATCH(R$1,'UN Treasury'!$A$1:$BQ$1,-1,1),FALSE)</f>
        <v>6.8529999999999998</v>
      </c>
      <c r="S18">
        <f>VLOOKUP($A18,'UN Treasury'!$A$1:$BQ$224,_xlfn.XMATCH(S$1,'UN Treasury'!$A$1:$BQ$1,-1,1),FALSE)</f>
        <v>6.8550000000000004</v>
      </c>
      <c r="T18">
        <f>VLOOKUP($A18,'UN Treasury'!$A$1:$BQ$224,_xlfn.XMATCH(T$1,'UN Treasury'!$A$1:$BQ$1,-1,1),FALSE)</f>
        <v>6.8570000000000002</v>
      </c>
      <c r="U18">
        <f>VLOOKUP($A18,'UN Treasury'!$A$1:$BQ$224,_xlfn.XMATCH(U$1,'UN Treasury'!$A$1:$BQ$1,-1,1),FALSE)</f>
        <v>6.859</v>
      </c>
      <c r="V18">
        <f>VLOOKUP($A18,'UN Treasury'!$A$1:$BQ$224,_xlfn.XMATCH(V$1,'UN Treasury'!$A$1:$BQ$1,-1,1),FALSE)</f>
        <v>6.8550000000000004</v>
      </c>
      <c r="W18">
        <f>VLOOKUP($A18,'UN Treasury'!$A$1:$BQ$224,_xlfn.XMATCH(W$1,'UN Treasury'!$A$1:$BQ$1,-1,1),FALSE)</f>
        <v>6.86</v>
      </c>
      <c r="X18">
        <f>VLOOKUP($A18,'UN Treasury'!$A$1:$BQ$224,_xlfn.XMATCH(X$1,'UN Treasury'!$A$1:$BQ$1,-1,1),FALSE)</f>
        <v>6.8559999999999999</v>
      </c>
      <c r="Y18">
        <f>VLOOKUP($A18,'UN Treasury'!$A$1:$BQ$224,_xlfn.XMATCH(Y$1,'UN Treasury'!$A$1:$BQ$1,-1,1),FALSE)</f>
        <v>6.8559999999999999</v>
      </c>
      <c r="Z18">
        <f>VLOOKUP($A18,'UN Treasury'!$A$1:$BQ$224,_xlfn.XMATCH(Z$1,'UN Treasury'!$A$1:$BQ$1,-1,1),FALSE)</f>
        <v>6.8579999999999997</v>
      </c>
      <c r="AA18">
        <f>VLOOKUP($A18,'UN Treasury'!$A$1:$BQ$224,_xlfn.XMATCH(AA$1,'UN Treasury'!$A$1:$BQ$1,-1,1),FALSE)</f>
        <v>6.8570000000000002</v>
      </c>
      <c r="AB18">
        <f>VLOOKUP($A18,'UN Treasury'!$A$1:$BQ$224,_xlfn.XMATCH(AB$1,'UN Treasury'!$A$1:$BQ$1,-1,1),FALSE)</f>
        <v>6.8529999999999998</v>
      </c>
      <c r="AC18">
        <f>VLOOKUP($A18,'UN Treasury'!$A$1:$BQ$224,_xlfn.XMATCH(AC$1,'UN Treasury'!$A$1:$BQ$1,-1,1),FALSE)</f>
        <v>6.85</v>
      </c>
      <c r="AD18">
        <f>VLOOKUP($A18,'UN Treasury'!$A$1:$BQ$224,_xlfn.XMATCH(AD$1,'UN Treasury'!$A$1:$BQ$1,-1,1),FALSE)</f>
        <v>6.86</v>
      </c>
      <c r="AE18">
        <f>VLOOKUP($A18,'UN Treasury'!$A$1:$BQ$224,_xlfn.XMATCH(AE$1,'UN Treasury'!$A$1:$BQ$1,-1,1),FALSE)</f>
        <v>6.86</v>
      </c>
      <c r="AF18">
        <f>VLOOKUP($A18,'UN Treasury'!$A$1:$BQ$224,_xlfn.XMATCH(AF$1,'UN Treasury'!$A$1:$BQ$1,-1,1),FALSE)</f>
        <v>6.86</v>
      </c>
      <c r="AG18">
        <f>VLOOKUP($A18,'UN Treasury'!$A$1:$BQ$224,_xlfn.XMATCH(AG$1,'UN Treasury'!$A$1:$BQ$1,-1,1),FALSE)</f>
        <v>6.8570000000000002</v>
      </c>
      <c r="AH18">
        <f>VLOOKUP($A18,'UN Treasury'!$A$1:$BQ$224,_xlfn.XMATCH(AH$1,'UN Treasury'!$A$1:$BQ$1,-1,1),FALSE)</f>
        <v>6.8529999999999998</v>
      </c>
      <c r="AI18">
        <f>VLOOKUP($A18,'UN Treasury'!$A$1:$BQ$224,_xlfn.XMATCH(AI$1,'UN Treasury'!$A$1:$BQ$1,-1,1),FALSE)</f>
        <v>6.8550000000000004</v>
      </c>
      <c r="AJ18">
        <f>VLOOKUP($A18,'UN Treasury'!$A$1:$BQ$224,_xlfn.XMATCH(AJ$1,'UN Treasury'!$A$1:$BQ$1,-1,1),FALSE)</f>
        <v>6.8550000000000004</v>
      </c>
      <c r="AK18">
        <f>VLOOKUP($A18,'UN Treasury'!$A$1:$BQ$224,_xlfn.XMATCH(AK$1,'UN Treasury'!$A$1:$BQ$1,-1,1),FALSE)</f>
        <v>6.8570000000000002</v>
      </c>
      <c r="AL18">
        <f>VLOOKUP($A18,'UN Treasury'!$A$1:$BQ$224,_xlfn.XMATCH(AL$1,'UN Treasury'!$A$1:$BQ$1,-1,1),FALSE)</f>
        <v>6.8550000000000004</v>
      </c>
      <c r="AM18">
        <f>VLOOKUP($A18,'UN Treasury'!$A$1:$BQ$224,_xlfn.XMATCH(AM$1,'UN Treasury'!$A$1:$BQ$1,-1,1),FALSE)</f>
        <v>6.85</v>
      </c>
      <c r="AN18">
        <f>VLOOKUP($A18,'UN Treasury'!$A$1:$BQ$224,_xlfn.XMATCH(AN$1,'UN Treasury'!$A$1:$BQ$1,-1,1),FALSE)</f>
        <v>6.8570000000000002</v>
      </c>
      <c r="AO18">
        <f>VLOOKUP($A18,'UN Treasury'!$A$1:$BQ$224,_xlfn.XMATCH(AO$1,'UN Treasury'!$A$1:$BQ$1,-1,1),FALSE)</f>
        <v>6.8570000000000002</v>
      </c>
      <c r="AP18">
        <f>VLOOKUP($A18,'UN Treasury'!$A$1:$BQ$224,_xlfn.XMATCH(AP$1,'UN Treasury'!$A$1:$BQ$1,-1,1),FALSE)</f>
        <v>6.8529999999999998</v>
      </c>
      <c r="AQ18">
        <f>VLOOKUP($A18,'UN Treasury'!$A$1:$BQ$224,_xlfn.XMATCH(AQ$1,'UN Treasury'!$A$1:$BQ$1,-1,1),FALSE)</f>
        <v>6.8550000000000004</v>
      </c>
      <c r="AR18">
        <f>VLOOKUP($A18,'UN Treasury'!$A$1:$BQ$224,_xlfn.XMATCH(AR$1,'UN Treasury'!$A$1:$BQ$1,-1,1),FALSE)</f>
        <v>6.8570000000000002</v>
      </c>
      <c r="AS18">
        <f>VLOOKUP($A18,'UN Treasury'!$A$1:$BQ$224,_xlfn.XMATCH(AS$1,'UN Treasury'!$A$1:$BQ$1,-1,1),FALSE)</f>
        <v>6.8529999999999998</v>
      </c>
      <c r="AT18">
        <f>VLOOKUP($A18,'UN Treasury'!$A$1:$BQ$224,_xlfn.XMATCH(AT$1,'UN Treasury'!$A$1:$BQ$1,-1,1),FALSE)</f>
        <v>6.8520000000000003</v>
      </c>
      <c r="AU18">
        <f>VLOOKUP($A18,'UN Treasury'!$A$1:$BQ$224,_xlfn.XMATCH(AU$1,'UN Treasury'!$A$1:$BQ$1,-1,1),FALSE)</f>
        <v>6.8529999999999998</v>
      </c>
      <c r="AV18">
        <f>VLOOKUP($A18,'UN Treasury'!$A$1:$BQ$224,_xlfn.XMATCH(AV$1,'UN Treasury'!$A$1:$BQ$1,-1,1),FALSE)</f>
        <v>6.851</v>
      </c>
      <c r="AW18">
        <f>VLOOKUP($A18,'UN Treasury'!$A$1:$BQ$224,_xlfn.XMATCH(AW$1,'UN Treasury'!$A$1:$BQ$1,-1,1),FALSE)</f>
        <v>6.8570000000000002</v>
      </c>
      <c r="AX18">
        <f>VLOOKUP($A18,'UN Treasury'!$A$1:$BQ$224,_xlfn.XMATCH(AX$1,'UN Treasury'!$A$1:$BQ$1,-1,1),FALSE)</f>
        <v>6.835</v>
      </c>
      <c r="AY18">
        <f>VLOOKUP($A18,'UN Treasury'!$A$1:$BQ$224,_xlfn.XMATCH(AY$1,'UN Treasury'!$A$1:$BQ$1,-1,1),FALSE)</f>
        <v>6.82</v>
      </c>
      <c r="AZ18">
        <f>VLOOKUP($A18,'UN Treasury'!$A$1:$BQ$224,_xlfn.XMATCH(AZ$1,'UN Treasury'!$A$1:$BQ$1,-1,1),FALSE)</f>
        <v>6.827</v>
      </c>
      <c r="BA18">
        <f>VLOOKUP($A18,'UN Treasury'!$A$1:$BQ$224,_xlfn.XMATCH(BA$1,'UN Treasury'!$A$1:$BQ$1,-1,1),FALSE)</f>
        <v>6.8250000000000002</v>
      </c>
      <c r="BB18">
        <f>VLOOKUP($A18,'UN Treasury'!$A$1:$BQ$224,_xlfn.XMATCH(BB$1,'UN Treasury'!$A$1:$BQ$1,-1,1),FALSE)</f>
        <v>6.8049999999999997</v>
      </c>
      <c r="BC18">
        <f>VLOOKUP($A18,'UN Treasury'!$A$1:$BQ$224,_xlfn.XMATCH(BC$1,'UN Treasury'!$A$1:$BQ$1,-1,1),FALSE)</f>
        <v>6.8049999999999997</v>
      </c>
      <c r="BD18">
        <f>VLOOKUP($A18,'UN Treasury'!$A$1:$BQ$224,_xlfn.XMATCH(BD$1,'UN Treasury'!$A$1:$BQ$1,-1,1),FALSE)</f>
        <v>6.8140000000000001</v>
      </c>
      <c r="BE18">
        <f>VLOOKUP($A18,'UN Treasury'!$A$1:$BQ$224,_xlfn.XMATCH(BE$1,'UN Treasury'!$A$1:$BQ$1,-1,1),FALSE)</f>
        <v>6.82</v>
      </c>
      <c r="BF18">
        <f>VLOOKUP($A18,'UN Treasury'!$A$1:$BQ$224,_xlfn.XMATCH(BF$1,'UN Treasury'!$A$1:$BQ$1,-1,1),FALSE)</f>
        <v>6.83</v>
      </c>
      <c r="BG18">
        <f>VLOOKUP($A18,'UN Treasury'!$A$1:$BQ$224,_xlfn.XMATCH(BG$1,'UN Treasury'!$A$1:$BQ$1,-1,1),FALSE)</f>
        <v>6.83</v>
      </c>
      <c r="BH18">
        <f>VLOOKUP($A18,'UN Treasury'!$A$1:$BQ$224,_xlfn.XMATCH(BH$1,'UN Treasury'!$A$1:$BQ$1,-1,1),FALSE)</f>
        <v>6.835</v>
      </c>
      <c r="BI18">
        <f>VLOOKUP($A18,'UN Treasury'!$A$1:$BQ$224,_xlfn.XMATCH(BI$1,'UN Treasury'!$A$1:$BQ$1,-1,1),FALSE)</f>
        <v>6.8460000000000001</v>
      </c>
      <c r="BJ18">
        <f>VLOOKUP($A18,'UN Treasury'!$A$1:$BQ$224,_xlfn.XMATCH(BJ$1,'UN Treasury'!$A$1:$BQ$1,-1,1),FALSE)</f>
        <v>6.8460000000000001</v>
      </c>
      <c r="BK18">
        <f>VLOOKUP($A18,'UN Treasury'!$A$1:$BQ$224,_xlfn.XMATCH(BK$1,'UN Treasury'!$A$1:$BQ$1,-1,1),FALSE)</f>
        <v>6.8479999999999999</v>
      </c>
      <c r="BL18">
        <f>VLOOKUP($A18,'UN Treasury'!$A$1:$BQ$224,_xlfn.XMATCH(BL$1,'UN Treasury'!$A$1:$BQ$1,-1,1),FALSE)</f>
        <v>6.8479999999999999</v>
      </c>
      <c r="BM18">
        <f>VLOOKUP($A18,'UN Treasury'!$A$1:$BQ$224,_xlfn.XMATCH(BM$1,'UN Treasury'!$A$1:$BQ$1,-1,1),FALSE)</f>
        <v>6.8479999999999999</v>
      </c>
      <c r="BN18">
        <f>VLOOKUP($A18,'UN Treasury'!$A$1:$BQ$224,_xlfn.XMATCH(BN$1,'UN Treasury'!$A$1:$BQ$1,-1,1),FALSE)</f>
        <v>6.9169999999999998</v>
      </c>
      <c r="BO18">
        <f>VLOOKUP($A18,'UN Treasury'!$A$1:$BQ$224,_xlfn.XMATCH(BO$1,'UN Treasury'!$A$1:$BQ$1,-1,1),FALSE)</f>
        <v>6.9089999999999998</v>
      </c>
      <c r="BP18">
        <f>VLOOKUP($A18,'UN Treasury'!$A$1:$BQ$224,_xlfn.XMATCH(BP$1,'UN Treasury'!$A$1:$BQ$1,-1,1),FALSE)</f>
        <v>6.907</v>
      </c>
      <c r="BQ18">
        <f>VLOOKUP($A18,'UN Treasury'!$A$1:$BQ$224,_xlfn.XMATCH(BQ$1,'UN Treasury'!$A$1:$BQ$1,-1,1),FALSE)</f>
        <v>6.843</v>
      </c>
    </row>
    <row r="19" spans="1:69" x14ac:dyDescent="0.25">
      <c r="A19" t="s">
        <v>74</v>
      </c>
      <c r="B19">
        <f>VLOOKUP($A19,'UN Treasury'!$A$1:$BQ$224,_xlfn.XMATCH(B$1,'UN Treasury'!$A$1:$BQ$1,-1,1),FALSE)</f>
        <v>5.1760000000000002</v>
      </c>
      <c r="C19">
        <f>VLOOKUP($A19,'UN Treasury'!$A$1:$BQ$224,_xlfn.XMATCH(C$1,'UN Treasury'!$A$1:$BQ$1,-1,1),FALSE)</f>
        <v>5.117</v>
      </c>
      <c r="D19">
        <f>VLOOKUP($A19,'UN Treasury'!$A$1:$BQ$224,_xlfn.XMATCH(D$1,'UN Treasury'!$A$1:$BQ$1,-1,1),FALSE)</f>
        <v>5.1660000000000004</v>
      </c>
      <c r="E19">
        <f>VLOOKUP($A19,'UN Treasury'!$A$1:$BQ$224,_xlfn.XMATCH(E$1,'UN Treasury'!$A$1:$BQ$1,-1,1),FALSE)</f>
        <v>4.9260000000000002</v>
      </c>
      <c r="F19">
        <f>VLOOKUP($A19,'UN Treasury'!$A$1:$BQ$224,_xlfn.XMATCH(F$1,'UN Treasury'!$A$1:$BQ$1,-1,1),FALSE)</f>
        <v>5.0309999999999997</v>
      </c>
      <c r="G19">
        <f>VLOOKUP($A19,'UN Treasury'!$A$1:$BQ$224,_xlfn.XMATCH(G$1,'UN Treasury'!$A$1:$BQ$1,-1,1),FALSE)</f>
        <v>5.202</v>
      </c>
      <c r="H19">
        <f>VLOOKUP($A19,'UN Treasury'!$A$1:$BQ$224,_xlfn.XMATCH(H$1,'UN Treasury'!$A$1:$BQ$1,-1,1),FALSE)</f>
        <v>5.16</v>
      </c>
      <c r="I19">
        <f>VLOOKUP($A19,'UN Treasury'!$A$1:$BQ$224,_xlfn.XMATCH(I$1,'UN Treasury'!$A$1:$BQ$1,-1,1),FALSE)</f>
        <v>5.3890000000000002</v>
      </c>
      <c r="J19">
        <f>VLOOKUP($A19,'UN Treasury'!$A$1:$BQ$224,_xlfn.XMATCH(J$1,'UN Treasury'!$A$1:$BQ$1,-1,1),FALSE)</f>
        <v>5.423</v>
      </c>
      <c r="K19">
        <f>VLOOKUP($A19,'UN Treasury'!$A$1:$BQ$224,_xlfn.XMATCH(K$1,'UN Treasury'!$A$1:$BQ$1,-1,1),FALSE)</f>
        <v>5.2930000000000001</v>
      </c>
      <c r="L19">
        <f>VLOOKUP($A19,'UN Treasury'!$A$1:$BQ$224,_xlfn.XMATCH(L$1,'UN Treasury'!$A$1:$BQ$1,-1,1),FALSE)</f>
        <v>5.4539999999999997</v>
      </c>
      <c r="M19">
        <f>VLOOKUP($A19,'UN Treasury'!$A$1:$BQ$224,_xlfn.XMATCH(M$1,'UN Treasury'!$A$1:$BQ$1,-1,1),FALSE)</f>
        <v>5.39</v>
      </c>
      <c r="N19">
        <f>VLOOKUP($A19,'UN Treasury'!$A$1:$BQ$224,_xlfn.XMATCH(N$1,'UN Treasury'!$A$1:$BQ$1,-1,1),FALSE)</f>
        <v>5.3970000000000002</v>
      </c>
      <c r="O19">
        <f>VLOOKUP($A19,'UN Treasury'!$A$1:$BQ$224,_xlfn.XMATCH(O$1,'UN Treasury'!$A$1:$BQ$1,-1,1),FALSE)</f>
        <v>5.57</v>
      </c>
      <c r="P19">
        <f>VLOOKUP($A19,'UN Treasury'!$A$1:$BQ$224,_xlfn.XMATCH(P$1,'UN Treasury'!$A$1:$BQ$1,-1,1),FALSE)</f>
        <v>5.5490000000000004</v>
      </c>
      <c r="Q19">
        <f>VLOOKUP($A19,'UN Treasury'!$A$1:$BQ$224,_xlfn.XMATCH(Q$1,'UN Treasury'!$A$1:$BQ$1,-1,1),FALSE)</f>
        <v>5.6349999999999998</v>
      </c>
      <c r="R19">
        <f>VLOOKUP($A19,'UN Treasury'!$A$1:$BQ$224,_xlfn.XMATCH(R$1,'UN Treasury'!$A$1:$BQ$1,-1,1),FALSE)</f>
        <v>5.88</v>
      </c>
      <c r="S19">
        <f>VLOOKUP($A19,'UN Treasury'!$A$1:$BQ$224,_xlfn.XMATCH(S$1,'UN Treasury'!$A$1:$BQ$1,-1,1),FALSE)</f>
        <v>5.8170000000000002</v>
      </c>
      <c r="T19">
        <f>VLOOKUP($A19,'UN Treasury'!$A$1:$BQ$224,_xlfn.XMATCH(T$1,'UN Treasury'!$A$1:$BQ$1,-1,1),FALSE)</f>
        <v>5.7640000000000002</v>
      </c>
      <c r="U19">
        <f>VLOOKUP($A19,'UN Treasury'!$A$1:$BQ$224,_xlfn.XMATCH(U$1,'UN Treasury'!$A$1:$BQ$1,-1,1),FALSE)</f>
        <v>6.11</v>
      </c>
      <c r="V19">
        <f>VLOOKUP($A19,'UN Treasury'!$A$1:$BQ$224,_xlfn.XMATCH(V$1,'UN Treasury'!$A$1:$BQ$1,-1,1),FALSE)</f>
        <v>6.0350000000000001</v>
      </c>
      <c r="W19">
        <f>VLOOKUP($A19,'UN Treasury'!$A$1:$BQ$224,_xlfn.XMATCH(W$1,'UN Treasury'!$A$1:$BQ$1,-1,1),FALSE)</f>
        <v>5.78</v>
      </c>
      <c r="X19">
        <f>VLOOKUP($A19,'UN Treasury'!$A$1:$BQ$224,_xlfn.XMATCH(X$1,'UN Treasury'!$A$1:$BQ$1,-1,1),FALSE)</f>
        <v>5.6390000000000002</v>
      </c>
      <c r="Y19">
        <f>VLOOKUP($A19,'UN Treasury'!$A$1:$BQ$224,_xlfn.XMATCH(Y$1,'UN Treasury'!$A$1:$BQ$1,-1,1),FALSE)</f>
        <v>5.6230000000000002</v>
      </c>
      <c r="Z19">
        <f>VLOOKUP($A19,'UN Treasury'!$A$1:$BQ$224,_xlfn.XMATCH(Z$1,'UN Treasury'!$A$1:$BQ$1,-1,1),FALSE)</f>
        <v>5.49</v>
      </c>
      <c r="AA19">
        <f>VLOOKUP($A19,'UN Treasury'!$A$1:$BQ$224,_xlfn.XMATCH(AA$1,'UN Treasury'!$A$1:$BQ$1,-1,1),FALSE)</f>
        <v>5.3979999999999997</v>
      </c>
      <c r="AB19">
        <f>VLOOKUP($A19,'UN Treasury'!$A$1:$BQ$224,_xlfn.XMATCH(AB$1,'UN Treasury'!$A$1:$BQ$1,-1,1),FALSE)</f>
        <v>5.4240000000000004</v>
      </c>
      <c r="AC19">
        <f>VLOOKUP($A19,'UN Treasury'!$A$1:$BQ$224,_xlfn.XMATCH(AC$1,'UN Treasury'!$A$1:$BQ$1,-1,1),FALSE)</f>
        <v>5.125</v>
      </c>
      <c r="AD19">
        <f>VLOOKUP($A19,'UN Treasury'!$A$1:$BQ$224,_xlfn.XMATCH(AD$1,'UN Treasury'!$A$1:$BQ$1,-1,1),FALSE)</f>
        <v>5.0819999999999999</v>
      </c>
      <c r="AE19">
        <f>VLOOKUP($A19,'UN Treasury'!$A$1:$BQ$224,_xlfn.XMATCH(AE$1,'UN Treasury'!$A$1:$BQ$1,-1,1),FALSE)</f>
        <v>4.9829999999999997</v>
      </c>
      <c r="AF19">
        <f>VLOOKUP($A19,'UN Treasury'!$A$1:$BQ$224,_xlfn.XMATCH(AF$1,'UN Treasury'!$A$1:$BQ$1,-1,1),FALSE)</f>
        <v>4.9539999999999997</v>
      </c>
      <c r="AG19">
        <f>VLOOKUP($A19,'UN Treasury'!$A$1:$BQ$224,_xlfn.XMATCH(AG$1,'UN Treasury'!$A$1:$BQ$1,-1,1),FALSE)</f>
        <v>4.8710000000000004</v>
      </c>
      <c r="AH19">
        <f>VLOOKUP($A19,'UN Treasury'!$A$1:$BQ$224,_xlfn.XMATCH(AH$1,'UN Treasury'!$A$1:$BQ$1,-1,1),FALSE)</f>
        <v>4.9560000000000004</v>
      </c>
      <c r="AI19">
        <f>VLOOKUP($A19,'UN Treasury'!$A$1:$BQ$224,_xlfn.XMATCH(AI$1,'UN Treasury'!$A$1:$BQ$1,-1,1),FALSE)</f>
        <v>4.9320000000000004</v>
      </c>
      <c r="AJ19">
        <f>VLOOKUP($A19,'UN Treasury'!$A$1:$BQ$224,_xlfn.XMATCH(AJ$1,'UN Treasury'!$A$1:$BQ$1,-1,1),FALSE)</f>
        <v>5.0529999999999999</v>
      </c>
      <c r="AK19">
        <f>VLOOKUP($A19,'UN Treasury'!$A$1:$BQ$224,_xlfn.XMATCH(AK$1,'UN Treasury'!$A$1:$BQ$1,-1,1),FALSE)</f>
        <v>4.9210000000000003</v>
      </c>
      <c r="AL19">
        <f>VLOOKUP($A19,'UN Treasury'!$A$1:$BQ$224,_xlfn.XMATCH(AL$1,'UN Treasury'!$A$1:$BQ$1,-1,1),FALSE)</f>
        <v>4.899</v>
      </c>
      <c r="AM19">
        <f>VLOOKUP($A19,'UN Treasury'!$A$1:$BQ$224,_xlfn.XMATCH(AM$1,'UN Treasury'!$A$1:$BQ$1,-1,1),FALSE)</f>
        <v>4.7919999999999998</v>
      </c>
      <c r="AN19">
        <f>VLOOKUP($A19,'UN Treasury'!$A$1:$BQ$224,_xlfn.XMATCH(AN$1,'UN Treasury'!$A$1:$BQ$1,-1,1),FALSE)</f>
        <v>4.8659999999999997</v>
      </c>
      <c r="AO19">
        <f>VLOOKUP($A19,'UN Treasury'!$A$1:$BQ$224,_xlfn.XMATCH(AO$1,'UN Treasury'!$A$1:$BQ$1,-1,1),FALSE)</f>
        <v>4.9790000000000001</v>
      </c>
      <c r="AP19">
        <f>VLOOKUP($A19,'UN Treasury'!$A$1:$BQ$224,_xlfn.XMATCH(AP$1,'UN Treasury'!$A$1:$BQ$1,-1,1),FALSE)</f>
        <v>4.9450000000000003</v>
      </c>
      <c r="AQ19">
        <f>VLOOKUP($A19,'UN Treasury'!$A$1:$BQ$224,_xlfn.XMATCH(AQ$1,'UN Treasury'!$A$1:$BQ$1,-1,1),FALSE)</f>
        <v>5.2320000000000002</v>
      </c>
      <c r="AR19">
        <f>VLOOKUP($A19,'UN Treasury'!$A$1:$BQ$224,_xlfn.XMATCH(AR$1,'UN Treasury'!$A$1:$BQ$1,-1,1),FALSE)</f>
        <v>5.173</v>
      </c>
      <c r="AS19">
        <f>VLOOKUP($A19,'UN Treasury'!$A$1:$BQ$224,_xlfn.XMATCH(AS$1,'UN Treasury'!$A$1:$BQ$1,-1,1),FALSE)</f>
        <v>5.1989999999999998</v>
      </c>
      <c r="AT19">
        <f>VLOOKUP($A19,'UN Treasury'!$A$1:$BQ$224,_xlfn.XMATCH(AT$1,'UN Treasury'!$A$1:$BQ$1,-1,1),FALSE)</f>
        <v>5.2610000000000001</v>
      </c>
      <c r="AU19">
        <f>VLOOKUP($A19,'UN Treasury'!$A$1:$BQ$224,_xlfn.XMATCH(AU$1,'UN Treasury'!$A$1:$BQ$1,-1,1),FALSE)</f>
        <v>5.3010000000000002</v>
      </c>
      <c r="AV19">
        <f>VLOOKUP($A19,'UN Treasury'!$A$1:$BQ$224,_xlfn.XMATCH(AV$1,'UN Treasury'!$A$1:$BQ$1,-1,1),FALSE)</f>
        <v>5.3019999999999996</v>
      </c>
      <c r="AW19">
        <f>VLOOKUP($A19,'UN Treasury'!$A$1:$BQ$224,_xlfn.XMATCH(AW$1,'UN Treasury'!$A$1:$BQ$1,-1,1),FALSE)</f>
        <v>5.1520000000000001</v>
      </c>
      <c r="AX19">
        <f>VLOOKUP($A19,'UN Treasury'!$A$1:$BQ$224,_xlfn.XMATCH(AX$1,'UN Treasury'!$A$1:$BQ$1,-1,1),FALSE)</f>
        <v>5.0730000000000004</v>
      </c>
      <c r="AY19">
        <f>VLOOKUP($A19,'UN Treasury'!$A$1:$BQ$224,_xlfn.XMATCH(AY$1,'UN Treasury'!$A$1:$BQ$1,-1,1),FALSE)</f>
        <v>5.4039999999999999</v>
      </c>
      <c r="AZ19">
        <f>VLOOKUP($A19,'UN Treasury'!$A$1:$BQ$224,_xlfn.XMATCH(AZ$1,'UN Treasury'!$A$1:$BQ$1,-1,1),FALSE)</f>
        <v>5.0990000000000002</v>
      </c>
      <c r="BA19">
        <f>VLOOKUP($A19,'UN Treasury'!$A$1:$BQ$224,_xlfn.XMATCH(BA$1,'UN Treasury'!$A$1:$BQ$1,-1,1),FALSE)</f>
        <v>5.1159999999999997</v>
      </c>
      <c r="BB19">
        <f>VLOOKUP($A19,'UN Treasury'!$A$1:$BQ$224,_xlfn.XMATCH(BB$1,'UN Treasury'!$A$1:$BQ$1,-1,1),FALSE)</f>
        <v>4.6399999999999997</v>
      </c>
      <c r="BC19">
        <f>VLOOKUP($A19,'UN Treasury'!$A$1:$BQ$224,_xlfn.XMATCH(BC$1,'UN Treasury'!$A$1:$BQ$1,-1,1),FALSE)</f>
        <v>5.0369999999999999</v>
      </c>
      <c r="BD19">
        <f>VLOOKUP($A19,'UN Treasury'!$A$1:$BQ$224,_xlfn.XMATCH(BD$1,'UN Treasury'!$A$1:$BQ$1,-1,1),FALSE)</f>
        <v>5.1920000000000002</v>
      </c>
      <c r="BE19">
        <f>VLOOKUP($A19,'UN Treasury'!$A$1:$BQ$224,_xlfn.XMATCH(BE$1,'UN Treasury'!$A$1:$BQ$1,-1,1),FALSE)</f>
        <v>5.55</v>
      </c>
      <c r="BF19">
        <f>VLOOKUP($A19,'UN Treasury'!$A$1:$BQ$224,_xlfn.XMATCH(BF$1,'UN Treasury'!$A$1:$BQ$1,-1,1),FALSE)</f>
        <v>5.6159999999999997</v>
      </c>
      <c r="BG19">
        <f>VLOOKUP($A19,'UN Treasury'!$A$1:$BQ$224,_xlfn.XMATCH(BG$1,'UN Treasury'!$A$1:$BQ$1,-1,1),FALSE)</f>
        <v>5.5940000000000003</v>
      </c>
      <c r="BH19">
        <f>VLOOKUP($A19,'UN Treasury'!$A$1:$BQ$224,_xlfn.XMATCH(BH$1,'UN Treasury'!$A$1:$BQ$1,-1,1),FALSE)</f>
        <v>5.4290000000000003</v>
      </c>
      <c r="BI19">
        <f>VLOOKUP($A19,'UN Treasury'!$A$1:$BQ$224,_xlfn.XMATCH(BI$1,'UN Treasury'!$A$1:$BQ$1,-1,1),FALSE)</f>
        <v>5.21</v>
      </c>
      <c r="BJ19">
        <f>VLOOKUP($A19,'UN Treasury'!$A$1:$BQ$224,_xlfn.XMATCH(BJ$1,'UN Treasury'!$A$1:$BQ$1,-1,1),FALSE)</f>
        <v>5.0620000000000003</v>
      </c>
      <c r="BK19">
        <f>VLOOKUP($A19,'UN Treasury'!$A$1:$BQ$224,_xlfn.XMATCH(BK$1,'UN Treasury'!$A$1:$BQ$1,-1,1),FALSE)</f>
        <v>4.9450000000000003</v>
      </c>
      <c r="BL19">
        <f>VLOOKUP($A19,'UN Treasury'!$A$1:$BQ$224,_xlfn.XMATCH(BL$1,'UN Treasury'!$A$1:$BQ$1,-1,1),FALSE)</f>
        <v>5.2949999999999999</v>
      </c>
      <c r="BM19">
        <f>VLOOKUP($A19,'UN Treasury'!$A$1:$BQ$224,_xlfn.XMATCH(BM$1,'UN Treasury'!$A$1:$BQ$1,-1,1),FALSE)</f>
        <v>5.3689999999999998</v>
      </c>
      <c r="BN19">
        <f>VLOOKUP($A19,'UN Treasury'!$A$1:$BQ$224,_xlfn.XMATCH(BN$1,'UN Treasury'!$A$1:$BQ$1,-1,1),FALSE)</f>
        <v>5.7679999999999998</v>
      </c>
      <c r="BO19">
        <f>VLOOKUP($A19,'UN Treasury'!$A$1:$BQ$224,_xlfn.XMATCH(BO$1,'UN Treasury'!$A$1:$BQ$1,-1,1),FALSE)</f>
        <v>5.4530000000000003</v>
      </c>
      <c r="BP19">
        <f>VLOOKUP($A19,'UN Treasury'!$A$1:$BQ$224,_xlfn.XMATCH(BP$1,'UN Treasury'!$A$1:$BQ$1,-1,1),FALSE)</f>
        <v>5.423</v>
      </c>
      <c r="BQ19">
        <f>VLOOKUP($A19,'UN Treasury'!$A$1:$BQ$224,_xlfn.XMATCH(BQ$1,'UN Treasury'!$A$1:$BQ$1,-1,1),FALSE)</f>
        <v>5.1970000000000001</v>
      </c>
    </row>
    <row r="20" spans="1:69" x14ac:dyDescent="0.25">
      <c r="A20" t="s">
        <v>51</v>
      </c>
      <c r="B20">
        <f>VLOOKUP($A20,'UN Treasury'!$A$1:$BQ$224,_xlfn.XMATCH(B$1,'UN Treasury'!$A$1:$BQ$1,-1,1),FALSE)</f>
        <v>1</v>
      </c>
      <c r="C20">
        <f>VLOOKUP($A20,'UN Treasury'!$A$1:$BQ$224,_xlfn.XMATCH(C$1,'UN Treasury'!$A$1:$BQ$1,-1,1),FALSE)</f>
        <v>1</v>
      </c>
      <c r="D20">
        <f>VLOOKUP($A20,'UN Treasury'!$A$1:$BQ$224,_xlfn.XMATCH(D$1,'UN Treasury'!$A$1:$BQ$1,-1,1),FALSE)</f>
        <v>1</v>
      </c>
      <c r="E20">
        <f>VLOOKUP($A20,'UN Treasury'!$A$1:$BQ$224,_xlfn.XMATCH(E$1,'UN Treasury'!$A$1:$BQ$1,-1,1),FALSE)</f>
        <v>1</v>
      </c>
      <c r="F20">
        <f>VLOOKUP($A20,'UN Treasury'!$A$1:$BQ$224,_xlfn.XMATCH(F$1,'UN Treasury'!$A$1:$BQ$1,-1,1),FALSE)</f>
        <v>1</v>
      </c>
      <c r="G20">
        <f>VLOOKUP($A20,'UN Treasury'!$A$1:$BQ$224,_xlfn.XMATCH(G$1,'UN Treasury'!$A$1:$BQ$1,-1,1),FALSE)</f>
        <v>1</v>
      </c>
      <c r="H20">
        <f>VLOOKUP($A20,'UN Treasury'!$A$1:$BQ$224,_xlfn.XMATCH(H$1,'UN Treasury'!$A$1:$BQ$1,-1,1),FALSE)</f>
        <v>1</v>
      </c>
      <c r="I20">
        <f>VLOOKUP($A20,'UN Treasury'!$A$1:$BQ$224,_xlfn.XMATCH(I$1,'UN Treasury'!$A$1:$BQ$1,-1,1),FALSE)</f>
        <v>1</v>
      </c>
      <c r="J20">
        <f>VLOOKUP($A20,'UN Treasury'!$A$1:$BQ$224,_xlfn.XMATCH(J$1,'UN Treasury'!$A$1:$BQ$1,-1,1),FALSE)</f>
        <v>1</v>
      </c>
      <c r="K20">
        <f>VLOOKUP($A20,'UN Treasury'!$A$1:$BQ$224,_xlfn.XMATCH(K$1,'UN Treasury'!$A$1:$BQ$1,-1,1),FALSE)</f>
        <v>1</v>
      </c>
      <c r="L20">
        <f>VLOOKUP($A20,'UN Treasury'!$A$1:$BQ$224,_xlfn.XMATCH(L$1,'UN Treasury'!$A$1:$BQ$1,-1,1),FALSE)</f>
        <v>1</v>
      </c>
      <c r="M20">
        <f>VLOOKUP($A20,'UN Treasury'!$A$1:$BQ$224,_xlfn.XMATCH(M$1,'UN Treasury'!$A$1:$BQ$1,-1,1),FALSE)</f>
        <v>1</v>
      </c>
      <c r="N20">
        <f>VLOOKUP($A20,'UN Treasury'!$A$1:$BQ$224,_xlfn.XMATCH(N$1,'UN Treasury'!$A$1:$BQ$1,-1,1),FALSE)</f>
        <v>1</v>
      </c>
      <c r="O20">
        <f>VLOOKUP($A20,'UN Treasury'!$A$1:$BQ$224,_xlfn.XMATCH(O$1,'UN Treasury'!$A$1:$BQ$1,-1,1),FALSE)</f>
        <v>1</v>
      </c>
      <c r="P20">
        <f>VLOOKUP($A20,'UN Treasury'!$A$1:$BQ$224,_xlfn.XMATCH(P$1,'UN Treasury'!$A$1:$BQ$1,-1,1),FALSE)</f>
        <v>1</v>
      </c>
      <c r="Q20">
        <f>VLOOKUP($A20,'UN Treasury'!$A$1:$BQ$224,_xlfn.XMATCH(Q$1,'UN Treasury'!$A$1:$BQ$1,-1,1),FALSE)</f>
        <v>1</v>
      </c>
      <c r="R20">
        <f>VLOOKUP($A20,'UN Treasury'!$A$1:$BQ$224,_xlfn.XMATCH(R$1,'UN Treasury'!$A$1:$BQ$1,-1,1),FALSE)</f>
        <v>1</v>
      </c>
      <c r="S20">
        <f>VLOOKUP($A20,'UN Treasury'!$A$1:$BQ$224,_xlfn.XMATCH(S$1,'UN Treasury'!$A$1:$BQ$1,-1,1),FALSE)</f>
        <v>1</v>
      </c>
      <c r="T20">
        <f>VLOOKUP($A20,'UN Treasury'!$A$1:$BQ$224,_xlfn.XMATCH(T$1,'UN Treasury'!$A$1:$BQ$1,-1,1),FALSE)</f>
        <v>1</v>
      </c>
      <c r="U20">
        <f>VLOOKUP($A20,'UN Treasury'!$A$1:$BQ$224,_xlfn.XMATCH(U$1,'UN Treasury'!$A$1:$BQ$1,-1,1),FALSE)</f>
        <v>1</v>
      </c>
      <c r="V20">
        <f>VLOOKUP($A20,'UN Treasury'!$A$1:$BQ$224,_xlfn.XMATCH(V$1,'UN Treasury'!$A$1:$BQ$1,-1,1),FALSE)</f>
        <v>1</v>
      </c>
      <c r="W20">
        <f>VLOOKUP($A20,'UN Treasury'!$A$1:$BQ$224,_xlfn.XMATCH(W$1,'UN Treasury'!$A$1:$BQ$1,-1,1),FALSE)</f>
        <v>1</v>
      </c>
      <c r="X20">
        <f>VLOOKUP($A20,'UN Treasury'!$A$1:$BQ$224,_xlfn.XMATCH(X$1,'UN Treasury'!$A$1:$BQ$1,-1,1),FALSE)</f>
        <v>1</v>
      </c>
      <c r="Y20">
        <f>VLOOKUP($A20,'UN Treasury'!$A$1:$BQ$224,_xlfn.XMATCH(Y$1,'UN Treasury'!$A$1:$BQ$1,-1,1),FALSE)</f>
        <v>1</v>
      </c>
      <c r="Z20">
        <f>VLOOKUP($A20,'UN Treasury'!$A$1:$BQ$224,_xlfn.XMATCH(Z$1,'UN Treasury'!$A$1:$BQ$1,-1,1),FALSE)</f>
        <v>1</v>
      </c>
      <c r="AA20">
        <f>VLOOKUP($A20,'UN Treasury'!$A$1:$BQ$224,_xlfn.XMATCH(AA$1,'UN Treasury'!$A$1:$BQ$1,-1,1),FALSE)</f>
        <v>1</v>
      </c>
      <c r="AB20">
        <f>VLOOKUP($A20,'UN Treasury'!$A$1:$BQ$224,_xlfn.XMATCH(AB$1,'UN Treasury'!$A$1:$BQ$1,-1,1),FALSE)</f>
        <v>1</v>
      </c>
      <c r="AC20">
        <f>VLOOKUP($A20,'UN Treasury'!$A$1:$BQ$224,_xlfn.XMATCH(AC$1,'UN Treasury'!$A$1:$BQ$1,-1,1),FALSE)</f>
        <v>1</v>
      </c>
      <c r="AD20">
        <f>VLOOKUP($A20,'UN Treasury'!$A$1:$BQ$224,_xlfn.XMATCH(AD$1,'UN Treasury'!$A$1:$BQ$1,-1,1),FALSE)</f>
        <v>1</v>
      </c>
      <c r="AE20">
        <f>VLOOKUP($A20,'UN Treasury'!$A$1:$BQ$224,_xlfn.XMATCH(AE$1,'UN Treasury'!$A$1:$BQ$1,-1,1),FALSE)</f>
        <v>1</v>
      </c>
      <c r="AF20">
        <f>VLOOKUP($A20,'UN Treasury'!$A$1:$BQ$224,_xlfn.XMATCH(AF$1,'UN Treasury'!$A$1:$BQ$1,-1,1),FALSE)</f>
        <v>1</v>
      </c>
      <c r="AG20">
        <f>VLOOKUP($A20,'UN Treasury'!$A$1:$BQ$224,_xlfn.XMATCH(AG$1,'UN Treasury'!$A$1:$BQ$1,-1,1),FALSE)</f>
        <v>1</v>
      </c>
      <c r="AH20">
        <f>VLOOKUP($A20,'UN Treasury'!$A$1:$BQ$224,_xlfn.XMATCH(AH$1,'UN Treasury'!$A$1:$BQ$1,-1,1),FALSE)</f>
        <v>1</v>
      </c>
      <c r="AI20">
        <f>VLOOKUP($A20,'UN Treasury'!$A$1:$BQ$224,_xlfn.XMATCH(AI$1,'UN Treasury'!$A$1:$BQ$1,-1,1),FALSE)</f>
        <v>1</v>
      </c>
      <c r="AJ20">
        <f>VLOOKUP($A20,'UN Treasury'!$A$1:$BQ$224,_xlfn.XMATCH(AJ$1,'UN Treasury'!$A$1:$BQ$1,-1,1),FALSE)</f>
        <v>1</v>
      </c>
      <c r="AK20">
        <f>VLOOKUP($A20,'UN Treasury'!$A$1:$BQ$224,_xlfn.XMATCH(AK$1,'UN Treasury'!$A$1:$BQ$1,-1,1),FALSE)</f>
        <v>1</v>
      </c>
      <c r="AL20">
        <f>VLOOKUP($A20,'UN Treasury'!$A$1:$BQ$224,_xlfn.XMATCH(AL$1,'UN Treasury'!$A$1:$BQ$1,-1,1),FALSE)</f>
        <v>1</v>
      </c>
      <c r="AM20">
        <f>VLOOKUP($A20,'UN Treasury'!$A$1:$BQ$224,_xlfn.XMATCH(AM$1,'UN Treasury'!$A$1:$BQ$1,-1,1),FALSE)</f>
        <v>1</v>
      </c>
      <c r="AN20">
        <f>VLOOKUP($A20,'UN Treasury'!$A$1:$BQ$224,_xlfn.XMATCH(AN$1,'UN Treasury'!$A$1:$BQ$1,-1,1),FALSE)</f>
        <v>1</v>
      </c>
      <c r="AO20">
        <f>VLOOKUP($A20,'UN Treasury'!$A$1:$BQ$224,_xlfn.XMATCH(AO$1,'UN Treasury'!$A$1:$BQ$1,-1,1),FALSE)</f>
        <v>1</v>
      </c>
      <c r="AP20">
        <f>VLOOKUP($A20,'UN Treasury'!$A$1:$BQ$224,_xlfn.XMATCH(AP$1,'UN Treasury'!$A$1:$BQ$1,-1,1),FALSE)</f>
        <v>1</v>
      </c>
      <c r="AQ20">
        <f>VLOOKUP($A20,'UN Treasury'!$A$1:$BQ$224,_xlfn.XMATCH(AQ$1,'UN Treasury'!$A$1:$BQ$1,-1,1),FALSE)</f>
        <v>1</v>
      </c>
      <c r="AR20">
        <f>VLOOKUP($A20,'UN Treasury'!$A$1:$BQ$224,_xlfn.XMATCH(AR$1,'UN Treasury'!$A$1:$BQ$1,-1,1),FALSE)</f>
        <v>1</v>
      </c>
      <c r="AS20">
        <f>VLOOKUP($A20,'UN Treasury'!$A$1:$BQ$224,_xlfn.XMATCH(AS$1,'UN Treasury'!$A$1:$BQ$1,-1,1),FALSE)</f>
        <v>1</v>
      </c>
      <c r="AT20">
        <f>VLOOKUP($A20,'UN Treasury'!$A$1:$BQ$224,_xlfn.XMATCH(AT$1,'UN Treasury'!$A$1:$BQ$1,-1,1),FALSE)</f>
        <v>1</v>
      </c>
      <c r="AU20">
        <f>VLOOKUP($A20,'UN Treasury'!$A$1:$BQ$224,_xlfn.XMATCH(AU$1,'UN Treasury'!$A$1:$BQ$1,-1,1),FALSE)</f>
        <v>1</v>
      </c>
      <c r="AV20">
        <f>VLOOKUP($A20,'UN Treasury'!$A$1:$BQ$224,_xlfn.XMATCH(AV$1,'UN Treasury'!$A$1:$BQ$1,-1,1),FALSE)</f>
        <v>1</v>
      </c>
      <c r="AW20">
        <f>VLOOKUP($A20,'UN Treasury'!$A$1:$BQ$224,_xlfn.XMATCH(AW$1,'UN Treasury'!$A$1:$BQ$1,-1,1),FALSE)</f>
        <v>1</v>
      </c>
      <c r="AX20">
        <f>VLOOKUP($A20,'UN Treasury'!$A$1:$BQ$224,_xlfn.XMATCH(AX$1,'UN Treasury'!$A$1:$BQ$1,-1,1),FALSE)</f>
        <v>1</v>
      </c>
      <c r="AY20">
        <f>VLOOKUP($A20,'UN Treasury'!$A$1:$BQ$224,_xlfn.XMATCH(AY$1,'UN Treasury'!$A$1:$BQ$1,-1,1),FALSE)</f>
        <v>1</v>
      </c>
      <c r="AZ20">
        <f>VLOOKUP($A20,'UN Treasury'!$A$1:$BQ$224,_xlfn.XMATCH(AZ$1,'UN Treasury'!$A$1:$BQ$1,-1,1),FALSE)</f>
        <v>1</v>
      </c>
      <c r="BA20">
        <f>VLOOKUP($A20,'UN Treasury'!$A$1:$BQ$224,_xlfn.XMATCH(BA$1,'UN Treasury'!$A$1:$BQ$1,-1,1),FALSE)</f>
        <v>1</v>
      </c>
      <c r="BB20">
        <f>VLOOKUP($A20,'UN Treasury'!$A$1:$BQ$224,_xlfn.XMATCH(BB$1,'UN Treasury'!$A$1:$BQ$1,-1,1),FALSE)</f>
        <v>1</v>
      </c>
      <c r="BC20">
        <f>VLOOKUP($A20,'UN Treasury'!$A$1:$BQ$224,_xlfn.XMATCH(BC$1,'UN Treasury'!$A$1:$BQ$1,-1,1),FALSE)</f>
        <v>1</v>
      </c>
      <c r="BD20">
        <f>VLOOKUP($A20,'UN Treasury'!$A$1:$BQ$224,_xlfn.XMATCH(BD$1,'UN Treasury'!$A$1:$BQ$1,-1,1),FALSE)</f>
        <v>1</v>
      </c>
      <c r="BE20">
        <f>VLOOKUP($A20,'UN Treasury'!$A$1:$BQ$224,_xlfn.XMATCH(BE$1,'UN Treasury'!$A$1:$BQ$1,-1,1),FALSE)</f>
        <v>1</v>
      </c>
      <c r="BF20">
        <f>VLOOKUP($A20,'UN Treasury'!$A$1:$BQ$224,_xlfn.XMATCH(BF$1,'UN Treasury'!$A$1:$BQ$1,-1,1),FALSE)</f>
        <v>1</v>
      </c>
      <c r="BG20">
        <f>VLOOKUP($A20,'UN Treasury'!$A$1:$BQ$224,_xlfn.XMATCH(BG$1,'UN Treasury'!$A$1:$BQ$1,-1,1),FALSE)</f>
        <v>1</v>
      </c>
      <c r="BH20">
        <f>VLOOKUP($A20,'UN Treasury'!$A$1:$BQ$224,_xlfn.XMATCH(BH$1,'UN Treasury'!$A$1:$BQ$1,-1,1),FALSE)</f>
        <v>1</v>
      </c>
      <c r="BI20">
        <f>VLOOKUP($A20,'UN Treasury'!$A$1:$BQ$224,_xlfn.XMATCH(BI$1,'UN Treasury'!$A$1:$BQ$1,-1,1),FALSE)</f>
        <v>1</v>
      </c>
      <c r="BJ20">
        <f>VLOOKUP($A20,'UN Treasury'!$A$1:$BQ$224,_xlfn.XMATCH(BJ$1,'UN Treasury'!$A$1:$BQ$1,-1,1),FALSE)</f>
        <v>1</v>
      </c>
      <c r="BK20">
        <f>VLOOKUP($A20,'UN Treasury'!$A$1:$BQ$224,_xlfn.XMATCH(BK$1,'UN Treasury'!$A$1:$BQ$1,-1,1),FALSE)</f>
        <v>1</v>
      </c>
      <c r="BL20">
        <f>VLOOKUP($A20,'UN Treasury'!$A$1:$BQ$224,_xlfn.XMATCH(BL$1,'UN Treasury'!$A$1:$BQ$1,-1,1),FALSE)</f>
        <v>1</v>
      </c>
      <c r="BM20">
        <f>VLOOKUP($A20,'UN Treasury'!$A$1:$BQ$224,_xlfn.XMATCH(BM$1,'UN Treasury'!$A$1:$BQ$1,-1,1),FALSE)</f>
        <v>1</v>
      </c>
      <c r="BN20">
        <f>VLOOKUP($A20,'UN Treasury'!$A$1:$BQ$224,_xlfn.XMATCH(BN$1,'UN Treasury'!$A$1:$BQ$1,-1,1),FALSE)</f>
        <v>1</v>
      </c>
      <c r="BO20">
        <f>VLOOKUP($A20,'UN Treasury'!$A$1:$BQ$224,_xlfn.XMATCH(BO$1,'UN Treasury'!$A$1:$BQ$1,-1,1),FALSE)</f>
        <v>1</v>
      </c>
      <c r="BP20">
        <f>VLOOKUP($A20,'UN Treasury'!$A$1:$BQ$224,_xlfn.XMATCH(BP$1,'UN Treasury'!$A$1:$BQ$1,-1,1),FALSE)</f>
        <v>1</v>
      </c>
      <c r="BQ20">
        <f>VLOOKUP($A20,'UN Treasury'!$A$1:$BQ$224,_xlfn.XMATCH(BQ$1,'UN Treasury'!$A$1:$BQ$1,-1,1),FALSE)</f>
        <v>1</v>
      </c>
    </row>
    <row r="21" spans="1:69" x14ac:dyDescent="0.25">
      <c r="A21" t="s">
        <v>69</v>
      </c>
      <c r="B21">
        <f>VLOOKUP($A21,'UN Treasury'!$A$1:$BQ$224,_xlfn.XMATCH(B$1,'UN Treasury'!$A$1:$BQ$1,-1,1),FALSE)</f>
        <v>95.44</v>
      </c>
      <c r="C21">
        <f>VLOOKUP($A21,'UN Treasury'!$A$1:$BQ$224,_xlfn.XMATCH(C$1,'UN Treasury'!$A$1:$BQ$1,-1,1),FALSE)</f>
        <v>95.62</v>
      </c>
      <c r="D21">
        <f>VLOOKUP($A21,'UN Treasury'!$A$1:$BQ$224,_xlfn.XMATCH(D$1,'UN Treasury'!$A$1:$BQ$1,-1,1),FALSE)</f>
        <v>95.754999999999995</v>
      </c>
      <c r="E21">
        <f>VLOOKUP($A21,'UN Treasury'!$A$1:$BQ$224,_xlfn.XMATCH(E$1,'UN Treasury'!$A$1:$BQ$1,-1,1),FALSE)</f>
        <v>95.704999999999998</v>
      </c>
      <c r="F21">
        <f>VLOOKUP($A21,'UN Treasury'!$A$1:$BQ$224,_xlfn.XMATCH(F$1,'UN Treasury'!$A$1:$BQ$1,-1,1),FALSE)</f>
        <v>93.37</v>
      </c>
      <c r="G21">
        <f>VLOOKUP($A21,'UN Treasury'!$A$1:$BQ$224,_xlfn.XMATCH(G$1,'UN Treasury'!$A$1:$BQ$1,-1,1),FALSE)</f>
        <v>92.192999999999998</v>
      </c>
      <c r="H21">
        <f>VLOOKUP($A21,'UN Treasury'!$A$1:$BQ$224,_xlfn.XMATCH(H$1,'UN Treasury'!$A$1:$BQ$1,-1,1),FALSE)</f>
        <v>90.59</v>
      </c>
      <c r="I21">
        <f>VLOOKUP($A21,'UN Treasury'!$A$1:$BQ$224,_xlfn.XMATCH(I$1,'UN Treasury'!$A$1:$BQ$1,-1,1),FALSE)</f>
        <v>90.185000000000002</v>
      </c>
      <c r="J21">
        <f>VLOOKUP($A21,'UN Treasury'!$A$1:$BQ$224,_xlfn.XMATCH(J$1,'UN Treasury'!$A$1:$BQ$1,-1,1),FALSE)</f>
        <v>90.36</v>
      </c>
      <c r="K21">
        <f>VLOOKUP($A21,'UN Treasury'!$A$1:$BQ$224,_xlfn.XMATCH(K$1,'UN Treasury'!$A$1:$BQ$1,-1,1),FALSE)</f>
        <v>88.628</v>
      </c>
      <c r="L21">
        <f>VLOOKUP($A21,'UN Treasury'!$A$1:$BQ$224,_xlfn.XMATCH(L$1,'UN Treasury'!$A$1:$BQ$1,-1,1),FALSE)</f>
        <v>88.673000000000002</v>
      </c>
      <c r="M21">
        <f>VLOOKUP($A21,'UN Treasury'!$A$1:$BQ$224,_xlfn.XMATCH(M$1,'UN Treasury'!$A$1:$BQ$1,-1,1),FALSE)</f>
        <v>88.44</v>
      </c>
      <c r="N21">
        <f>VLOOKUP($A21,'UN Treasury'!$A$1:$BQ$224,_xlfn.XMATCH(N$1,'UN Treasury'!$A$1:$BQ$1,-1,1),FALSE)</f>
        <v>87.49</v>
      </c>
      <c r="O21">
        <f>VLOOKUP($A21,'UN Treasury'!$A$1:$BQ$224,_xlfn.XMATCH(O$1,'UN Treasury'!$A$1:$BQ$1,-1,1),FALSE)</f>
        <v>85.79</v>
      </c>
      <c r="P21">
        <f>VLOOKUP($A21,'UN Treasury'!$A$1:$BQ$224,_xlfn.XMATCH(P$1,'UN Treasury'!$A$1:$BQ$1,-1,1),FALSE)</f>
        <v>85.51</v>
      </c>
      <c r="Q21">
        <f>VLOOKUP($A21,'UN Treasury'!$A$1:$BQ$224,_xlfn.XMATCH(Q$1,'UN Treasury'!$A$1:$BQ$1,-1,1),FALSE)</f>
        <v>85.34</v>
      </c>
      <c r="R21">
        <f>VLOOKUP($A21,'UN Treasury'!$A$1:$BQ$224,_xlfn.XMATCH(R$1,'UN Treasury'!$A$1:$BQ$1,-1,1),FALSE)</f>
        <v>86.04</v>
      </c>
      <c r="S21">
        <f>VLOOKUP($A21,'UN Treasury'!$A$1:$BQ$224,_xlfn.XMATCH(S$1,'UN Treasury'!$A$1:$BQ$1,-1,1),FALSE)</f>
        <v>87.2</v>
      </c>
      <c r="T21">
        <f>VLOOKUP($A21,'UN Treasury'!$A$1:$BQ$224,_xlfn.XMATCH(T$1,'UN Treasury'!$A$1:$BQ$1,-1,1),FALSE)</f>
        <v>86.89</v>
      </c>
      <c r="U21">
        <f>VLOOKUP($A21,'UN Treasury'!$A$1:$BQ$224,_xlfn.XMATCH(U$1,'UN Treasury'!$A$1:$BQ$1,-1,1),FALSE)</f>
        <v>86.58</v>
      </c>
      <c r="V21">
        <f>VLOOKUP($A21,'UN Treasury'!$A$1:$BQ$224,_xlfn.XMATCH(V$1,'UN Treasury'!$A$1:$BQ$1,-1,1),FALSE)</f>
        <v>84.84</v>
      </c>
      <c r="W21">
        <f>VLOOKUP($A21,'UN Treasury'!$A$1:$BQ$224,_xlfn.XMATCH(W$1,'UN Treasury'!$A$1:$BQ$1,-1,1),FALSE)</f>
        <v>84.38</v>
      </c>
      <c r="X21">
        <f>VLOOKUP($A21,'UN Treasury'!$A$1:$BQ$224,_xlfn.XMATCH(X$1,'UN Treasury'!$A$1:$BQ$1,-1,1),FALSE)</f>
        <v>84.07</v>
      </c>
      <c r="Y21">
        <f>VLOOKUP($A21,'UN Treasury'!$A$1:$BQ$224,_xlfn.XMATCH(Y$1,'UN Treasury'!$A$1:$BQ$1,-1,1),FALSE)</f>
        <v>83.97</v>
      </c>
      <c r="Z21">
        <f>VLOOKUP($A21,'UN Treasury'!$A$1:$BQ$224,_xlfn.XMATCH(Z$1,'UN Treasury'!$A$1:$BQ$1,-1,1),FALSE)</f>
        <v>83.97</v>
      </c>
      <c r="AA21">
        <f>VLOOKUP($A21,'UN Treasury'!$A$1:$BQ$224,_xlfn.XMATCH(AA$1,'UN Treasury'!$A$1:$BQ$1,-1,1),FALSE)</f>
        <v>83.56</v>
      </c>
      <c r="AB21">
        <f>VLOOKUP($A21,'UN Treasury'!$A$1:$BQ$224,_xlfn.XMATCH(AB$1,'UN Treasury'!$A$1:$BQ$1,-1,1),FALSE)</f>
        <v>83.54</v>
      </c>
      <c r="AC21">
        <f>VLOOKUP($A21,'UN Treasury'!$A$1:$BQ$224,_xlfn.XMATCH(AC$1,'UN Treasury'!$A$1:$BQ$1,-1,1),FALSE)</f>
        <v>83.52</v>
      </c>
      <c r="AD21">
        <f>VLOOKUP($A21,'UN Treasury'!$A$1:$BQ$224,_xlfn.XMATCH(AD$1,'UN Treasury'!$A$1:$BQ$1,-1,1),FALSE)</f>
        <v>83.19</v>
      </c>
      <c r="AE21">
        <f>VLOOKUP($A21,'UN Treasury'!$A$1:$BQ$224,_xlfn.XMATCH(AE$1,'UN Treasury'!$A$1:$BQ$1,-1,1),FALSE)</f>
        <v>82.85</v>
      </c>
      <c r="AF21">
        <f>VLOOKUP($A21,'UN Treasury'!$A$1:$BQ$224,_xlfn.XMATCH(AF$1,'UN Treasury'!$A$1:$BQ$1,-1,1),FALSE)</f>
        <v>83.01</v>
      </c>
      <c r="AG21">
        <f>VLOOKUP($A21,'UN Treasury'!$A$1:$BQ$224,_xlfn.XMATCH(AG$1,'UN Treasury'!$A$1:$BQ$1,-1,1),FALSE)</f>
        <v>83.03</v>
      </c>
      <c r="AH21">
        <f>VLOOKUP($A21,'UN Treasury'!$A$1:$BQ$224,_xlfn.XMATCH(AH$1,'UN Treasury'!$A$1:$BQ$1,-1,1),FALSE)</f>
        <v>83.4</v>
      </c>
      <c r="AI21">
        <f>VLOOKUP($A21,'UN Treasury'!$A$1:$BQ$224,_xlfn.XMATCH(AI$1,'UN Treasury'!$A$1:$BQ$1,-1,1),FALSE)</f>
        <v>83.33</v>
      </c>
      <c r="AJ21">
        <f>VLOOKUP($A21,'UN Treasury'!$A$1:$BQ$224,_xlfn.XMATCH(AJ$1,'UN Treasury'!$A$1:$BQ$1,-1,1),FALSE)</f>
        <v>83.18</v>
      </c>
      <c r="AK21">
        <f>VLOOKUP($A21,'UN Treasury'!$A$1:$BQ$224,_xlfn.XMATCH(AK$1,'UN Treasury'!$A$1:$BQ$1,-1,1),FALSE)</f>
        <v>82.98</v>
      </c>
      <c r="AL21">
        <f>VLOOKUP($A21,'UN Treasury'!$A$1:$BQ$224,_xlfn.XMATCH(AL$1,'UN Treasury'!$A$1:$BQ$1,-1,1),FALSE)</f>
        <v>82.84</v>
      </c>
      <c r="AM21">
        <f>VLOOKUP($A21,'UN Treasury'!$A$1:$BQ$224,_xlfn.XMATCH(AM$1,'UN Treasury'!$A$1:$BQ$1,-1,1),FALSE)</f>
        <v>82.25</v>
      </c>
      <c r="AN21">
        <f>VLOOKUP($A21,'UN Treasury'!$A$1:$BQ$224,_xlfn.XMATCH(AN$1,'UN Treasury'!$A$1:$BQ$1,-1,1),FALSE)</f>
        <v>82.37</v>
      </c>
      <c r="AO21">
        <f>VLOOKUP($A21,'UN Treasury'!$A$1:$BQ$224,_xlfn.XMATCH(AO$1,'UN Treasury'!$A$1:$BQ$1,-1,1),FALSE)</f>
        <v>82.09</v>
      </c>
      <c r="AP21">
        <f>VLOOKUP($A21,'UN Treasury'!$A$1:$BQ$224,_xlfn.XMATCH(AP$1,'UN Treasury'!$A$1:$BQ$1,-1,1),FALSE)</f>
        <v>82.09</v>
      </c>
      <c r="AQ21">
        <f>VLOOKUP($A21,'UN Treasury'!$A$1:$BQ$224,_xlfn.XMATCH(AQ$1,'UN Treasury'!$A$1:$BQ$1,-1,1),FALSE)</f>
        <v>82.12</v>
      </c>
      <c r="AR21">
        <f>VLOOKUP($A21,'UN Treasury'!$A$1:$BQ$224,_xlfn.XMATCH(AR$1,'UN Treasury'!$A$1:$BQ$1,-1,1),FALSE)</f>
        <v>82.73</v>
      </c>
      <c r="AS21">
        <f>VLOOKUP($A21,'UN Treasury'!$A$1:$BQ$224,_xlfn.XMATCH(AS$1,'UN Treasury'!$A$1:$BQ$1,-1,1),FALSE)</f>
        <v>81.569999999999993</v>
      </c>
      <c r="AT21">
        <f>VLOOKUP($A21,'UN Treasury'!$A$1:$BQ$224,_xlfn.XMATCH(AT$1,'UN Treasury'!$A$1:$BQ$1,-1,1),FALSE)</f>
        <v>82.8</v>
      </c>
      <c r="AU21">
        <f>VLOOKUP($A21,'UN Treasury'!$A$1:$BQ$224,_xlfn.XMATCH(AU$1,'UN Treasury'!$A$1:$BQ$1,-1,1),FALSE)</f>
        <v>80.8</v>
      </c>
      <c r="AV21">
        <f>VLOOKUP($A21,'UN Treasury'!$A$1:$BQ$224,_xlfn.XMATCH(AV$1,'UN Treasury'!$A$1:$BQ$1,-1,1),FALSE)</f>
        <v>82.31</v>
      </c>
      <c r="AW21">
        <f>VLOOKUP($A21,'UN Treasury'!$A$1:$BQ$224,_xlfn.XMATCH(AW$1,'UN Treasury'!$A$1:$BQ$1,-1,1),FALSE)</f>
        <v>79.14</v>
      </c>
      <c r="AX21">
        <f>VLOOKUP($A21,'UN Treasury'!$A$1:$BQ$224,_xlfn.XMATCH(AX$1,'UN Treasury'!$A$1:$BQ$1,-1,1),FALSE)</f>
        <v>79.63</v>
      </c>
      <c r="AY21">
        <f>VLOOKUP($A21,'UN Treasury'!$A$1:$BQ$224,_xlfn.XMATCH(AY$1,'UN Treasury'!$A$1:$BQ$1,-1,1),FALSE)</f>
        <v>79.63</v>
      </c>
      <c r="AZ21">
        <f>VLOOKUP($A21,'UN Treasury'!$A$1:$BQ$224,_xlfn.XMATCH(AZ$1,'UN Treasury'!$A$1:$BQ$1,-1,1),FALSE)</f>
        <v>78.03</v>
      </c>
      <c r="BA21">
        <f>VLOOKUP($A21,'UN Treasury'!$A$1:$BQ$224,_xlfn.XMATCH(BA$1,'UN Treasury'!$A$1:$BQ$1,-1,1),FALSE)</f>
        <v>77.23</v>
      </c>
      <c r="BB21">
        <f>VLOOKUP($A21,'UN Treasury'!$A$1:$BQ$224,_xlfn.XMATCH(BB$1,'UN Treasury'!$A$1:$BQ$1,-1,1),FALSE)</f>
        <v>76.13</v>
      </c>
      <c r="BC21">
        <f>VLOOKUP($A21,'UN Treasury'!$A$1:$BQ$224,_xlfn.XMATCH(BC$1,'UN Treasury'!$A$1:$BQ$1,-1,1),FALSE)</f>
        <v>76.59</v>
      </c>
      <c r="BD21">
        <f>VLOOKUP($A21,'UN Treasury'!$A$1:$BQ$224,_xlfn.XMATCH(BD$1,'UN Treasury'!$A$1:$BQ$1,-1,1),FALSE)</f>
        <v>75.38</v>
      </c>
      <c r="BE21">
        <f>VLOOKUP($A21,'UN Treasury'!$A$1:$BQ$224,_xlfn.XMATCH(BE$1,'UN Treasury'!$A$1:$BQ$1,-1,1),FALSE)</f>
        <v>73.91</v>
      </c>
      <c r="BF21">
        <f>VLOOKUP($A21,'UN Treasury'!$A$1:$BQ$224,_xlfn.XMATCH(BF$1,'UN Treasury'!$A$1:$BQ$1,-1,1),FALSE)</f>
        <v>75.09</v>
      </c>
      <c r="BG21">
        <f>VLOOKUP($A21,'UN Treasury'!$A$1:$BQ$224,_xlfn.XMATCH(BG$1,'UN Treasury'!$A$1:$BQ$1,-1,1),FALSE)</f>
        <v>74.92</v>
      </c>
      <c r="BH21">
        <f>VLOOKUP($A21,'UN Treasury'!$A$1:$BQ$224,_xlfn.XMATCH(BH$1,'UN Treasury'!$A$1:$BQ$1,-1,1),FALSE)</f>
        <v>74.150000000000006</v>
      </c>
      <c r="BI21">
        <f>VLOOKUP($A21,'UN Treasury'!$A$1:$BQ$224,_xlfn.XMATCH(BI$1,'UN Treasury'!$A$1:$BQ$1,-1,1),FALSE)</f>
        <v>73.27</v>
      </c>
      <c r="BJ21">
        <f>VLOOKUP($A21,'UN Treasury'!$A$1:$BQ$224,_xlfn.XMATCH(BJ$1,'UN Treasury'!$A$1:$BQ$1,-1,1),FALSE)</f>
        <v>74.28</v>
      </c>
      <c r="BK21">
        <f>VLOOKUP($A21,'UN Treasury'!$A$1:$BQ$224,_xlfn.XMATCH(BK$1,'UN Treasury'!$A$1:$BQ$1,-1,1),FALSE)</f>
        <v>74.19</v>
      </c>
      <c r="BL21">
        <f>VLOOKUP($A21,'UN Treasury'!$A$1:$BQ$224,_xlfn.XMATCH(BL$1,'UN Treasury'!$A$1:$BQ$1,-1,1),FALSE)</f>
        <v>72.58</v>
      </c>
      <c r="BM21">
        <f>VLOOKUP($A21,'UN Treasury'!$A$1:$BQ$224,_xlfn.XMATCH(BM$1,'UN Treasury'!$A$1:$BQ$1,-1,1),FALSE)</f>
        <v>74.040000000000006</v>
      </c>
      <c r="BN21">
        <f>VLOOKUP($A21,'UN Treasury'!$A$1:$BQ$224,_xlfn.XMATCH(BN$1,'UN Treasury'!$A$1:$BQ$1,-1,1),FALSE)</f>
        <v>73.38</v>
      </c>
      <c r="BO21">
        <f>VLOOKUP($A21,'UN Treasury'!$A$1:$BQ$224,_xlfn.XMATCH(BO$1,'UN Treasury'!$A$1:$BQ$1,-1,1),FALSE)</f>
        <v>72.42</v>
      </c>
      <c r="BP21">
        <f>VLOOKUP($A21,'UN Treasury'!$A$1:$BQ$224,_xlfn.XMATCH(BP$1,'UN Treasury'!$A$1:$BQ$1,-1,1),FALSE)</f>
        <v>73.040000000000006</v>
      </c>
      <c r="BQ21">
        <f>VLOOKUP($A21,'UN Treasury'!$A$1:$BQ$224,_xlfn.XMATCH(BQ$1,'UN Treasury'!$A$1:$BQ$1,-1,1),FALSE)</f>
        <v>73.42</v>
      </c>
    </row>
    <row r="22" spans="1:69" x14ac:dyDescent="0.25">
      <c r="A22" t="s">
        <v>76</v>
      </c>
      <c r="B22">
        <f>VLOOKUP($A22,'UN Treasury'!$A$1:$BQ$224,_xlfn.XMATCH(B$1,'UN Treasury'!$A$1:$BQ$1,-1,1),FALSE)</f>
        <v>13.965999999999999</v>
      </c>
      <c r="C22">
        <f>VLOOKUP($A22,'UN Treasury'!$A$1:$BQ$224,_xlfn.XMATCH(C$1,'UN Treasury'!$A$1:$BQ$1,-1,1),FALSE)</f>
        <v>13.87</v>
      </c>
      <c r="D22">
        <f>VLOOKUP($A22,'UN Treasury'!$A$1:$BQ$224,_xlfn.XMATCH(D$1,'UN Treasury'!$A$1:$BQ$1,-1,1),FALSE)</f>
        <v>13.965999999999999</v>
      </c>
      <c r="E22">
        <f>VLOOKUP($A22,'UN Treasury'!$A$1:$BQ$224,_xlfn.XMATCH(E$1,'UN Treasury'!$A$1:$BQ$1,-1,1),FALSE)</f>
        <v>13.717000000000001</v>
      </c>
      <c r="F22">
        <f>VLOOKUP($A22,'UN Treasury'!$A$1:$BQ$224,_xlfn.XMATCH(F$1,'UN Treasury'!$A$1:$BQ$1,-1,1),FALSE)</f>
        <v>13.888999999999999</v>
      </c>
      <c r="G22">
        <f>VLOOKUP($A22,'UN Treasury'!$A$1:$BQ$224,_xlfn.XMATCH(G$1,'UN Treasury'!$A$1:$BQ$1,-1,1),FALSE)</f>
        <v>13.661</v>
      </c>
      <c r="H22">
        <f>VLOOKUP($A22,'UN Treasury'!$A$1:$BQ$224,_xlfn.XMATCH(H$1,'UN Treasury'!$A$1:$BQ$1,-1,1),FALSE)</f>
        <v>13.55</v>
      </c>
      <c r="I22">
        <f>VLOOKUP($A22,'UN Treasury'!$A$1:$BQ$224,_xlfn.XMATCH(I$1,'UN Treasury'!$A$1:$BQ$1,-1,1),FALSE)</f>
        <v>13.831</v>
      </c>
      <c r="J22">
        <f>VLOOKUP($A22,'UN Treasury'!$A$1:$BQ$224,_xlfn.XMATCH(J$1,'UN Treasury'!$A$1:$BQ$1,-1,1),FALSE)</f>
        <v>14.045</v>
      </c>
      <c r="K22">
        <f>VLOOKUP($A22,'UN Treasury'!$A$1:$BQ$224,_xlfn.XMATCH(K$1,'UN Treasury'!$A$1:$BQ$1,-1,1),FALSE)</f>
        <v>14.065</v>
      </c>
      <c r="L22">
        <f>VLOOKUP($A22,'UN Treasury'!$A$1:$BQ$224,_xlfn.XMATCH(L$1,'UN Treasury'!$A$1:$BQ$1,-1,1),FALSE)</f>
        <v>14.124000000000001</v>
      </c>
      <c r="M22">
        <f>VLOOKUP($A22,'UN Treasury'!$A$1:$BQ$224,_xlfn.XMATCH(M$1,'UN Treasury'!$A$1:$BQ$1,-1,1),FALSE)</f>
        <v>14.124000000000001</v>
      </c>
      <c r="N22">
        <f>VLOOKUP($A22,'UN Treasury'!$A$1:$BQ$224,_xlfn.XMATCH(N$1,'UN Treasury'!$A$1:$BQ$1,-1,1),FALSE)</f>
        <v>13.263</v>
      </c>
      <c r="O22">
        <f>VLOOKUP($A22,'UN Treasury'!$A$1:$BQ$224,_xlfn.XMATCH(O$1,'UN Treasury'!$A$1:$BQ$1,-1,1),FALSE)</f>
        <v>12.987</v>
      </c>
      <c r="P22">
        <f>VLOOKUP($A22,'UN Treasury'!$A$1:$BQ$224,_xlfn.XMATCH(P$1,'UN Treasury'!$A$1:$BQ$1,-1,1),FALSE)</f>
        <v>13.298</v>
      </c>
      <c r="Q22">
        <f>VLOOKUP($A22,'UN Treasury'!$A$1:$BQ$224,_xlfn.XMATCH(Q$1,'UN Treasury'!$A$1:$BQ$1,-1,1),FALSE)</f>
        <v>13.605</v>
      </c>
      <c r="R22">
        <f>VLOOKUP($A22,'UN Treasury'!$A$1:$BQ$224,_xlfn.XMATCH(R$1,'UN Treasury'!$A$1:$BQ$1,-1,1),FALSE)</f>
        <v>13.811999999999999</v>
      </c>
      <c r="S22">
        <f>VLOOKUP($A22,'UN Treasury'!$A$1:$BQ$224,_xlfn.XMATCH(S$1,'UN Treasury'!$A$1:$BQ$1,-1,1),FALSE)</f>
        <v>13.624000000000001</v>
      </c>
      <c r="T22">
        <f>VLOOKUP($A22,'UN Treasury'!$A$1:$BQ$224,_xlfn.XMATCH(T$1,'UN Treasury'!$A$1:$BQ$1,-1,1),FALSE)</f>
        <v>13.773999999999999</v>
      </c>
      <c r="U22">
        <f>VLOOKUP($A22,'UN Treasury'!$A$1:$BQ$224,_xlfn.XMATCH(U$1,'UN Treasury'!$A$1:$BQ$1,-1,1),FALSE)</f>
        <v>14.065</v>
      </c>
      <c r="V22">
        <f>VLOOKUP($A22,'UN Treasury'!$A$1:$BQ$224,_xlfn.XMATCH(V$1,'UN Treasury'!$A$1:$BQ$1,-1,1),FALSE)</f>
        <v>13.532</v>
      </c>
      <c r="W22">
        <f>VLOOKUP($A22,'UN Treasury'!$A$1:$BQ$224,_xlfn.XMATCH(W$1,'UN Treasury'!$A$1:$BQ$1,-1,1),FALSE)</f>
        <v>13.55</v>
      </c>
      <c r="X22">
        <f>VLOOKUP($A22,'UN Treasury'!$A$1:$BQ$224,_xlfn.XMATCH(X$1,'UN Treasury'!$A$1:$BQ$1,-1,1),FALSE)</f>
        <v>13.263</v>
      </c>
      <c r="Y22">
        <f>VLOOKUP($A22,'UN Treasury'!$A$1:$BQ$224,_xlfn.XMATCH(Y$1,'UN Treasury'!$A$1:$BQ$1,-1,1),FALSE)</f>
        <v>13.298</v>
      </c>
      <c r="Z22">
        <f>VLOOKUP($A22,'UN Treasury'!$A$1:$BQ$224,_xlfn.XMATCH(Z$1,'UN Treasury'!$A$1:$BQ$1,-1,1),FALSE)</f>
        <v>13.459</v>
      </c>
      <c r="AA22">
        <f>VLOOKUP($A22,'UN Treasury'!$A$1:$BQ$224,_xlfn.XMATCH(AA$1,'UN Treasury'!$A$1:$BQ$1,-1,1),FALSE)</f>
        <v>13.441000000000001</v>
      </c>
      <c r="AB22">
        <f>VLOOKUP($A22,'UN Treasury'!$A$1:$BQ$224,_xlfn.XMATCH(AB$1,'UN Treasury'!$A$1:$BQ$1,-1,1),FALSE)</f>
        <v>13.605</v>
      </c>
      <c r="AC22">
        <f>VLOOKUP($A22,'UN Treasury'!$A$1:$BQ$224,_xlfn.XMATCH(AC$1,'UN Treasury'!$A$1:$BQ$1,-1,1),FALSE)</f>
        <v>13.55</v>
      </c>
      <c r="AD22">
        <f>VLOOKUP($A22,'UN Treasury'!$A$1:$BQ$224,_xlfn.XMATCH(AD$1,'UN Treasury'!$A$1:$BQ$1,-1,1),FALSE)</f>
        <v>13.661</v>
      </c>
      <c r="AE22">
        <f>VLOOKUP($A22,'UN Treasury'!$A$1:$BQ$224,_xlfn.XMATCH(AE$1,'UN Treasury'!$A$1:$BQ$1,-1,1),FALSE)</f>
        <v>13.569000000000001</v>
      </c>
      <c r="AF22">
        <f>VLOOKUP($A22,'UN Treasury'!$A$1:$BQ$224,_xlfn.XMATCH(AF$1,'UN Treasury'!$A$1:$BQ$1,-1,1),FALSE)</f>
        <v>13.643000000000001</v>
      </c>
      <c r="AG22">
        <f>VLOOKUP($A22,'UN Treasury'!$A$1:$BQ$224,_xlfn.XMATCH(AG$1,'UN Treasury'!$A$1:$BQ$1,-1,1),FALSE)</f>
        <v>13.477</v>
      </c>
      <c r="AH22">
        <f>VLOOKUP($A22,'UN Treasury'!$A$1:$BQ$224,_xlfn.XMATCH(AH$1,'UN Treasury'!$A$1:$BQ$1,-1,1),FALSE)</f>
        <v>13.643000000000001</v>
      </c>
      <c r="AI22">
        <f>VLOOKUP($A22,'UN Treasury'!$A$1:$BQ$224,_xlfn.XMATCH(AI$1,'UN Treasury'!$A$1:$BQ$1,-1,1),FALSE)</f>
        <v>13.605</v>
      </c>
      <c r="AJ22">
        <f>VLOOKUP($A22,'UN Treasury'!$A$1:$BQ$224,_xlfn.XMATCH(AJ$1,'UN Treasury'!$A$1:$BQ$1,-1,1),FALSE)</f>
        <v>13.643000000000001</v>
      </c>
      <c r="AK22">
        <f>VLOOKUP($A22,'UN Treasury'!$A$1:$BQ$224,_xlfn.XMATCH(AK$1,'UN Treasury'!$A$1:$BQ$1,-1,1),FALSE)</f>
        <v>13.587</v>
      </c>
      <c r="AL22">
        <f>VLOOKUP($A22,'UN Treasury'!$A$1:$BQ$224,_xlfn.XMATCH(AL$1,'UN Treasury'!$A$1:$BQ$1,-1,1),FALSE)</f>
        <v>13.494999999999999</v>
      </c>
      <c r="AM22">
        <f>VLOOKUP($A22,'UN Treasury'!$A$1:$BQ$224,_xlfn.XMATCH(AM$1,'UN Treasury'!$A$1:$BQ$1,-1,1),FALSE)</f>
        <v>13.244999999999999</v>
      </c>
      <c r="AN22">
        <f>VLOOKUP($A22,'UN Treasury'!$A$1:$BQ$224,_xlfn.XMATCH(AN$1,'UN Treasury'!$A$1:$BQ$1,-1,1),FALSE)</f>
        <v>13.351000000000001</v>
      </c>
      <c r="AO22">
        <f>VLOOKUP($A22,'UN Treasury'!$A$1:$BQ$224,_xlfn.XMATCH(AO$1,'UN Treasury'!$A$1:$BQ$1,-1,1),FALSE)</f>
        <v>13.459</v>
      </c>
      <c r="AP22">
        <f>VLOOKUP($A22,'UN Treasury'!$A$1:$BQ$224,_xlfn.XMATCH(AP$1,'UN Treasury'!$A$1:$BQ$1,-1,1),FALSE)</f>
        <v>13.193</v>
      </c>
      <c r="AQ22">
        <f>VLOOKUP($A22,'UN Treasury'!$A$1:$BQ$224,_xlfn.XMATCH(AQ$1,'UN Treasury'!$A$1:$BQ$1,-1,1),FALSE)</f>
        <v>13.122999999999999</v>
      </c>
      <c r="AR22">
        <f>VLOOKUP($A22,'UN Treasury'!$A$1:$BQ$224,_xlfn.XMATCH(AR$1,'UN Treasury'!$A$1:$BQ$1,-1,1),FALSE)</f>
        <v>13.055</v>
      </c>
      <c r="AS22">
        <f>VLOOKUP($A22,'UN Treasury'!$A$1:$BQ$224,_xlfn.XMATCH(AS$1,'UN Treasury'!$A$1:$BQ$1,-1,1),FALSE)</f>
        <v>12.723000000000001</v>
      </c>
      <c r="AT22">
        <f>VLOOKUP($A22,'UN Treasury'!$A$1:$BQ$224,_xlfn.XMATCH(AT$1,'UN Treasury'!$A$1:$BQ$1,-1,1),FALSE)</f>
        <v>12.952999999999999</v>
      </c>
      <c r="AU22">
        <f>VLOOKUP($A22,'UN Treasury'!$A$1:$BQ$224,_xlfn.XMATCH(AU$1,'UN Treasury'!$A$1:$BQ$1,-1,1),FALSE)</f>
        <v>12.903</v>
      </c>
      <c r="AV22">
        <f>VLOOKUP($A22,'UN Treasury'!$A$1:$BQ$224,_xlfn.XMATCH(AV$1,'UN Treasury'!$A$1:$BQ$1,-1,1),FALSE)</f>
        <v>13.423</v>
      </c>
      <c r="AW22">
        <f>VLOOKUP($A22,'UN Treasury'!$A$1:$BQ$224,_xlfn.XMATCH(AW$1,'UN Treasury'!$A$1:$BQ$1,-1,1),FALSE)</f>
        <v>12.952999999999999</v>
      </c>
      <c r="AX22">
        <f>VLOOKUP($A22,'UN Treasury'!$A$1:$BQ$224,_xlfn.XMATCH(AX$1,'UN Treasury'!$A$1:$BQ$1,-1,1),FALSE)</f>
        <v>12.346</v>
      </c>
      <c r="AY22">
        <f>VLOOKUP($A22,'UN Treasury'!$A$1:$BQ$224,_xlfn.XMATCH(AY$1,'UN Treasury'!$A$1:$BQ$1,-1,1),FALSE)</f>
        <v>12.673999999999999</v>
      </c>
      <c r="AZ22">
        <f>VLOOKUP($A22,'UN Treasury'!$A$1:$BQ$224,_xlfn.XMATCH(AZ$1,'UN Treasury'!$A$1:$BQ$1,-1,1),FALSE)</f>
        <v>12.225</v>
      </c>
      <c r="BA22">
        <f>VLOOKUP($A22,'UN Treasury'!$A$1:$BQ$224,_xlfn.XMATCH(BA$1,'UN Treasury'!$A$1:$BQ$1,-1,1),FALSE)</f>
        <v>12.18</v>
      </c>
      <c r="BB22">
        <f>VLOOKUP($A22,'UN Treasury'!$A$1:$BQ$224,_xlfn.XMATCH(BB$1,'UN Treasury'!$A$1:$BQ$1,-1,1),FALSE)</f>
        <v>11.429</v>
      </c>
      <c r="BC22">
        <f>VLOOKUP($A22,'UN Treasury'!$A$1:$BQ$224,_xlfn.XMATCH(BC$1,'UN Treasury'!$A$1:$BQ$1,-1,1),FALSE)</f>
        <v>11.521000000000001</v>
      </c>
      <c r="BD22">
        <f>VLOOKUP($A22,'UN Treasury'!$A$1:$BQ$224,_xlfn.XMATCH(BD$1,'UN Treasury'!$A$1:$BQ$1,-1,1),FALSE)</f>
        <v>11.442</v>
      </c>
      <c r="BE22">
        <f>VLOOKUP($A22,'UN Treasury'!$A$1:$BQ$224,_xlfn.XMATCH(BE$1,'UN Treasury'!$A$1:$BQ$1,-1,1),FALSE)</f>
        <v>11.521000000000001</v>
      </c>
      <c r="BF22">
        <f>VLOOKUP($A22,'UN Treasury'!$A$1:$BQ$224,_xlfn.XMATCH(BF$1,'UN Treasury'!$A$1:$BQ$1,-1,1),FALSE)</f>
        <v>11.779</v>
      </c>
      <c r="BG22">
        <f>VLOOKUP($A22,'UN Treasury'!$A$1:$BQ$224,_xlfn.XMATCH(BG$1,'UN Treasury'!$A$1:$BQ$1,-1,1),FALSE)</f>
        <v>11.324999999999999</v>
      </c>
      <c r="BH22">
        <f>VLOOKUP($A22,'UN Treasury'!$A$1:$BQ$224,_xlfn.XMATCH(BH$1,'UN Treasury'!$A$1:$BQ$1,-1,1),FALSE)</f>
        <v>11.298999999999999</v>
      </c>
      <c r="BI22">
        <f>VLOOKUP($A22,'UN Treasury'!$A$1:$BQ$224,_xlfn.XMATCH(BI$1,'UN Treasury'!$A$1:$BQ$1,-1,1),FALSE)</f>
        <v>11.061999999999999</v>
      </c>
      <c r="BJ22">
        <f>VLOOKUP($A22,'UN Treasury'!$A$1:$BQ$224,_xlfn.XMATCH(BJ$1,'UN Treasury'!$A$1:$BQ$1,-1,1),FALSE)</f>
        <v>11.000999999999999</v>
      </c>
      <c r="BK22">
        <f>VLOOKUP($A22,'UN Treasury'!$A$1:$BQ$224,_xlfn.XMATCH(BK$1,'UN Treasury'!$A$1:$BQ$1,-1,1),FALSE)</f>
        <v>10.846</v>
      </c>
      <c r="BL22">
        <f>VLOOKUP($A22,'UN Treasury'!$A$1:$BQ$224,_xlfn.XMATCH(BL$1,'UN Treasury'!$A$1:$BQ$1,-1,1),FALSE)</f>
        <v>10.582000000000001</v>
      </c>
      <c r="BM22">
        <f>VLOOKUP($A22,'UN Treasury'!$A$1:$BQ$224,_xlfn.XMATCH(BM$1,'UN Treasury'!$A$1:$BQ$1,-1,1),FALSE)</f>
        <v>10.787000000000001</v>
      </c>
      <c r="BN22">
        <f>VLOOKUP($A22,'UN Treasury'!$A$1:$BQ$224,_xlfn.XMATCH(BN$1,'UN Treasury'!$A$1:$BQ$1,-1,1),FALSE)</f>
        <v>11.061999999999999</v>
      </c>
      <c r="BO22">
        <f>VLOOKUP($A22,'UN Treasury'!$A$1:$BQ$224,_xlfn.XMATCH(BO$1,'UN Treasury'!$A$1:$BQ$1,-1,1),FALSE)</f>
        <v>10.846</v>
      </c>
      <c r="BP22">
        <f>VLOOKUP($A22,'UN Treasury'!$A$1:$BQ$224,_xlfn.XMATCH(BP$1,'UN Treasury'!$A$1:$BQ$1,-1,1),FALSE)</f>
        <v>10.965</v>
      </c>
      <c r="BQ22">
        <f>VLOOKUP($A22,'UN Treasury'!$A$1:$BQ$224,_xlfn.XMATCH(BQ$1,'UN Treasury'!$A$1:$BQ$1,-1,1),FALSE)</f>
        <v>10.741</v>
      </c>
    </row>
    <row r="23" spans="1:69" x14ac:dyDescent="0.25">
      <c r="A23" t="s">
        <v>60</v>
      </c>
      <c r="B23">
        <f>VLOOKUP($A23,'UN Treasury'!$A$1:$BQ$224,_xlfn.XMATCH(B$1,'UN Treasury'!$A$1:$BQ$1,-1,1),FALSE)</f>
        <v>2.948</v>
      </c>
      <c r="C23">
        <f>VLOOKUP($A23,'UN Treasury'!$A$1:$BQ$224,_xlfn.XMATCH(C$1,'UN Treasury'!$A$1:$BQ$1,-1,1),FALSE)</f>
        <v>2.9039999999999999</v>
      </c>
      <c r="D23">
        <f>VLOOKUP($A23,'UN Treasury'!$A$1:$BQ$224,_xlfn.XMATCH(D$1,'UN Treasury'!$A$1:$BQ$1,-1,1),FALSE)</f>
        <v>2.8170000000000002</v>
      </c>
      <c r="E23">
        <f>VLOOKUP($A23,'UN Treasury'!$A$1:$BQ$224,_xlfn.XMATCH(E$1,'UN Treasury'!$A$1:$BQ$1,-1,1),FALSE)</f>
        <v>2.8069999999999999</v>
      </c>
      <c r="F23">
        <f>VLOOKUP($A23,'UN Treasury'!$A$1:$BQ$224,_xlfn.XMATCH(F$1,'UN Treasury'!$A$1:$BQ$1,-1,1),FALSE)</f>
        <v>2.919</v>
      </c>
      <c r="G23">
        <f>VLOOKUP($A23,'UN Treasury'!$A$1:$BQ$224,_xlfn.XMATCH(G$1,'UN Treasury'!$A$1:$BQ$1,-1,1),FALSE)</f>
        <v>2.9260000000000002</v>
      </c>
      <c r="H23">
        <f>VLOOKUP($A23,'UN Treasury'!$A$1:$BQ$224,_xlfn.XMATCH(H$1,'UN Treasury'!$A$1:$BQ$1,-1,1),FALSE)</f>
        <v>2.8679999999999999</v>
      </c>
      <c r="I23">
        <f>VLOOKUP($A23,'UN Treasury'!$A$1:$BQ$224,_xlfn.XMATCH(I$1,'UN Treasury'!$A$1:$BQ$1,-1,1),FALSE)</f>
        <v>2.9550000000000001</v>
      </c>
      <c r="J23">
        <f>VLOOKUP($A23,'UN Treasury'!$A$1:$BQ$224,_xlfn.XMATCH(J$1,'UN Treasury'!$A$1:$BQ$1,-1,1),FALSE)</f>
        <v>2.8959999999999999</v>
      </c>
      <c r="K23">
        <f>VLOOKUP($A23,'UN Treasury'!$A$1:$BQ$224,_xlfn.XMATCH(K$1,'UN Treasury'!$A$1:$BQ$1,-1,1),FALSE)</f>
        <v>2.9780000000000002</v>
      </c>
      <c r="L23">
        <f>VLOOKUP($A23,'UN Treasury'!$A$1:$BQ$224,_xlfn.XMATCH(L$1,'UN Treasury'!$A$1:$BQ$1,-1,1),FALSE)</f>
        <v>3.0390000000000001</v>
      </c>
      <c r="M23">
        <f>VLOOKUP($A23,'UN Treasury'!$A$1:$BQ$224,_xlfn.XMATCH(M$1,'UN Treasury'!$A$1:$BQ$1,-1,1),FALSE)</f>
        <v>3.0089999999999999</v>
      </c>
      <c r="N23">
        <f>VLOOKUP($A23,'UN Treasury'!$A$1:$BQ$224,_xlfn.XMATCH(N$1,'UN Treasury'!$A$1:$BQ$1,-1,1),FALSE)</f>
        <v>2.99</v>
      </c>
      <c r="O23">
        <f>VLOOKUP($A23,'UN Treasury'!$A$1:$BQ$224,_xlfn.XMATCH(O$1,'UN Treasury'!$A$1:$BQ$1,-1,1),FALSE)</f>
        <v>2.9660000000000002</v>
      </c>
      <c r="P23">
        <f>VLOOKUP($A23,'UN Treasury'!$A$1:$BQ$224,_xlfn.XMATCH(P$1,'UN Treasury'!$A$1:$BQ$1,-1,1),FALSE)</f>
        <v>2.9950000000000001</v>
      </c>
      <c r="Q23">
        <f>VLOOKUP($A23,'UN Treasury'!$A$1:$BQ$224,_xlfn.XMATCH(Q$1,'UN Treasury'!$A$1:$BQ$1,-1,1),FALSE)</f>
        <v>3.0059999999999998</v>
      </c>
      <c r="R23">
        <f>VLOOKUP($A23,'UN Treasury'!$A$1:$BQ$224,_xlfn.XMATCH(R$1,'UN Treasury'!$A$1:$BQ$1,-1,1),FALSE)</f>
        <v>3.145</v>
      </c>
      <c r="S23">
        <f>VLOOKUP($A23,'UN Treasury'!$A$1:$BQ$224,_xlfn.XMATCH(S$1,'UN Treasury'!$A$1:$BQ$1,-1,1),FALSE)</f>
        <v>3.2040000000000002</v>
      </c>
      <c r="T23">
        <f>VLOOKUP($A23,'UN Treasury'!$A$1:$BQ$224,_xlfn.XMATCH(T$1,'UN Treasury'!$A$1:$BQ$1,-1,1),FALSE)</f>
        <v>3.39</v>
      </c>
      <c r="U23">
        <f>VLOOKUP($A23,'UN Treasury'!$A$1:$BQ$224,_xlfn.XMATCH(U$1,'UN Treasury'!$A$1:$BQ$1,-1,1),FALSE)</f>
        <v>3.492</v>
      </c>
      <c r="V23">
        <f>VLOOKUP($A23,'UN Treasury'!$A$1:$BQ$224,_xlfn.XMATCH(V$1,'UN Treasury'!$A$1:$BQ$1,-1,1),FALSE)</f>
        <v>3.48</v>
      </c>
      <c r="W23">
        <f>VLOOKUP($A23,'UN Treasury'!$A$1:$BQ$224,_xlfn.XMATCH(W$1,'UN Treasury'!$A$1:$BQ$1,-1,1),FALSE)</f>
        <v>3.331</v>
      </c>
      <c r="X23">
        <f>VLOOKUP($A23,'UN Treasury'!$A$1:$BQ$224,_xlfn.XMATCH(X$1,'UN Treasury'!$A$1:$BQ$1,-1,1),FALSE)</f>
        <v>3.2709999999999999</v>
      </c>
      <c r="Y23">
        <f>VLOOKUP($A23,'UN Treasury'!$A$1:$BQ$224,_xlfn.XMATCH(Y$1,'UN Treasury'!$A$1:$BQ$1,-1,1),FALSE)</f>
        <v>3.173</v>
      </c>
      <c r="Z23">
        <f>VLOOKUP($A23,'UN Treasury'!$A$1:$BQ$224,_xlfn.XMATCH(Z$1,'UN Treasury'!$A$1:$BQ$1,-1,1),FALSE)</f>
        <v>3.101</v>
      </c>
      <c r="AA23">
        <f>VLOOKUP($A23,'UN Treasury'!$A$1:$BQ$224,_xlfn.XMATCH(AA$1,'UN Treasury'!$A$1:$BQ$1,-1,1),FALSE)</f>
        <v>3.2160000000000002</v>
      </c>
      <c r="AB23">
        <f>VLOOKUP($A23,'UN Treasury'!$A$1:$BQ$224,_xlfn.XMATCH(AB$1,'UN Treasury'!$A$1:$BQ$1,-1,1),FALSE)</f>
        <v>3.1829999999999998</v>
      </c>
      <c r="AC23">
        <f>VLOOKUP($A23,'UN Treasury'!$A$1:$BQ$224,_xlfn.XMATCH(AC$1,'UN Treasury'!$A$1:$BQ$1,-1,1),FALSE)</f>
        <v>3.222</v>
      </c>
      <c r="AD23">
        <f>VLOOKUP($A23,'UN Treasury'!$A$1:$BQ$224,_xlfn.XMATCH(AD$1,'UN Treasury'!$A$1:$BQ$1,-1,1),FALSE)</f>
        <v>3.254</v>
      </c>
      <c r="AE23">
        <f>VLOOKUP($A23,'UN Treasury'!$A$1:$BQ$224,_xlfn.XMATCH(AE$1,'UN Treasury'!$A$1:$BQ$1,-1,1),FALSE)</f>
        <v>3.2069999999999999</v>
      </c>
      <c r="AF23">
        <f>VLOOKUP($A23,'UN Treasury'!$A$1:$BQ$224,_xlfn.XMATCH(AF$1,'UN Treasury'!$A$1:$BQ$1,-1,1),FALSE)</f>
        <v>3.1640000000000001</v>
      </c>
      <c r="AG23">
        <f>VLOOKUP($A23,'UN Treasury'!$A$1:$BQ$224,_xlfn.XMATCH(AG$1,'UN Treasury'!$A$1:$BQ$1,-1,1),FALSE)</f>
        <v>3.1960000000000002</v>
      </c>
      <c r="AH23">
        <f>VLOOKUP($A23,'UN Treasury'!$A$1:$BQ$224,_xlfn.XMATCH(AH$1,'UN Treasury'!$A$1:$BQ$1,-1,1),FALSE)</f>
        <v>3.206</v>
      </c>
      <c r="AI23">
        <f>VLOOKUP($A23,'UN Treasury'!$A$1:$BQ$224,_xlfn.XMATCH(AI$1,'UN Treasury'!$A$1:$BQ$1,-1,1),FALSE)</f>
        <v>3.2</v>
      </c>
      <c r="AJ23">
        <f>VLOOKUP($A23,'UN Treasury'!$A$1:$BQ$224,_xlfn.XMATCH(AJ$1,'UN Treasury'!$A$1:$BQ$1,-1,1),FALSE)</f>
        <v>3.1840000000000002</v>
      </c>
      <c r="AK23">
        <f>VLOOKUP($A23,'UN Treasury'!$A$1:$BQ$224,_xlfn.XMATCH(AK$1,'UN Treasury'!$A$1:$BQ$1,-1,1),FALSE)</f>
        <v>3.278</v>
      </c>
      <c r="AL23">
        <f>VLOOKUP($A23,'UN Treasury'!$A$1:$BQ$224,_xlfn.XMATCH(AL$1,'UN Treasury'!$A$1:$BQ$1,-1,1),FALSE)</f>
        <v>3.1160000000000001</v>
      </c>
      <c r="AM23">
        <f>VLOOKUP($A23,'UN Treasury'!$A$1:$BQ$224,_xlfn.XMATCH(AM$1,'UN Treasury'!$A$1:$BQ$1,-1,1),FALSE)</f>
        <v>3.0760000000000001</v>
      </c>
      <c r="AN23">
        <f>VLOOKUP($A23,'UN Treasury'!$A$1:$BQ$224,_xlfn.XMATCH(AN$1,'UN Treasury'!$A$1:$BQ$1,-1,1),FALSE)</f>
        <v>2.9260000000000002</v>
      </c>
      <c r="AO23">
        <f>VLOOKUP($A23,'UN Treasury'!$A$1:$BQ$224,_xlfn.XMATCH(AO$1,'UN Treasury'!$A$1:$BQ$1,-1,1),FALSE)</f>
        <v>2.8849999999999998</v>
      </c>
      <c r="AP23">
        <f>VLOOKUP($A23,'UN Treasury'!$A$1:$BQ$224,_xlfn.XMATCH(AP$1,'UN Treasury'!$A$1:$BQ$1,-1,1),FALSE)</f>
        <v>2.9020000000000001</v>
      </c>
      <c r="AQ23">
        <f>VLOOKUP($A23,'UN Treasury'!$A$1:$BQ$224,_xlfn.XMATCH(AQ$1,'UN Treasury'!$A$1:$BQ$1,-1,1),FALSE)</f>
        <v>2.835</v>
      </c>
      <c r="AR23">
        <f>VLOOKUP($A23,'UN Treasury'!$A$1:$BQ$224,_xlfn.XMATCH(AR$1,'UN Treasury'!$A$1:$BQ$1,-1,1),FALSE)</f>
        <v>2.7290000000000001</v>
      </c>
      <c r="AS23">
        <f>VLOOKUP($A23,'UN Treasury'!$A$1:$BQ$224,_xlfn.XMATCH(AS$1,'UN Treasury'!$A$1:$BQ$1,-1,1),FALSE)</f>
        <v>2.71</v>
      </c>
      <c r="AT23">
        <f>VLOOKUP($A23,'UN Treasury'!$A$1:$BQ$224,_xlfn.XMATCH(AT$1,'UN Treasury'!$A$1:$BQ$1,-1,1),FALSE)</f>
        <v>2.4780000000000002</v>
      </c>
      <c r="AU23">
        <f>VLOOKUP($A23,'UN Treasury'!$A$1:$BQ$224,_xlfn.XMATCH(AU$1,'UN Treasury'!$A$1:$BQ$1,-1,1),FALSE)</f>
        <v>2.464</v>
      </c>
      <c r="AV23">
        <f>VLOOKUP($A23,'UN Treasury'!$A$1:$BQ$224,_xlfn.XMATCH(AV$1,'UN Treasury'!$A$1:$BQ$1,-1,1),FALSE)</f>
        <v>2.5369999999999999</v>
      </c>
      <c r="AW23">
        <f>VLOOKUP($A23,'UN Treasury'!$A$1:$BQ$224,_xlfn.XMATCH(AW$1,'UN Treasury'!$A$1:$BQ$1,-1,1),FALSE)</f>
        <v>2.573</v>
      </c>
      <c r="AX23">
        <f>VLOOKUP($A23,'UN Treasury'!$A$1:$BQ$224,_xlfn.XMATCH(AX$1,'UN Treasury'!$A$1:$BQ$1,-1,1),FALSE)</f>
        <v>2.5840000000000001</v>
      </c>
      <c r="AY23">
        <f>VLOOKUP($A23,'UN Treasury'!$A$1:$BQ$224,_xlfn.XMATCH(AY$1,'UN Treasury'!$A$1:$BQ$1,-1,1),FALSE)</f>
        <v>2.7069999999999999</v>
      </c>
      <c r="AZ23">
        <f>VLOOKUP($A23,'UN Treasury'!$A$1:$BQ$224,_xlfn.XMATCH(AZ$1,'UN Treasury'!$A$1:$BQ$1,-1,1),FALSE)</f>
        <v>2.6040000000000001</v>
      </c>
      <c r="BA23">
        <f>VLOOKUP($A23,'UN Treasury'!$A$1:$BQ$224,_xlfn.XMATCH(BA$1,'UN Treasury'!$A$1:$BQ$1,-1,1),FALSE)</f>
        <v>2.7480000000000002</v>
      </c>
      <c r="BB23">
        <f>VLOOKUP($A23,'UN Treasury'!$A$1:$BQ$224,_xlfn.XMATCH(BB$1,'UN Treasury'!$A$1:$BQ$1,-1,1),FALSE)</f>
        <v>2.7480000000000002</v>
      </c>
      <c r="BC23">
        <f>VLOOKUP($A23,'UN Treasury'!$A$1:$BQ$224,_xlfn.XMATCH(BC$1,'UN Treasury'!$A$1:$BQ$1,-1,1),FALSE)</f>
        <v>2.7480000000000002</v>
      </c>
      <c r="BD23">
        <f>VLOOKUP($A23,'UN Treasury'!$A$1:$BQ$224,_xlfn.XMATCH(BD$1,'UN Treasury'!$A$1:$BQ$1,-1,1),FALSE)</f>
        <v>2.5539999999999998</v>
      </c>
      <c r="BE23">
        <f>VLOOKUP($A23,'UN Treasury'!$A$1:$BQ$224,_xlfn.XMATCH(BE$1,'UN Treasury'!$A$1:$BQ$1,-1,1),FALSE)</f>
        <v>2.5640000000000001</v>
      </c>
      <c r="BF23">
        <f>VLOOKUP($A23,'UN Treasury'!$A$1:$BQ$224,_xlfn.XMATCH(BF$1,'UN Treasury'!$A$1:$BQ$1,-1,1),FALSE)</f>
        <v>2.5489999999999999</v>
      </c>
      <c r="BG23">
        <f>VLOOKUP($A23,'UN Treasury'!$A$1:$BQ$224,_xlfn.XMATCH(BG$1,'UN Treasury'!$A$1:$BQ$1,-1,1),FALSE)</f>
        <v>2.423</v>
      </c>
      <c r="BH23">
        <f>VLOOKUP($A23,'UN Treasury'!$A$1:$BQ$224,_xlfn.XMATCH(BH$1,'UN Treasury'!$A$1:$BQ$1,-1,1),FALSE)</f>
        <v>2.5030000000000001</v>
      </c>
      <c r="BI23">
        <f>VLOOKUP($A23,'UN Treasury'!$A$1:$BQ$224,_xlfn.XMATCH(BI$1,'UN Treasury'!$A$1:$BQ$1,-1,1),FALSE)</f>
        <v>2.5070000000000001</v>
      </c>
      <c r="BJ23">
        <f>VLOOKUP($A23,'UN Treasury'!$A$1:$BQ$224,_xlfn.XMATCH(BJ$1,'UN Treasury'!$A$1:$BQ$1,-1,1),FALSE)</f>
        <v>2.5</v>
      </c>
      <c r="BK23">
        <f>VLOOKUP($A23,'UN Treasury'!$A$1:$BQ$224,_xlfn.XMATCH(BK$1,'UN Treasury'!$A$1:$BQ$1,-1,1),FALSE)</f>
        <v>2.52</v>
      </c>
      <c r="BL23">
        <f>VLOOKUP($A23,'UN Treasury'!$A$1:$BQ$224,_xlfn.XMATCH(BL$1,'UN Treasury'!$A$1:$BQ$1,-1,1),FALSE)</f>
        <v>2.524</v>
      </c>
      <c r="BM23">
        <f>VLOOKUP($A23,'UN Treasury'!$A$1:$BQ$224,_xlfn.XMATCH(BM$1,'UN Treasury'!$A$1:$BQ$1,-1,1),FALSE)</f>
        <v>2.5529999999999999</v>
      </c>
      <c r="BN23">
        <f>VLOOKUP($A23,'UN Treasury'!$A$1:$BQ$224,_xlfn.XMATCH(BN$1,'UN Treasury'!$A$1:$BQ$1,-1,1),FALSE)</f>
        <v>2.621</v>
      </c>
      <c r="BO23">
        <f>VLOOKUP($A23,'UN Treasury'!$A$1:$BQ$224,_xlfn.XMATCH(BO$1,'UN Treasury'!$A$1:$BQ$1,-1,1),FALSE)</f>
        <v>2.5979999999999999</v>
      </c>
      <c r="BP23">
        <f>VLOOKUP($A23,'UN Treasury'!$A$1:$BQ$224,_xlfn.XMATCH(BP$1,'UN Treasury'!$A$1:$BQ$1,-1,1),FALSE)</f>
        <v>2.5859999999999999</v>
      </c>
      <c r="BQ23">
        <f>VLOOKUP($A23,'UN Treasury'!$A$1:$BQ$224,_xlfn.XMATCH(BQ$1,'UN Treasury'!$A$1:$BQ$1,-1,1),FALSE)</f>
        <v>2.5630000000000002</v>
      </c>
    </row>
    <row r="24" spans="1:69" x14ac:dyDescent="0.25">
      <c r="A24" t="s">
        <v>63</v>
      </c>
      <c r="B24">
        <f>VLOOKUP($A24,'UN Treasury'!$A$1:$BQ$224,_xlfn.XMATCH(B$1,'UN Treasury'!$A$1:$BQ$1,-1,1),FALSE)</f>
        <v>2</v>
      </c>
      <c r="C24">
        <f>VLOOKUP($A24,'UN Treasury'!$A$1:$BQ$224,_xlfn.XMATCH(C$1,'UN Treasury'!$A$1:$BQ$1,-1,1),FALSE)</f>
        <v>2</v>
      </c>
      <c r="D24">
        <f>VLOOKUP($A24,'UN Treasury'!$A$1:$BQ$224,_xlfn.XMATCH(D$1,'UN Treasury'!$A$1:$BQ$1,-1,1),FALSE)</f>
        <v>2</v>
      </c>
      <c r="E24">
        <f>VLOOKUP($A24,'UN Treasury'!$A$1:$BQ$224,_xlfn.XMATCH(E$1,'UN Treasury'!$A$1:$BQ$1,-1,1),FALSE)</f>
        <v>2</v>
      </c>
      <c r="F24">
        <f>VLOOKUP($A24,'UN Treasury'!$A$1:$BQ$224,_xlfn.XMATCH(F$1,'UN Treasury'!$A$1:$BQ$1,-1,1),FALSE)</f>
        <v>2</v>
      </c>
      <c r="G24">
        <f>VLOOKUP($A24,'UN Treasury'!$A$1:$BQ$224,_xlfn.XMATCH(G$1,'UN Treasury'!$A$1:$BQ$1,-1,1),FALSE)</f>
        <v>2</v>
      </c>
      <c r="H24">
        <f>VLOOKUP($A24,'UN Treasury'!$A$1:$BQ$224,_xlfn.XMATCH(H$1,'UN Treasury'!$A$1:$BQ$1,-1,1),FALSE)</f>
        <v>2</v>
      </c>
      <c r="I24">
        <f>VLOOKUP($A24,'UN Treasury'!$A$1:$BQ$224,_xlfn.XMATCH(I$1,'UN Treasury'!$A$1:$BQ$1,-1,1),FALSE)</f>
        <v>2</v>
      </c>
      <c r="J24">
        <f>VLOOKUP($A24,'UN Treasury'!$A$1:$BQ$224,_xlfn.XMATCH(J$1,'UN Treasury'!$A$1:$BQ$1,-1,1),FALSE)</f>
        <v>2</v>
      </c>
      <c r="K24">
        <f>VLOOKUP($A24,'UN Treasury'!$A$1:$BQ$224,_xlfn.XMATCH(K$1,'UN Treasury'!$A$1:$BQ$1,-1,1),FALSE)</f>
        <v>2</v>
      </c>
      <c r="L24">
        <f>VLOOKUP($A24,'UN Treasury'!$A$1:$BQ$224,_xlfn.XMATCH(L$1,'UN Treasury'!$A$1:$BQ$1,-1,1),FALSE)</f>
        <v>2</v>
      </c>
      <c r="M24">
        <f>VLOOKUP($A24,'UN Treasury'!$A$1:$BQ$224,_xlfn.XMATCH(M$1,'UN Treasury'!$A$1:$BQ$1,-1,1),FALSE)</f>
        <v>2</v>
      </c>
      <c r="N24">
        <f>VLOOKUP($A24,'UN Treasury'!$A$1:$BQ$224,_xlfn.XMATCH(N$1,'UN Treasury'!$A$1:$BQ$1,-1,1),FALSE)</f>
        <v>2</v>
      </c>
      <c r="O24">
        <f>VLOOKUP($A24,'UN Treasury'!$A$1:$BQ$224,_xlfn.XMATCH(O$1,'UN Treasury'!$A$1:$BQ$1,-1,1),FALSE)</f>
        <v>2</v>
      </c>
      <c r="P24">
        <f>VLOOKUP($A24,'UN Treasury'!$A$1:$BQ$224,_xlfn.XMATCH(P$1,'UN Treasury'!$A$1:$BQ$1,-1,1),FALSE)</f>
        <v>2</v>
      </c>
      <c r="Q24">
        <f>VLOOKUP($A24,'UN Treasury'!$A$1:$BQ$224,_xlfn.XMATCH(Q$1,'UN Treasury'!$A$1:$BQ$1,-1,1),FALSE)</f>
        <v>2</v>
      </c>
      <c r="R24">
        <f>VLOOKUP($A24,'UN Treasury'!$A$1:$BQ$224,_xlfn.XMATCH(R$1,'UN Treasury'!$A$1:$BQ$1,-1,1),FALSE)</f>
        <v>2</v>
      </c>
      <c r="S24">
        <f>VLOOKUP($A24,'UN Treasury'!$A$1:$BQ$224,_xlfn.XMATCH(S$1,'UN Treasury'!$A$1:$BQ$1,-1,1),FALSE)</f>
        <v>2</v>
      </c>
      <c r="T24">
        <f>VLOOKUP($A24,'UN Treasury'!$A$1:$BQ$224,_xlfn.XMATCH(T$1,'UN Treasury'!$A$1:$BQ$1,-1,1),FALSE)</f>
        <v>2</v>
      </c>
      <c r="U24">
        <f>VLOOKUP($A24,'UN Treasury'!$A$1:$BQ$224,_xlfn.XMATCH(U$1,'UN Treasury'!$A$1:$BQ$1,-1,1),FALSE)</f>
        <v>2</v>
      </c>
      <c r="V24">
        <f>VLOOKUP($A24,'UN Treasury'!$A$1:$BQ$224,_xlfn.XMATCH(V$1,'UN Treasury'!$A$1:$BQ$1,-1,1),FALSE)</f>
        <v>2</v>
      </c>
      <c r="W24">
        <f>VLOOKUP($A24,'UN Treasury'!$A$1:$BQ$224,_xlfn.XMATCH(W$1,'UN Treasury'!$A$1:$BQ$1,-1,1),FALSE)</f>
        <v>2</v>
      </c>
      <c r="X24">
        <f>VLOOKUP($A24,'UN Treasury'!$A$1:$BQ$224,_xlfn.XMATCH(X$1,'UN Treasury'!$A$1:$BQ$1,-1,1),FALSE)</f>
        <v>2</v>
      </c>
      <c r="Y24">
        <f>VLOOKUP($A24,'UN Treasury'!$A$1:$BQ$224,_xlfn.XMATCH(Y$1,'UN Treasury'!$A$1:$BQ$1,-1,1),FALSE)</f>
        <v>2</v>
      </c>
      <c r="Z24">
        <f>VLOOKUP($A24,'UN Treasury'!$A$1:$BQ$224,_xlfn.XMATCH(Z$1,'UN Treasury'!$A$1:$BQ$1,-1,1),FALSE)</f>
        <v>2</v>
      </c>
      <c r="AA24">
        <f>VLOOKUP($A24,'UN Treasury'!$A$1:$BQ$224,_xlfn.XMATCH(AA$1,'UN Treasury'!$A$1:$BQ$1,-1,1),FALSE)</f>
        <v>2</v>
      </c>
      <c r="AB24">
        <f>VLOOKUP($A24,'UN Treasury'!$A$1:$BQ$224,_xlfn.XMATCH(AB$1,'UN Treasury'!$A$1:$BQ$1,-1,1),FALSE)</f>
        <v>2</v>
      </c>
      <c r="AC24">
        <f>VLOOKUP($A24,'UN Treasury'!$A$1:$BQ$224,_xlfn.XMATCH(AC$1,'UN Treasury'!$A$1:$BQ$1,-1,1),FALSE)</f>
        <v>2</v>
      </c>
      <c r="AD24">
        <f>VLOOKUP($A24,'UN Treasury'!$A$1:$BQ$224,_xlfn.XMATCH(AD$1,'UN Treasury'!$A$1:$BQ$1,-1,1),FALSE)</f>
        <v>2</v>
      </c>
      <c r="AE24">
        <f>VLOOKUP($A24,'UN Treasury'!$A$1:$BQ$224,_xlfn.XMATCH(AE$1,'UN Treasury'!$A$1:$BQ$1,-1,1),FALSE)</f>
        <v>2</v>
      </c>
      <c r="AF24">
        <f>VLOOKUP($A24,'UN Treasury'!$A$1:$BQ$224,_xlfn.XMATCH(AF$1,'UN Treasury'!$A$1:$BQ$1,-1,1),FALSE)</f>
        <v>2</v>
      </c>
      <c r="AG24">
        <f>VLOOKUP($A24,'UN Treasury'!$A$1:$BQ$224,_xlfn.XMATCH(AG$1,'UN Treasury'!$A$1:$BQ$1,-1,1),FALSE)</f>
        <v>2</v>
      </c>
      <c r="AH24">
        <f>VLOOKUP($A24,'UN Treasury'!$A$1:$BQ$224,_xlfn.XMATCH(AH$1,'UN Treasury'!$A$1:$BQ$1,-1,1),FALSE)</f>
        <v>2</v>
      </c>
      <c r="AI24">
        <f>VLOOKUP($A24,'UN Treasury'!$A$1:$BQ$224,_xlfn.XMATCH(AI$1,'UN Treasury'!$A$1:$BQ$1,-1,1),FALSE)</f>
        <v>2</v>
      </c>
      <c r="AJ24">
        <f>VLOOKUP($A24,'UN Treasury'!$A$1:$BQ$224,_xlfn.XMATCH(AJ$1,'UN Treasury'!$A$1:$BQ$1,-1,1),FALSE)</f>
        <v>2</v>
      </c>
      <c r="AK24">
        <f>VLOOKUP($A24,'UN Treasury'!$A$1:$BQ$224,_xlfn.XMATCH(AK$1,'UN Treasury'!$A$1:$BQ$1,-1,1),FALSE)</f>
        <v>2</v>
      </c>
      <c r="AL24">
        <f>VLOOKUP($A24,'UN Treasury'!$A$1:$BQ$224,_xlfn.XMATCH(AL$1,'UN Treasury'!$A$1:$BQ$1,-1,1),FALSE)</f>
        <v>2</v>
      </c>
      <c r="AM24">
        <f>VLOOKUP($A24,'UN Treasury'!$A$1:$BQ$224,_xlfn.XMATCH(AM$1,'UN Treasury'!$A$1:$BQ$1,-1,1),FALSE)</f>
        <v>2</v>
      </c>
      <c r="AN24">
        <f>VLOOKUP($A24,'UN Treasury'!$A$1:$BQ$224,_xlfn.XMATCH(AN$1,'UN Treasury'!$A$1:$BQ$1,-1,1),FALSE)</f>
        <v>2</v>
      </c>
      <c r="AO24">
        <f>VLOOKUP($A24,'UN Treasury'!$A$1:$BQ$224,_xlfn.XMATCH(AO$1,'UN Treasury'!$A$1:$BQ$1,-1,1),FALSE)</f>
        <v>2</v>
      </c>
      <c r="AP24">
        <f>VLOOKUP($A24,'UN Treasury'!$A$1:$BQ$224,_xlfn.XMATCH(AP$1,'UN Treasury'!$A$1:$BQ$1,-1,1),FALSE)</f>
        <v>2</v>
      </c>
      <c r="AQ24">
        <f>VLOOKUP($A24,'UN Treasury'!$A$1:$BQ$224,_xlfn.XMATCH(AQ$1,'UN Treasury'!$A$1:$BQ$1,-1,1),FALSE)</f>
        <v>2</v>
      </c>
      <c r="AR24">
        <f>VLOOKUP($A24,'UN Treasury'!$A$1:$BQ$224,_xlfn.XMATCH(AR$1,'UN Treasury'!$A$1:$BQ$1,-1,1),FALSE)</f>
        <v>2</v>
      </c>
      <c r="AS24">
        <f>VLOOKUP($A24,'UN Treasury'!$A$1:$BQ$224,_xlfn.XMATCH(AS$1,'UN Treasury'!$A$1:$BQ$1,-1,1),FALSE)</f>
        <v>2</v>
      </c>
      <c r="AT24">
        <f>VLOOKUP($A24,'UN Treasury'!$A$1:$BQ$224,_xlfn.XMATCH(AT$1,'UN Treasury'!$A$1:$BQ$1,-1,1),FALSE)</f>
        <v>2</v>
      </c>
      <c r="AU24">
        <f>VLOOKUP($A24,'UN Treasury'!$A$1:$BQ$224,_xlfn.XMATCH(AU$1,'UN Treasury'!$A$1:$BQ$1,-1,1),FALSE)</f>
        <v>2</v>
      </c>
      <c r="AV24">
        <f>VLOOKUP($A24,'UN Treasury'!$A$1:$BQ$224,_xlfn.XMATCH(AV$1,'UN Treasury'!$A$1:$BQ$1,-1,1),FALSE)</f>
        <v>2</v>
      </c>
      <c r="AW24">
        <f>VLOOKUP($A24,'UN Treasury'!$A$1:$BQ$224,_xlfn.XMATCH(AW$1,'UN Treasury'!$A$1:$BQ$1,-1,1),FALSE)</f>
        <v>2</v>
      </c>
      <c r="AX24">
        <f>VLOOKUP($A24,'UN Treasury'!$A$1:$BQ$224,_xlfn.XMATCH(AX$1,'UN Treasury'!$A$1:$BQ$1,-1,1),FALSE)</f>
        <v>2</v>
      </c>
      <c r="AY24">
        <f>VLOOKUP($A24,'UN Treasury'!$A$1:$BQ$224,_xlfn.XMATCH(AY$1,'UN Treasury'!$A$1:$BQ$1,-1,1),FALSE)</f>
        <v>2</v>
      </c>
      <c r="AZ24">
        <f>VLOOKUP($A24,'UN Treasury'!$A$1:$BQ$224,_xlfn.XMATCH(AZ$1,'UN Treasury'!$A$1:$BQ$1,-1,1),FALSE)</f>
        <v>2</v>
      </c>
      <c r="BA24">
        <f>VLOOKUP($A24,'UN Treasury'!$A$1:$BQ$224,_xlfn.XMATCH(BA$1,'UN Treasury'!$A$1:$BQ$1,-1,1),FALSE)</f>
        <v>2</v>
      </c>
      <c r="BB24">
        <f>VLOOKUP($A24,'UN Treasury'!$A$1:$BQ$224,_xlfn.XMATCH(BB$1,'UN Treasury'!$A$1:$BQ$1,-1,1),FALSE)</f>
        <v>2</v>
      </c>
      <c r="BC24">
        <f>VLOOKUP($A24,'UN Treasury'!$A$1:$BQ$224,_xlfn.XMATCH(BC$1,'UN Treasury'!$A$1:$BQ$1,-1,1),FALSE)</f>
        <v>2</v>
      </c>
      <c r="BD24">
        <f>VLOOKUP($A24,'UN Treasury'!$A$1:$BQ$224,_xlfn.XMATCH(BD$1,'UN Treasury'!$A$1:$BQ$1,-1,1),FALSE)</f>
        <v>2</v>
      </c>
      <c r="BE24">
        <f>VLOOKUP($A24,'UN Treasury'!$A$1:$BQ$224,_xlfn.XMATCH(BE$1,'UN Treasury'!$A$1:$BQ$1,-1,1),FALSE)</f>
        <v>2</v>
      </c>
      <c r="BF24">
        <f>VLOOKUP($A24,'UN Treasury'!$A$1:$BQ$224,_xlfn.XMATCH(BF$1,'UN Treasury'!$A$1:$BQ$1,-1,1),FALSE)</f>
        <v>2</v>
      </c>
      <c r="BG24">
        <f>VLOOKUP($A24,'UN Treasury'!$A$1:$BQ$224,_xlfn.XMATCH(BG$1,'UN Treasury'!$A$1:$BQ$1,-1,1),FALSE)</f>
        <v>2</v>
      </c>
      <c r="BH24">
        <f>VLOOKUP($A24,'UN Treasury'!$A$1:$BQ$224,_xlfn.XMATCH(BH$1,'UN Treasury'!$A$1:$BQ$1,-1,1),FALSE)</f>
        <v>2</v>
      </c>
      <c r="BI24">
        <f>VLOOKUP($A24,'UN Treasury'!$A$1:$BQ$224,_xlfn.XMATCH(BI$1,'UN Treasury'!$A$1:$BQ$1,-1,1),FALSE)</f>
        <v>2</v>
      </c>
      <c r="BJ24">
        <f>VLOOKUP($A24,'UN Treasury'!$A$1:$BQ$224,_xlfn.XMATCH(BJ$1,'UN Treasury'!$A$1:$BQ$1,-1,1),FALSE)</f>
        <v>2</v>
      </c>
      <c r="BK24">
        <f>VLOOKUP($A24,'UN Treasury'!$A$1:$BQ$224,_xlfn.XMATCH(BK$1,'UN Treasury'!$A$1:$BQ$1,-1,1),FALSE)</f>
        <v>2</v>
      </c>
      <c r="BL24">
        <f>VLOOKUP($A24,'UN Treasury'!$A$1:$BQ$224,_xlfn.XMATCH(BL$1,'UN Treasury'!$A$1:$BQ$1,-1,1),FALSE)</f>
        <v>2</v>
      </c>
      <c r="BM24">
        <f>VLOOKUP($A24,'UN Treasury'!$A$1:$BQ$224,_xlfn.XMATCH(BM$1,'UN Treasury'!$A$1:$BQ$1,-1,1),FALSE)</f>
        <v>2</v>
      </c>
      <c r="BN24">
        <f>VLOOKUP($A24,'UN Treasury'!$A$1:$BQ$224,_xlfn.XMATCH(BN$1,'UN Treasury'!$A$1:$BQ$1,-1,1),FALSE)</f>
        <v>2</v>
      </c>
      <c r="BO24">
        <f>VLOOKUP($A24,'UN Treasury'!$A$1:$BQ$224,_xlfn.XMATCH(BO$1,'UN Treasury'!$A$1:$BQ$1,-1,1),FALSE)</f>
        <v>2</v>
      </c>
      <c r="BP24">
        <f>VLOOKUP($A24,'UN Treasury'!$A$1:$BQ$224,_xlfn.XMATCH(BP$1,'UN Treasury'!$A$1:$BQ$1,-1,1),FALSE)</f>
        <v>2</v>
      </c>
      <c r="BQ24">
        <f>VLOOKUP($A24,'UN Treasury'!$A$1:$BQ$224,_xlfn.XMATCH(BQ$1,'UN Treasury'!$A$1:$BQ$1,-1,1),FALSE)</f>
        <v>2</v>
      </c>
    </row>
    <row r="25" spans="1:69" x14ac:dyDescent="0.25">
      <c r="A25" t="s">
        <v>83</v>
      </c>
      <c r="B25">
        <f>VLOOKUP($A25,'UN Treasury'!$A$1:$BQ$224,_xlfn.XMATCH(B$1,'UN Treasury'!$A$1:$BQ$1,-1,1),FALSE)</f>
        <v>1.3939999999999999</v>
      </c>
      <c r="C25">
        <f>VLOOKUP($A25,'UN Treasury'!$A$1:$BQ$224,_xlfn.XMATCH(C$1,'UN Treasury'!$A$1:$BQ$1,-1,1),FALSE)</f>
        <v>1.4139999999999999</v>
      </c>
      <c r="D25">
        <f>VLOOKUP($A25,'UN Treasury'!$A$1:$BQ$224,_xlfn.XMATCH(D$1,'UN Treasury'!$A$1:$BQ$1,-1,1),FALSE)</f>
        <v>1.399</v>
      </c>
      <c r="E25">
        <f>VLOOKUP($A25,'UN Treasury'!$A$1:$BQ$224,_xlfn.XMATCH(E$1,'UN Treasury'!$A$1:$BQ$1,-1,1),FALSE)</f>
        <v>1.371</v>
      </c>
      <c r="F25">
        <f>VLOOKUP($A25,'UN Treasury'!$A$1:$BQ$224,_xlfn.XMATCH(F$1,'UN Treasury'!$A$1:$BQ$1,-1,1),FALSE)</f>
        <v>1.381</v>
      </c>
      <c r="G25">
        <f>VLOOKUP($A25,'UN Treasury'!$A$1:$BQ$224,_xlfn.XMATCH(G$1,'UN Treasury'!$A$1:$BQ$1,-1,1),FALSE)</f>
        <v>1.36</v>
      </c>
      <c r="H25">
        <f>VLOOKUP($A25,'UN Treasury'!$A$1:$BQ$224,_xlfn.XMATCH(H$1,'UN Treasury'!$A$1:$BQ$1,-1,1),FALSE)</f>
        <v>1.359</v>
      </c>
      <c r="I25">
        <f>VLOOKUP($A25,'UN Treasury'!$A$1:$BQ$224,_xlfn.XMATCH(I$1,'UN Treasury'!$A$1:$BQ$1,-1,1),FALSE)</f>
        <v>1.389</v>
      </c>
      <c r="J25">
        <f>VLOOKUP($A25,'UN Treasury'!$A$1:$BQ$224,_xlfn.XMATCH(J$1,'UN Treasury'!$A$1:$BQ$1,-1,1),FALSE)</f>
        <v>1.377</v>
      </c>
      <c r="K25">
        <f>VLOOKUP($A25,'UN Treasury'!$A$1:$BQ$224,_xlfn.XMATCH(K$1,'UN Treasury'!$A$1:$BQ$1,-1,1),FALSE)</f>
        <v>1.4019999999999999</v>
      </c>
      <c r="L25">
        <f>VLOOKUP($A25,'UN Treasury'!$A$1:$BQ$224,_xlfn.XMATCH(L$1,'UN Treasury'!$A$1:$BQ$1,-1,1),FALSE)</f>
        <v>1.403</v>
      </c>
      <c r="M25">
        <f>VLOOKUP($A25,'UN Treasury'!$A$1:$BQ$224,_xlfn.XMATCH(M$1,'UN Treasury'!$A$1:$BQ$1,-1,1),FALSE)</f>
        <v>1.3859999999999999</v>
      </c>
      <c r="N25">
        <f>VLOOKUP($A25,'UN Treasury'!$A$1:$BQ$224,_xlfn.XMATCH(N$1,'UN Treasury'!$A$1:$BQ$1,-1,1),FALSE)</f>
        <v>1.3759999999999999</v>
      </c>
      <c r="O25">
        <f>VLOOKUP($A25,'UN Treasury'!$A$1:$BQ$224,_xlfn.XMATCH(O$1,'UN Treasury'!$A$1:$BQ$1,-1,1),FALSE)</f>
        <v>1.369</v>
      </c>
      <c r="P25">
        <f>VLOOKUP($A25,'UN Treasury'!$A$1:$BQ$224,_xlfn.XMATCH(P$1,'UN Treasury'!$A$1:$BQ$1,-1,1),FALSE)</f>
        <v>1.367</v>
      </c>
      <c r="Q25">
        <f>VLOOKUP($A25,'UN Treasury'!$A$1:$BQ$224,_xlfn.XMATCH(Q$1,'UN Treasury'!$A$1:$BQ$1,-1,1),FALSE)</f>
        <v>1.399</v>
      </c>
      <c r="R25">
        <f>VLOOKUP($A25,'UN Treasury'!$A$1:$BQ$224,_xlfn.XMATCH(R$1,'UN Treasury'!$A$1:$BQ$1,-1,1),FALSE)</f>
        <v>1.385</v>
      </c>
      <c r="S25">
        <f>VLOOKUP($A25,'UN Treasury'!$A$1:$BQ$224,_xlfn.XMATCH(S$1,'UN Treasury'!$A$1:$BQ$1,-1,1),FALSE)</f>
        <v>1.4410000000000001</v>
      </c>
      <c r="T25">
        <f>VLOOKUP($A25,'UN Treasury'!$A$1:$BQ$224,_xlfn.XMATCH(T$1,'UN Treasury'!$A$1:$BQ$1,-1,1),FALSE)</f>
        <v>1.4330000000000001</v>
      </c>
      <c r="U25">
        <f>VLOOKUP($A25,'UN Treasury'!$A$1:$BQ$224,_xlfn.XMATCH(U$1,'UN Treasury'!$A$1:$BQ$1,-1,1),FALSE)</f>
        <v>1.44</v>
      </c>
      <c r="V25">
        <f>VLOOKUP($A25,'UN Treasury'!$A$1:$BQ$224,_xlfn.XMATCH(V$1,'UN Treasury'!$A$1:$BQ$1,-1,1),FALSE)</f>
        <v>1.413</v>
      </c>
      <c r="W25">
        <f>VLOOKUP($A25,'UN Treasury'!$A$1:$BQ$224,_xlfn.XMATCH(W$1,'UN Treasury'!$A$1:$BQ$1,-1,1),FALSE)</f>
        <v>1.399</v>
      </c>
      <c r="X25">
        <f>VLOOKUP($A25,'UN Treasury'!$A$1:$BQ$224,_xlfn.XMATCH(X$1,'UN Treasury'!$A$1:$BQ$1,-1,1),FALSE)</f>
        <v>1.375</v>
      </c>
      <c r="Y25">
        <f>VLOOKUP($A25,'UN Treasury'!$A$1:$BQ$224,_xlfn.XMATCH(Y$1,'UN Treasury'!$A$1:$BQ$1,-1,1),FALSE)</f>
        <v>1.359</v>
      </c>
      <c r="Z25">
        <f>VLOOKUP($A25,'UN Treasury'!$A$1:$BQ$224,_xlfn.XMATCH(Z$1,'UN Treasury'!$A$1:$BQ$1,-1,1),FALSE)</f>
        <v>1.3740000000000001</v>
      </c>
      <c r="AA25">
        <f>VLOOKUP($A25,'UN Treasury'!$A$1:$BQ$224,_xlfn.XMATCH(AA$1,'UN Treasury'!$A$1:$BQ$1,-1,1),FALSE)</f>
        <v>1.36</v>
      </c>
      <c r="AB25">
        <f>VLOOKUP($A25,'UN Treasury'!$A$1:$BQ$224,_xlfn.XMATCH(AB$1,'UN Treasury'!$A$1:$BQ$1,-1,1),FALSE)</f>
        <v>1.369</v>
      </c>
      <c r="AC25">
        <f>VLOOKUP($A25,'UN Treasury'!$A$1:$BQ$224,_xlfn.XMATCH(AC$1,'UN Treasury'!$A$1:$BQ$1,-1,1),FALSE)</f>
        <v>1.3660000000000001</v>
      </c>
      <c r="AD25">
        <f>VLOOKUP($A25,'UN Treasury'!$A$1:$BQ$224,_xlfn.XMATCH(AD$1,'UN Treasury'!$A$1:$BQ$1,-1,1),FALSE)</f>
        <v>1.369</v>
      </c>
      <c r="AE25">
        <f>VLOOKUP($A25,'UN Treasury'!$A$1:$BQ$224,_xlfn.XMATCH(AE$1,'UN Treasury'!$A$1:$BQ$1,-1,1),FALSE)</f>
        <v>1.3480000000000001</v>
      </c>
      <c r="AF25">
        <f>VLOOKUP($A25,'UN Treasury'!$A$1:$BQ$224,_xlfn.XMATCH(AF$1,'UN Treasury'!$A$1:$BQ$1,-1,1),FALSE)</f>
        <v>1.3540000000000001</v>
      </c>
      <c r="AG25">
        <f>VLOOKUP($A25,'UN Treasury'!$A$1:$BQ$224,_xlfn.XMATCH(AG$1,'UN Treasury'!$A$1:$BQ$1,-1,1),FALSE)</f>
        <v>1.339</v>
      </c>
      <c r="AH25">
        <f>VLOOKUP($A25,'UN Treasury'!$A$1:$BQ$224,_xlfn.XMATCH(AH$1,'UN Treasury'!$A$1:$BQ$1,-1,1),FALSE)</f>
        <v>1.3580000000000001</v>
      </c>
      <c r="AI25">
        <f>VLOOKUP($A25,'UN Treasury'!$A$1:$BQ$224,_xlfn.XMATCH(AI$1,'UN Treasury'!$A$1:$BQ$1,-1,1),FALSE)</f>
        <v>1.3819999999999999</v>
      </c>
      <c r="AJ25">
        <f>VLOOKUP($A25,'UN Treasury'!$A$1:$BQ$224,_xlfn.XMATCH(AJ$1,'UN Treasury'!$A$1:$BQ$1,-1,1),FALSE)</f>
        <v>1.359</v>
      </c>
      <c r="AK25">
        <f>VLOOKUP($A25,'UN Treasury'!$A$1:$BQ$224,_xlfn.XMATCH(AK$1,'UN Treasury'!$A$1:$BQ$1,-1,1),FALSE)</f>
        <v>1.355</v>
      </c>
      <c r="AL25">
        <f>VLOOKUP($A25,'UN Treasury'!$A$1:$BQ$224,_xlfn.XMATCH(AL$1,'UN Treasury'!$A$1:$BQ$1,-1,1),FALSE)</f>
        <v>1.3460000000000001</v>
      </c>
      <c r="AM25">
        <f>VLOOKUP($A25,'UN Treasury'!$A$1:$BQ$224,_xlfn.XMATCH(AM$1,'UN Treasury'!$A$1:$BQ$1,-1,1),FALSE)</f>
        <v>1.3160000000000001</v>
      </c>
      <c r="AN25">
        <f>VLOOKUP($A25,'UN Treasury'!$A$1:$BQ$224,_xlfn.XMATCH(AN$1,'UN Treasury'!$A$1:$BQ$1,-1,1),FALSE)</f>
        <v>1.333</v>
      </c>
      <c r="AO25">
        <f>VLOOKUP($A25,'UN Treasury'!$A$1:$BQ$224,_xlfn.XMATCH(AO$1,'UN Treasury'!$A$1:$BQ$1,-1,1),FALSE)</f>
        <v>1.3480000000000001</v>
      </c>
      <c r="AP25">
        <f>VLOOKUP($A25,'UN Treasury'!$A$1:$BQ$224,_xlfn.XMATCH(AP$1,'UN Treasury'!$A$1:$BQ$1,-1,1),FALSE)</f>
        <v>1.3460000000000001</v>
      </c>
      <c r="AQ25">
        <f>VLOOKUP($A25,'UN Treasury'!$A$1:$BQ$224,_xlfn.XMATCH(AQ$1,'UN Treasury'!$A$1:$BQ$1,-1,1),FALSE)</f>
        <v>1.373</v>
      </c>
      <c r="AR25">
        <f>VLOOKUP($A25,'UN Treasury'!$A$1:$BQ$224,_xlfn.XMATCH(AR$1,'UN Treasury'!$A$1:$BQ$1,-1,1),FALSE)</f>
        <v>1.333</v>
      </c>
      <c r="AS25">
        <f>VLOOKUP($A25,'UN Treasury'!$A$1:$BQ$224,_xlfn.XMATCH(AS$1,'UN Treasury'!$A$1:$BQ$1,-1,1),FALSE)</f>
        <v>1.3420000000000001</v>
      </c>
      <c r="AT25">
        <f>VLOOKUP($A25,'UN Treasury'!$A$1:$BQ$224,_xlfn.XMATCH(AT$1,'UN Treasury'!$A$1:$BQ$1,-1,1),FALSE)</f>
        <v>1.353</v>
      </c>
      <c r="AU25">
        <f>VLOOKUP($A25,'UN Treasury'!$A$1:$BQ$224,_xlfn.XMATCH(AU$1,'UN Treasury'!$A$1:$BQ$1,-1,1),FALSE)</f>
        <v>1.3280000000000001</v>
      </c>
      <c r="AV25">
        <f>VLOOKUP($A25,'UN Treasury'!$A$1:$BQ$224,_xlfn.XMATCH(AV$1,'UN Treasury'!$A$1:$BQ$1,-1,1),FALSE)</f>
        <v>1.38</v>
      </c>
      <c r="AW25">
        <f>VLOOKUP($A25,'UN Treasury'!$A$1:$BQ$224,_xlfn.XMATCH(AW$1,'UN Treasury'!$A$1:$BQ$1,-1,1),FALSE)</f>
        <v>1.3089999999999999</v>
      </c>
      <c r="AX25">
        <f>VLOOKUP($A25,'UN Treasury'!$A$1:$BQ$224,_xlfn.XMATCH(AX$1,'UN Treasury'!$A$1:$BQ$1,-1,1),FALSE)</f>
        <v>1.274</v>
      </c>
      <c r="AY25">
        <f>VLOOKUP($A25,'UN Treasury'!$A$1:$BQ$224,_xlfn.XMATCH(AY$1,'UN Treasury'!$A$1:$BQ$1,-1,1),FALSE)</f>
        <v>1.296</v>
      </c>
      <c r="AZ25">
        <f>VLOOKUP($A25,'UN Treasury'!$A$1:$BQ$224,_xlfn.XMATCH(AZ$1,'UN Treasury'!$A$1:$BQ$1,-1,1),FALSE)</f>
        <v>1.2849999999999999</v>
      </c>
      <c r="BA25">
        <f>VLOOKUP($A25,'UN Treasury'!$A$1:$BQ$224,_xlfn.XMATCH(BA$1,'UN Treasury'!$A$1:$BQ$1,-1,1),FALSE)</f>
        <v>1.294</v>
      </c>
      <c r="BB25">
        <f>VLOOKUP($A25,'UN Treasury'!$A$1:$BQ$224,_xlfn.XMATCH(BB$1,'UN Treasury'!$A$1:$BQ$1,-1,1),FALSE)</f>
        <v>1.2609999999999999</v>
      </c>
      <c r="BC25">
        <f>VLOOKUP($A25,'UN Treasury'!$A$1:$BQ$224,_xlfn.XMATCH(BC$1,'UN Treasury'!$A$1:$BQ$1,-1,1),FALSE)</f>
        <v>1.27</v>
      </c>
      <c r="BD25">
        <f>VLOOKUP($A25,'UN Treasury'!$A$1:$BQ$224,_xlfn.XMATCH(BD$1,'UN Treasury'!$A$1:$BQ$1,-1,1),FALSE)</f>
        <v>1.2689999999999999</v>
      </c>
      <c r="BE25">
        <f>VLOOKUP($A25,'UN Treasury'!$A$1:$BQ$224,_xlfn.XMATCH(BE$1,'UN Treasury'!$A$1:$BQ$1,-1,1),FALSE)</f>
        <v>1.252</v>
      </c>
      <c r="BF25">
        <f>VLOOKUP($A25,'UN Treasury'!$A$1:$BQ$224,_xlfn.XMATCH(BF$1,'UN Treasury'!$A$1:$BQ$1,-1,1),FALSE)</f>
        <v>1.276</v>
      </c>
      <c r="BG25">
        <f>VLOOKUP($A25,'UN Treasury'!$A$1:$BQ$224,_xlfn.XMATCH(BG$1,'UN Treasury'!$A$1:$BQ$1,-1,1),FALSE)</f>
        <v>1.258</v>
      </c>
      <c r="BH25">
        <f>VLOOKUP($A25,'UN Treasury'!$A$1:$BQ$224,_xlfn.XMATCH(BH$1,'UN Treasury'!$A$1:$BQ$1,-1,1),FALSE)</f>
        <v>1.272</v>
      </c>
      <c r="BI25">
        <f>VLOOKUP($A25,'UN Treasury'!$A$1:$BQ$224,_xlfn.XMATCH(BI$1,'UN Treasury'!$A$1:$BQ$1,-1,1),FALSE)</f>
        <v>1.2649999999999999</v>
      </c>
      <c r="BJ25">
        <f>VLOOKUP($A25,'UN Treasury'!$A$1:$BQ$224,_xlfn.XMATCH(BJ$1,'UN Treasury'!$A$1:$BQ$1,-1,1),FALSE)</f>
        <v>1.246</v>
      </c>
      <c r="BK25">
        <f>VLOOKUP($A25,'UN Treasury'!$A$1:$BQ$224,_xlfn.XMATCH(BK$1,'UN Treasury'!$A$1:$BQ$1,-1,1),FALSE)</f>
        <v>1.2330000000000001</v>
      </c>
      <c r="BL25">
        <f>VLOOKUP($A25,'UN Treasury'!$A$1:$BQ$224,_xlfn.XMATCH(BL$1,'UN Treasury'!$A$1:$BQ$1,-1,1),FALSE)</f>
        <v>1.208</v>
      </c>
      <c r="BM25">
        <f>VLOOKUP($A25,'UN Treasury'!$A$1:$BQ$224,_xlfn.XMATCH(BM$1,'UN Treasury'!$A$1:$BQ$1,-1,1),FALSE)</f>
        <v>1.2310000000000001</v>
      </c>
      <c r="BN25">
        <f>VLOOKUP($A25,'UN Treasury'!$A$1:$BQ$224,_xlfn.XMATCH(BN$1,'UN Treasury'!$A$1:$BQ$1,-1,1),FALSE)</f>
        <v>1.264</v>
      </c>
      <c r="BO25">
        <f>VLOOKUP($A25,'UN Treasury'!$A$1:$BQ$224,_xlfn.XMATCH(BO$1,'UN Treasury'!$A$1:$BQ$1,-1,1),FALSE)</f>
        <v>1.2589999999999999</v>
      </c>
      <c r="BP25">
        <f>VLOOKUP($A25,'UN Treasury'!$A$1:$BQ$224,_xlfn.XMATCH(BP$1,'UN Treasury'!$A$1:$BQ$1,-1,1),FALSE)</f>
        <v>1.268</v>
      </c>
      <c r="BQ25">
        <f>VLOOKUP($A25,'UN Treasury'!$A$1:$BQ$224,_xlfn.XMATCH(BQ$1,'UN Treasury'!$A$1:$BQ$1,-1,1),FALSE)</f>
        <v>1.274</v>
      </c>
    </row>
    <row r="26" spans="1:69" x14ac:dyDescent="0.25">
      <c r="A26" t="s">
        <v>86</v>
      </c>
      <c r="B26">
        <f>VLOOKUP($A26,'UN Treasury'!$A$1:$BQ$224,_xlfn.XMATCH(B$1,'UN Treasury'!$A$1:$BQ$1,-1,1),FALSE)</f>
        <v>2286.96</v>
      </c>
      <c r="C26">
        <f>VLOOKUP($A26,'UN Treasury'!$A$1:$BQ$224,_xlfn.XMATCH(C$1,'UN Treasury'!$A$1:$BQ$1,-1,1),FALSE)</f>
        <v>2251.6370000000002</v>
      </c>
      <c r="D26">
        <f>VLOOKUP($A26,'UN Treasury'!$A$1:$BQ$224,_xlfn.XMATCH(D$1,'UN Treasury'!$A$1:$BQ$1,-1,1),FALSE)</f>
        <v>2274.3490000000002</v>
      </c>
      <c r="E26">
        <f>VLOOKUP($A26,'UN Treasury'!$A$1:$BQ$224,_xlfn.XMATCH(E$1,'UN Treasury'!$A$1:$BQ$1,-1,1),FALSE)</f>
        <v>2210.4299999999998</v>
      </c>
      <c r="F26">
        <f>VLOOKUP($A26,'UN Treasury'!$A$1:$BQ$224,_xlfn.XMATCH(F$1,'UN Treasury'!$A$1:$BQ$1,-1,1),FALSE)</f>
        <v>2253.1880000000001</v>
      </c>
      <c r="G26">
        <f>VLOOKUP($A26,'UN Treasury'!$A$1:$BQ$224,_xlfn.XMATCH(G$1,'UN Treasury'!$A$1:$BQ$1,-1,1),FALSE)</f>
        <v>2164.509</v>
      </c>
      <c r="H26">
        <f>VLOOKUP($A26,'UN Treasury'!$A$1:$BQ$224,_xlfn.XMATCH(H$1,'UN Treasury'!$A$1:$BQ$1,-1,1),FALSE)</f>
        <v>2223.79</v>
      </c>
      <c r="I26">
        <f>VLOOKUP($A26,'UN Treasury'!$A$1:$BQ$224,_xlfn.XMATCH(I$1,'UN Treasury'!$A$1:$BQ$1,-1,1),FALSE)</f>
        <v>2200.1379999999999</v>
      </c>
      <c r="J26">
        <f>VLOOKUP($A26,'UN Treasury'!$A$1:$BQ$224,_xlfn.XMATCH(J$1,'UN Treasury'!$A$1:$BQ$1,-1,1),FALSE)</f>
        <v>2231.14</v>
      </c>
      <c r="K26">
        <f>VLOOKUP($A26,'UN Treasury'!$A$1:$BQ$224,_xlfn.XMATCH(K$1,'UN Treasury'!$A$1:$BQ$1,-1,1),FALSE)</f>
        <v>2140.953</v>
      </c>
      <c r="L26">
        <f>VLOOKUP($A26,'UN Treasury'!$A$1:$BQ$224,_xlfn.XMATCH(L$1,'UN Treasury'!$A$1:$BQ$1,-1,1),FALSE)</f>
        <v>2357.64</v>
      </c>
      <c r="M26">
        <f>VLOOKUP($A26,'UN Treasury'!$A$1:$BQ$224,_xlfn.XMATCH(M$1,'UN Treasury'!$A$1:$BQ$1,-1,1),FALSE)</f>
        <v>2857.9540000000002</v>
      </c>
      <c r="N26">
        <f>VLOOKUP($A26,'UN Treasury'!$A$1:$BQ$224,_xlfn.XMATCH(N$1,'UN Treasury'!$A$1:$BQ$1,-1,1),FALSE)</f>
        <v>2876.2080000000001</v>
      </c>
      <c r="O26">
        <f>VLOOKUP($A26,'UN Treasury'!$A$1:$BQ$224,_xlfn.XMATCH(O$1,'UN Treasury'!$A$1:$BQ$1,-1,1),FALSE)</f>
        <v>2870.875</v>
      </c>
      <c r="P26">
        <f>VLOOKUP($A26,'UN Treasury'!$A$1:$BQ$224,_xlfn.XMATCH(P$1,'UN Treasury'!$A$1:$BQ$1,-1,1),FALSE)</f>
        <v>2862.18</v>
      </c>
      <c r="Q26">
        <f>VLOOKUP($A26,'UN Treasury'!$A$1:$BQ$224,_xlfn.XMATCH(Q$1,'UN Treasury'!$A$1:$BQ$1,-1,1),FALSE)</f>
        <v>2860.4639999999999</v>
      </c>
      <c r="R26">
        <f>VLOOKUP($A26,'UN Treasury'!$A$1:$BQ$224,_xlfn.XMATCH(R$1,'UN Treasury'!$A$1:$BQ$1,-1,1),FALSE)</f>
        <v>2881.8040000000001</v>
      </c>
      <c r="S26">
        <f>VLOOKUP($A26,'UN Treasury'!$A$1:$BQ$224,_xlfn.XMATCH(S$1,'UN Treasury'!$A$1:$BQ$1,-1,1),FALSE)</f>
        <v>2856.6460000000002</v>
      </c>
      <c r="T26">
        <f>VLOOKUP($A26,'UN Treasury'!$A$1:$BQ$224,_xlfn.XMATCH(T$1,'UN Treasury'!$A$1:$BQ$1,-1,1),FALSE)</f>
        <v>2844.0120000000002</v>
      </c>
      <c r="U26">
        <f>VLOOKUP($A26,'UN Treasury'!$A$1:$BQ$224,_xlfn.XMATCH(U$1,'UN Treasury'!$A$1:$BQ$1,-1,1),FALSE)</f>
        <v>2840.5920000000001</v>
      </c>
      <c r="V26">
        <f>VLOOKUP($A26,'UN Treasury'!$A$1:$BQ$224,_xlfn.XMATCH(V$1,'UN Treasury'!$A$1:$BQ$1,-1,1),FALSE)</f>
        <v>2845.152</v>
      </c>
      <c r="W26">
        <f>VLOOKUP($A26,'UN Treasury'!$A$1:$BQ$224,_xlfn.XMATCH(W$1,'UN Treasury'!$A$1:$BQ$1,-1,1),FALSE)</f>
        <v>2843.4960000000001</v>
      </c>
      <c r="X26">
        <f>VLOOKUP($A26,'UN Treasury'!$A$1:$BQ$224,_xlfn.XMATCH(X$1,'UN Treasury'!$A$1:$BQ$1,-1,1),FALSE)</f>
        <v>2846.1509999999998</v>
      </c>
      <c r="Y26">
        <f>VLOOKUP($A26,'UN Treasury'!$A$1:$BQ$224,_xlfn.XMATCH(Y$1,'UN Treasury'!$A$1:$BQ$1,-1,1),FALSE)</f>
        <v>2836.7109999999998</v>
      </c>
      <c r="Z26">
        <f>VLOOKUP($A26,'UN Treasury'!$A$1:$BQ$224,_xlfn.XMATCH(Z$1,'UN Treasury'!$A$1:$BQ$1,-1,1),FALSE)</f>
        <v>2837.0430000000001</v>
      </c>
      <c r="AA26">
        <f>VLOOKUP($A26,'UN Treasury'!$A$1:$BQ$224,_xlfn.XMATCH(AA$1,'UN Treasury'!$A$1:$BQ$1,-1,1),FALSE)</f>
        <v>2834.0720000000001</v>
      </c>
      <c r="AB26">
        <f>VLOOKUP($A26,'UN Treasury'!$A$1:$BQ$224,_xlfn.XMATCH(AB$1,'UN Treasury'!$A$1:$BQ$1,-1,1),FALSE)</f>
        <v>2787.4650000000001</v>
      </c>
      <c r="AC26">
        <f>VLOOKUP($A26,'UN Treasury'!$A$1:$BQ$224,_xlfn.XMATCH(AC$1,'UN Treasury'!$A$1:$BQ$1,-1,1),FALSE)</f>
        <v>2739.7890000000002</v>
      </c>
      <c r="AD26">
        <f>VLOOKUP($A26,'UN Treasury'!$A$1:$BQ$224,_xlfn.XMATCH(AD$1,'UN Treasury'!$A$1:$BQ$1,-1,1),FALSE)</f>
        <v>2728.72</v>
      </c>
      <c r="AE26">
        <f>VLOOKUP($A26,'UN Treasury'!$A$1:$BQ$224,_xlfn.XMATCH(AE$1,'UN Treasury'!$A$1:$BQ$1,-1,1),FALSE)</f>
        <v>2698.732</v>
      </c>
      <c r="AF26">
        <f>VLOOKUP($A26,'UN Treasury'!$A$1:$BQ$224,_xlfn.XMATCH(AF$1,'UN Treasury'!$A$1:$BQ$1,-1,1),FALSE)</f>
        <v>2689.4110000000001</v>
      </c>
      <c r="AG26">
        <f>VLOOKUP($A26,'UN Treasury'!$A$1:$BQ$224,_xlfn.XMATCH(AG$1,'UN Treasury'!$A$1:$BQ$1,-1,1),FALSE)</f>
        <v>2626.9229999999998</v>
      </c>
      <c r="AH26">
        <f>VLOOKUP($A26,'UN Treasury'!$A$1:$BQ$224,_xlfn.XMATCH(AH$1,'UN Treasury'!$A$1:$BQ$1,-1,1),FALSE)</f>
        <v>2619.8090000000002</v>
      </c>
      <c r="AI26">
        <f>VLOOKUP($A26,'UN Treasury'!$A$1:$BQ$224,_xlfn.XMATCH(AI$1,'UN Treasury'!$A$1:$BQ$1,-1,1),FALSE)</f>
        <v>2475.0680000000002</v>
      </c>
      <c r="AJ26">
        <f>VLOOKUP($A26,'UN Treasury'!$A$1:$BQ$224,_xlfn.XMATCH(AJ$1,'UN Treasury'!$A$1:$BQ$1,-1,1),FALSE)</f>
        <v>2451.25</v>
      </c>
      <c r="AK26">
        <f>VLOOKUP($A26,'UN Treasury'!$A$1:$BQ$224,_xlfn.XMATCH(AK$1,'UN Treasury'!$A$1:$BQ$1,-1,1),FALSE)</f>
        <v>2421.491</v>
      </c>
      <c r="AL26">
        <f>VLOOKUP($A26,'UN Treasury'!$A$1:$BQ$224,_xlfn.XMATCH(AL$1,'UN Treasury'!$A$1:$BQ$1,-1,1),FALSE)</f>
        <v>2400.9009999999998</v>
      </c>
      <c r="AM26">
        <f>VLOOKUP($A26,'UN Treasury'!$A$1:$BQ$224,_xlfn.XMATCH(AM$1,'UN Treasury'!$A$1:$BQ$1,-1,1),FALSE)</f>
        <v>2396.7550000000001</v>
      </c>
      <c r="AN26">
        <f>VLOOKUP($A26,'UN Treasury'!$A$1:$BQ$224,_xlfn.XMATCH(AN$1,'UN Treasury'!$A$1:$BQ$1,-1,1),FALSE)</f>
        <v>2192.873</v>
      </c>
      <c r="AO26">
        <f>VLOOKUP($A26,'UN Treasury'!$A$1:$BQ$224,_xlfn.XMATCH(AO$1,'UN Treasury'!$A$1:$BQ$1,-1,1),FALSE)</f>
        <v>2192.873</v>
      </c>
      <c r="AP26">
        <f>VLOOKUP($A26,'UN Treasury'!$A$1:$BQ$224,_xlfn.XMATCH(AP$1,'UN Treasury'!$A$1:$BQ$1,-1,1),FALSE)</f>
        <v>2035.3630000000001</v>
      </c>
      <c r="AQ26">
        <f>VLOOKUP($A26,'UN Treasury'!$A$1:$BQ$224,_xlfn.XMATCH(AQ$1,'UN Treasury'!$A$1:$BQ$1,-1,1),FALSE)</f>
        <v>2039.7249999999999</v>
      </c>
      <c r="AR26">
        <f>VLOOKUP($A26,'UN Treasury'!$A$1:$BQ$224,_xlfn.XMATCH(AR$1,'UN Treasury'!$A$1:$BQ$1,-1,1),FALSE)</f>
        <v>2020.163</v>
      </c>
      <c r="AS26">
        <f>VLOOKUP($A26,'UN Treasury'!$A$1:$BQ$224,_xlfn.XMATCH(AS$1,'UN Treasury'!$A$1:$BQ$1,-1,1),FALSE)</f>
        <v>1995.8679999999999</v>
      </c>
      <c r="AT26">
        <f>VLOOKUP($A26,'UN Treasury'!$A$1:$BQ$224,_xlfn.XMATCH(AT$1,'UN Treasury'!$A$1:$BQ$1,-1,1),FALSE)</f>
        <v>1987.069</v>
      </c>
      <c r="AU26">
        <f>VLOOKUP($A26,'UN Treasury'!$A$1:$BQ$224,_xlfn.XMATCH(AU$1,'UN Treasury'!$A$1:$BQ$1,-1,1),FALSE)</f>
        <v>1999.0350000000001</v>
      </c>
      <c r="AV26">
        <f>VLOOKUP($A26,'UN Treasury'!$A$1:$BQ$224,_xlfn.XMATCH(AV$1,'UN Treasury'!$A$1:$BQ$1,-1,1),FALSE)</f>
        <v>2000.8979999999999</v>
      </c>
      <c r="AW26">
        <f>VLOOKUP($A26,'UN Treasury'!$A$1:$BQ$224,_xlfn.XMATCH(AW$1,'UN Treasury'!$A$1:$BQ$1,-1,1),FALSE)</f>
        <v>1996.346</v>
      </c>
      <c r="AX26">
        <f>VLOOKUP($A26,'UN Treasury'!$A$1:$BQ$224,_xlfn.XMATCH(AX$1,'UN Treasury'!$A$1:$BQ$1,-1,1),FALSE)</f>
        <v>1991.777</v>
      </c>
      <c r="AY26">
        <f>VLOOKUP($A26,'UN Treasury'!$A$1:$BQ$224,_xlfn.XMATCH(AY$1,'UN Treasury'!$A$1:$BQ$1,-1,1),FALSE)</f>
        <v>1992.9849999999999</v>
      </c>
      <c r="AZ26">
        <f>VLOOKUP($A26,'UN Treasury'!$A$1:$BQ$224,_xlfn.XMATCH(AZ$1,'UN Treasury'!$A$1:$BQ$1,-1,1),FALSE)</f>
        <v>1992.501</v>
      </c>
      <c r="BA26">
        <f>VLOOKUP($A26,'UN Treasury'!$A$1:$BQ$224,_xlfn.XMATCH(BA$1,'UN Treasury'!$A$1:$BQ$1,-1,1),FALSE)</f>
        <v>1994.193</v>
      </c>
      <c r="BB26">
        <f>VLOOKUP($A26,'UN Treasury'!$A$1:$BQ$224,_xlfn.XMATCH(BB$1,'UN Treasury'!$A$1:$BQ$1,-1,1),FALSE)</f>
        <v>1993.116</v>
      </c>
      <c r="BC26">
        <f>VLOOKUP($A26,'UN Treasury'!$A$1:$BQ$224,_xlfn.XMATCH(BC$1,'UN Treasury'!$A$1:$BQ$1,-1,1),FALSE)</f>
        <v>1993.826</v>
      </c>
      <c r="BD26">
        <f>VLOOKUP($A26,'UN Treasury'!$A$1:$BQ$224,_xlfn.XMATCH(BD$1,'UN Treasury'!$A$1:$BQ$1,-1,1),FALSE)</f>
        <v>1989.4829999999999</v>
      </c>
      <c r="BE26">
        <f>VLOOKUP($A26,'UN Treasury'!$A$1:$BQ$224,_xlfn.XMATCH(BE$1,'UN Treasury'!$A$1:$BQ$1,-1,1),FALSE)</f>
        <v>1985.4010000000001</v>
      </c>
      <c r="BF26">
        <f>VLOOKUP($A26,'UN Treasury'!$A$1:$BQ$224,_xlfn.XMATCH(BF$1,'UN Treasury'!$A$1:$BQ$1,-1,1),FALSE)</f>
        <v>1978.183</v>
      </c>
      <c r="BG26">
        <f>VLOOKUP($A26,'UN Treasury'!$A$1:$BQ$224,_xlfn.XMATCH(BG$1,'UN Treasury'!$A$1:$BQ$1,-1,1),FALSE)</f>
        <v>1971.7809999999999</v>
      </c>
      <c r="BH26">
        <f>VLOOKUP($A26,'UN Treasury'!$A$1:$BQ$224,_xlfn.XMATCH(BH$1,'UN Treasury'!$A$1:$BQ$1,-1,1),FALSE)</f>
        <v>1969.2739999999999</v>
      </c>
      <c r="BI26">
        <f>VLOOKUP($A26,'UN Treasury'!$A$1:$BQ$224,_xlfn.XMATCH(BI$1,'UN Treasury'!$A$1:$BQ$1,-1,1),FALSE)</f>
        <v>1968.345</v>
      </c>
      <c r="BJ26">
        <f>VLOOKUP($A26,'UN Treasury'!$A$1:$BQ$224,_xlfn.XMATCH(BJ$1,'UN Treasury'!$A$1:$BQ$1,-1,1),FALSE)</f>
        <v>1969.4269999999999</v>
      </c>
      <c r="BK26">
        <f>VLOOKUP($A26,'UN Treasury'!$A$1:$BQ$224,_xlfn.XMATCH(BK$1,'UN Treasury'!$A$1:$BQ$1,-1,1),FALSE)</f>
        <v>1972.683</v>
      </c>
      <c r="BL26">
        <f>VLOOKUP($A26,'UN Treasury'!$A$1:$BQ$224,_xlfn.XMATCH(BL$1,'UN Treasury'!$A$1:$BQ$1,-1,1),FALSE)</f>
        <v>1975.163</v>
      </c>
      <c r="BM26">
        <f>VLOOKUP($A26,'UN Treasury'!$A$1:$BQ$224,_xlfn.XMATCH(BM$1,'UN Treasury'!$A$1:$BQ$1,-1,1),FALSE)</f>
        <v>1979.325</v>
      </c>
      <c r="BN26">
        <f>VLOOKUP($A26,'UN Treasury'!$A$1:$BQ$224,_xlfn.XMATCH(BN$1,'UN Treasury'!$A$1:$BQ$1,-1,1),FALSE)</f>
        <v>1964.001</v>
      </c>
      <c r="BO26">
        <f>VLOOKUP($A26,'UN Treasury'!$A$1:$BQ$224,_xlfn.XMATCH(BO$1,'UN Treasury'!$A$1:$BQ$1,-1,1),FALSE)</f>
        <v>1975.5450000000001</v>
      </c>
      <c r="BP26">
        <f>VLOOKUP($A26,'UN Treasury'!$A$1:$BQ$224,_xlfn.XMATCH(BP$1,'UN Treasury'!$A$1:$BQ$1,-1,1),FALSE)</f>
        <v>1932.2829999999999</v>
      </c>
      <c r="BQ26">
        <f>VLOOKUP($A26,'UN Treasury'!$A$1:$BQ$224,_xlfn.XMATCH(BQ$1,'UN Treasury'!$A$1:$BQ$1,-1,1),FALSE)</f>
        <v>1952.885</v>
      </c>
    </row>
    <row r="27" spans="1:69" x14ac:dyDescent="0.25">
      <c r="A27" t="s">
        <v>88</v>
      </c>
      <c r="B27">
        <f>VLOOKUP($A27,'UN Treasury'!$A$1:$BQ$224,_xlfn.XMATCH(B$1,'UN Treasury'!$A$1:$BQ$1,-1,1),FALSE)</f>
        <v>0.81200000000000006</v>
      </c>
      <c r="C27">
        <f>VLOOKUP($A27,'UN Treasury'!$A$1:$BQ$224,_xlfn.XMATCH(C$1,'UN Treasury'!$A$1:$BQ$1,-1,1),FALSE)</f>
        <v>0.81</v>
      </c>
      <c r="D27">
        <f>VLOOKUP($A27,'UN Treasury'!$A$1:$BQ$224,_xlfn.XMATCH(D$1,'UN Treasury'!$A$1:$BQ$1,-1,1),FALSE)</f>
        <v>0.8</v>
      </c>
      <c r="E27">
        <f>VLOOKUP($A27,'UN Treasury'!$A$1:$BQ$224,_xlfn.XMATCH(E$1,'UN Treasury'!$A$1:$BQ$1,-1,1),FALSE)</f>
        <v>0.78200000000000003</v>
      </c>
      <c r="F27">
        <f>VLOOKUP($A27,'UN Treasury'!$A$1:$BQ$224,_xlfn.XMATCH(F$1,'UN Treasury'!$A$1:$BQ$1,-1,1),FALSE)</f>
        <v>0.78800000000000003</v>
      </c>
      <c r="G27">
        <f>VLOOKUP($A27,'UN Treasury'!$A$1:$BQ$224,_xlfn.XMATCH(G$1,'UN Treasury'!$A$1:$BQ$1,-1,1),FALSE)</f>
        <v>0.78300000000000003</v>
      </c>
      <c r="H27">
        <f>VLOOKUP($A27,'UN Treasury'!$A$1:$BQ$224,_xlfn.XMATCH(H$1,'UN Treasury'!$A$1:$BQ$1,-1,1),FALSE)</f>
        <v>0.76800000000000002</v>
      </c>
      <c r="I27">
        <f>VLOOKUP($A27,'UN Treasury'!$A$1:$BQ$224,_xlfn.XMATCH(I$1,'UN Treasury'!$A$1:$BQ$1,-1,1),FALSE)</f>
        <v>0.8</v>
      </c>
      <c r="J27">
        <f>VLOOKUP($A27,'UN Treasury'!$A$1:$BQ$224,_xlfn.XMATCH(J$1,'UN Treasury'!$A$1:$BQ$1,-1,1),FALSE)</f>
        <v>0.79400000000000004</v>
      </c>
      <c r="K27">
        <f>VLOOKUP($A27,'UN Treasury'!$A$1:$BQ$224,_xlfn.XMATCH(K$1,'UN Treasury'!$A$1:$BQ$1,-1,1),FALSE)</f>
        <v>0.79900000000000004</v>
      </c>
      <c r="L27">
        <f>VLOOKUP($A27,'UN Treasury'!$A$1:$BQ$224,_xlfn.XMATCH(L$1,'UN Treasury'!$A$1:$BQ$1,-1,1),FALSE)</f>
        <v>0.80500000000000005</v>
      </c>
      <c r="M27">
        <f>VLOOKUP($A27,'UN Treasury'!$A$1:$BQ$224,_xlfn.XMATCH(M$1,'UN Treasury'!$A$1:$BQ$1,-1,1),FALSE)</f>
        <v>0.79700000000000004</v>
      </c>
      <c r="N27">
        <f>VLOOKUP($A27,'UN Treasury'!$A$1:$BQ$224,_xlfn.XMATCH(N$1,'UN Treasury'!$A$1:$BQ$1,-1,1),FALSE)</f>
        <v>0.80500000000000005</v>
      </c>
      <c r="O27">
        <f>VLOOKUP($A27,'UN Treasury'!$A$1:$BQ$224,_xlfn.XMATCH(O$1,'UN Treasury'!$A$1:$BQ$1,-1,1),FALSE)</f>
        <v>0.79600000000000004</v>
      </c>
      <c r="P27">
        <f>VLOOKUP($A27,'UN Treasury'!$A$1:$BQ$224,_xlfn.XMATCH(P$1,'UN Treasury'!$A$1:$BQ$1,-1,1),FALSE)</f>
        <v>0.82</v>
      </c>
      <c r="Q27">
        <f>VLOOKUP($A27,'UN Treasury'!$A$1:$BQ$224,_xlfn.XMATCH(Q$1,'UN Treasury'!$A$1:$BQ$1,-1,1),FALSE)</f>
        <v>0.84099999999999997</v>
      </c>
      <c r="R27">
        <f>VLOOKUP($A27,'UN Treasury'!$A$1:$BQ$224,_xlfn.XMATCH(R$1,'UN Treasury'!$A$1:$BQ$1,-1,1),FALSE)</f>
        <v>0.81399999999999995</v>
      </c>
      <c r="S27">
        <f>VLOOKUP($A27,'UN Treasury'!$A$1:$BQ$224,_xlfn.XMATCH(S$1,'UN Treasury'!$A$1:$BQ$1,-1,1),FALSE)</f>
        <v>0.88300000000000001</v>
      </c>
      <c r="T27">
        <f>VLOOKUP($A27,'UN Treasury'!$A$1:$BQ$224,_xlfn.XMATCH(T$1,'UN Treasury'!$A$1:$BQ$1,-1,1),FALSE)</f>
        <v>0.91500000000000004</v>
      </c>
      <c r="U27">
        <f>VLOOKUP($A27,'UN Treasury'!$A$1:$BQ$224,_xlfn.XMATCH(U$1,'UN Treasury'!$A$1:$BQ$1,-1,1),FALSE)</f>
        <v>0.91800000000000004</v>
      </c>
      <c r="V27">
        <f>VLOOKUP($A27,'UN Treasury'!$A$1:$BQ$224,_xlfn.XMATCH(V$1,'UN Treasury'!$A$1:$BQ$1,-1,1),FALSE)</f>
        <v>0.88400000000000001</v>
      </c>
      <c r="W27">
        <f>VLOOKUP($A27,'UN Treasury'!$A$1:$BQ$224,_xlfn.XMATCH(W$1,'UN Treasury'!$A$1:$BQ$1,-1,1),FALSE)</f>
        <v>0.88300000000000001</v>
      </c>
      <c r="X27">
        <f>VLOOKUP($A27,'UN Treasury'!$A$1:$BQ$224,_xlfn.XMATCH(X$1,'UN Treasury'!$A$1:$BQ$1,-1,1),FALSE)</f>
        <v>0.85699999999999998</v>
      </c>
      <c r="Y27">
        <f>VLOOKUP($A27,'UN Treasury'!$A$1:$BQ$224,_xlfn.XMATCH(Y$1,'UN Treasury'!$A$1:$BQ$1,-1,1),FALSE)</f>
        <v>0.85</v>
      </c>
      <c r="Z27">
        <f>VLOOKUP($A27,'UN Treasury'!$A$1:$BQ$224,_xlfn.XMATCH(Z$1,'UN Treasury'!$A$1:$BQ$1,-1,1),FALSE)</f>
        <v>0.86599999999999999</v>
      </c>
      <c r="AA27">
        <f>VLOOKUP($A27,'UN Treasury'!$A$1:$BQ$224,_xlfn.XMATCH(AA$1,'UN Treasury'!$A$1:$BQ$1,-1,1),FALSE)</f>
        <v>0.89200000000000002</v>
      </c>
      <c r="AB27">
        <f>VLOOKUP($A27,'UN Treasury'!$A$1:$BQ$224,_xlfn.XMATCH(AB$1,'UN Treasury'!$A$1:$BQ$1,-1,1),FALSE)</f>
        <v>0.89100000000000001</v>
      </c>
      <c r="AC27">
        <f>VLOOKUP($A27,'UN Treasury'!$A$1:$BQ$224,_xlfn.XMATCH(AC$1,'UN Treasury'!$A$1:$BQ$1,-1,1),FALSE)</f>
        <v>0.90500000000000003</v>
      </c>
      <c r="AD27">
        <f>VLOOKUP($A27,'UN Treasury'!$A$1:$BQ$224,_xlfn.XMATCH(AD$1,'UN Treasury'!$A$1:$BQ$1,-1,1),FALSE)</f>
        <v>0.91100000000000003</v>
      </c>
      <c r="AE27">
        <f>VLOOKUP($A27,'UN Treasury'!$A$1:$BQ$224,_xlfn.XMATCH(AE$1,'UN Treasury'!$A$1:$BQ$1,-1,1),FALSE)</f>
        <v>0.877</v>
      </c>
      <c r="AF27">
        <f>VLOOKUP($A27,'UN Treasury'!$A$1:$BQ$224,_xlfn.XMATCH(AF$1,'UN Treasury'!$A$1:$BQ$1,-1,1),FALSE)</f>
        <v>0.88500000000000001</v>
      </c>
      <c r="AG27">
        <f>VLOOKUP($A27,'UN Treasury'!$A$1:$BQ$224,_xlfn.XMATCH(AG$1,'UN Treasury'!$A$1:$BQ$1,-1,1),FALSE)</f>
        <v>0.85299999999999998</v>
      </c>
      <c r="AH27">
        <f>VLOOKUP($A27,'UN Treasury'!$A$1:$BQ$224,_xlfn.XMATCH(AH$1,'UN Treasury'!$A$1:$BQ$1,-1,1),FALSE)</f>
        <v>0.877</v>
      </c>
      <c r="AI27">
        <f>VLOOKUP($A27,'UN Treasury'!$A$1:$BQ$224,_xlfn.XMATCH(AI$1,'UN Treasury'!$A$1:$BQ$1,-1,1),FALSE)</f>
        <v>0.90400000000000003</v>
      </c>
      <c r="AJ27">
        <f>VLOOKUP($A27,'UN Treasury'!$A$1:$BQ$224,_xlfn.XMATCH(AJ$1,'UN Treasury'!$A$1:$BQ$1,-1,1),FALSE)</f>
        <v>0.90100000000000002</v>
      </c>
      <c r="AK27">
        <f>VLOOKUP($A27,'UN Treasury'!$A$1:$BQ$224,_xlfn.XMATCH(AK$1,'UN Treasury'!$A$1:$BQ$1,-1,1),FALSE)</f>
        <v>0.89300000000000002</v>
      </c>
      <c r="AL27">
        <f>VLOOKUP($A27,'UN Treasury'!$A$1:$BQ$224,_xlfn.XMATCH(AL$1,'UN Treasury'!$A$1:$BQ$1,-1,1),FALSE)</f>
        <v>0.878</v>
      </c>
      <c r="AM27">
        <f>VLOOKUP($A27,'UN Treasury'!$A$1:$BQ$224,_xlfn.XMATCH(AM$1,'UN Treasury'!$A$1:$BQ$1,-1,1),FALSE)</f>
        <v>0.87</v>
      </c>
      <c r="AN27">
        <f>VLOOKUP($A27,'UN Treasury'!$A$1:$BQ$224,_xlfn.XMATCH(AN$1,'UN Treasury'!$A$1:$BQ$1,-1,1),FALSE)</f>
        <v>0.90700000000000003</v>
      </c>
      <c r="AO27">
        <f>VLOOKUP($A27,'UN Treasury'!$A$1:$BQ$224,_xlfn.XMATCH(AO$1,'UN Treasury'!$A$1:$BQ$1,-1,1),FALSE)</f>
        <v>0.89500000000000002</v>
      </c>
      <c r="AP27">
        <f>VLOOKUP($A27,'UN Treasury'!$A$1:$BQ$224,_xlfn.XMATCH(AP$1,'UN Treasury'!$A$1:$BQ$1,-1,1),FALSE)</f>
        <v>0.89700000000000002</v>
      </c>
      <c r="AQ27">
        <f>VLOOKUP($A27,'UN Treasury'!$A$1:$BQ$224,_xlfn.XMATCH(AQ$1,'UN Treasury'!$A$1:$BQ$1,-1,1),FALSE)</f>
        <v>0.90900000000000003</v>
      </c>
      <c r="AR27">
        <f>VLOOKUP($A27,'UN Treasury'!$A$1:$BQ$224,_xlfn.XMATCH(AR$1,'UN Treasury'!$A$1:$BQ$1,-1,1),FALSE)</f>
        <v>0.92100000000000004</v>
      </c>
      <c r="AS27">
        <f>VLOOKUP($A27,'UN Treasury'!$A$1:$BQ$224,_xlfn.XMATCH(AS$1,'UN Treasury'!$A$1:$BQ$1,-1,1),FALSE)</f>
        <v>0.92900000000000005</v>
      </c>
      <c r="AT27">
        <f>VLOOKUP($A27,'UN Treasury'!$A$1:$BQ$224,_xlfn.XMATCH(AT$1,'UN Treasury'!$A$1:$BQ$1,-1,1),FALSE)</f>
        <v>0.92400000000000004</v>
      </c>
      <c r="AU27">
        <f>VLOOKUP($A27,'UN Treasury'!$A$1:$BQ$224,_xlfn.XMATCH(AU$1,'UN Treasury'!$A$1:$BQ$1,-1,1),FALSE)</f>
        <v>0.95</v>
      </c>
      <c r="AV27">
        <f>VLOOKUP($A27,'UN Treasury'!$A$1:$BQ$224,_xlfn.XMATCH(AV$1,'UN Treasury'!$A$1:$BQ$1,-1,1),FALSE)</f>
        <v>0.997</v>
      </c>
      <c r="AW27">
        <f>VLOOKUP($A27,'UN Treasury'!$A$1:$BQ$224,_xlfn.XMATCH(AW$1,'UN Treasury'!$A$1:$BQ$1,-1,1),FALSE)</f>
        <v>0.96</v>
      </c>
      <c r="AX27">
        <f>VLOOKUP($A27,'UN Treasury'!$A$1:$BQ$224,_xlfn.XMATCH(AX$1,'UN Treasury'!$A$1:$BQ$1,-1,1),FALSE)</f>
        <v>0.93799999999999994</v>
      </c>
      <c r="AY27">
        <f>VLOOKUP($A27,'UN Treasury'!$A$1:$BQ$224,_xlfn.XMATCH(AY$1,'UN Treasury'!$A$1:$BQ$1,-1,1),FALSE)</f>
        <v>0.98099999999999998</v>
      </c>
      <c r="AZ27">
        <f>VLOOKUP($A27,'UN Treasury'!$A$1:$BQ$224,_xlfn.XMATCH(AZ$1,'UN Treasury'!$A$1:$BQ$1,-1,1),FALSE)</f>
        <v>0.99399999999999999</v>
      </c>
      <c r="BA27">
        <f>VLOOKUP($A27,'UN Treasury'!$A$1:$BQ$224,_xlfn.XMATCH(BA$1,'UN Treasury'!$A$1:$BQ$1,-1,1),FALSE)</f>
        <v>0.98899999999999999</v>
      </c>
      <c r="BB27">
        <f>VLOOKUP($A27,'UN Treasury'!$A$1:$BQ$224,_xlfn.XMATCH(BB$1,'UN Treasury'!$A$1:$BQ$1,-1,1),FALSE)</f>
        <v>0.93100000000000005</v>
      </c>
      <c r="BC27">
        <f>VLOOKUP($A27,'UN Treasury'!$A$1:$BQ$224,_xlfn.XMATCH(BC$1,'UN Treasury'!$A$1:$BQ$1,-1,1),FALSE)</f>
        <v>0.93200000000000005</v>
      </c>
      <c r="BD27">
        <f>VLOOKUP($A27,'UN Treasury'!$A$1:$BQ$224,_xlfn.XMATCH(BD$1,'UN Treasury'!$A$1:$BQ$1,-1,1),FALSE)</f>
        <v>0.92600000000000005</v>
      </c>
      <c r="BE27">
        <f>VLOOKUP($A27,'UN Treasury'!$A$1:$BQ$224,_xlfn.XMATCH(BE$1,'UN Treasury'!$A$1:$BQ$1,-1,1),FALSE)</f>
        <v>0.91800000000000004</v>
      </c>
      <c r="BF27">
        <f>VLOOKUP($A27,'UN Treasury'!$A$1:$BQ$224,_xlfn.XMATCH(BF$1,'UN Treasury'!$A$1:$BQ$1,-1,1),FALSE)</f>
        <v>0.92500000000000004</v>
      </c>
      <c r="BG27">
        <f>VLOOKUP($A27,'UN Treasury'!$A$1:$BQ$224,_xlfn.XMATCH(BG$1,'UN Treasury'!$A$1:$BQ$1,-1,1),FALSE)</f>
        <v>0.92200000000000004</v>
      </c>
      <c r="BH27">
        <f>VLOOKUP($A27,'UN Treasury'!$A$1:$BQ$224,_xlfn.XMATCH(BH$1,'UN Treasury'!$A$1:$BQ$1,-1,1),FALSE)</f>
        <v>0.93100000000000005</v>
      </c>
      <c r="BI27">
        <f>VLOOKUP($A27,'UN Treasury'!$A$1:$BQ$224,_xlfn.XMATCH(BI$1,'UN Treasury'!$A$1:$BQ$1,-1,1),FALSE)</f>
        <v>0.92100000000000004</v>
      </c>
      <c r="BJ27">
        <f>VLOOKUP($A27,'UN Treasury'!$A$1:$BQ$224,_xlfn.XMATCH(BJ$1,'UN Treasury'!$A$1:$BQ$1,-1,1),FALSE)</f>
        <v>0.90700000000000003</v>
      </c>
      <c r="BK27">
        <f>VLOOKUP($A27,'UN Treasury'!$A$1:$BQ$224,_xlfn.XMATCH(BK$1,'UN Treasury'!$A$1:$BQ$1,-1,1),FALSE)</f>
        <v>0.91900000000000004</v>
      </c>
      <c r="BL27">
        <f>VLOOKUP($A27,'UN Treasury'!$A$1:$BQ$224,_xlfn.XMATCH(BL$1,'UN Treasury'!$A$1:$BQ$1,-1,1),FALSE)</f>
        <v>0.89900000000000002</v>
      </c>
      <c r="BM27">
        <f>VLOOKUP($A27,'UN Treasury'!$A$1:$BQ$224,_xlfn.XMATCH(BM$1,'UN Treasury'!$A$1:$BQ$1,-1,1),FALSE)</f>
        <v>0.91100000000000003</v>
      </c>
      <c r="BN27">
        <f>VLOOKUP($A27,'UN Treasury'!$A$1:$BQ$224,_xlfn.XMATCH(BN$1,'UN Treasury'!$A$1:$BQ$1,-1,1),FALSE)</f>
        <v>0.94299999999999995</v>
      </c>
      <c r="BO27">
        <f>VLOOKUP($A27,'UN Treasury'!$A$1:$BQ$224,_xlfn.XMATCH(BO$1,'UN Treasury'!$A$1:$BQ$1,-1,1),FALSE)</f>
        <v>0.92600000000000005</v>
      </c>
      <c r="BP27">
        <f>VLOOKUP($A27,'UN Treasury'!$A$1:$BQ$224,_xlfn.XMATCH(BP$1,'UN Treasury'!$A$1:$BQ$1,-1,1),FALSE)</f>
        <v>0.89</v>
      </c>
      <c r="BQ27">
        <f>VLOOKUP($A27,'UN Treasury'!$A$1:$BQ$224,_xlfn.XMATCH(BQ$1,'UN Treasury'!$A$1:$BQ$1,-1,1),FALSE)</f>
        <v>0.88800000000000001</v>
      </c>
    </row>
    <row r="28" spans="1:69" x14ac:dyDescent="0.25">
      <c r="A28" t="s">
        <v>90</v>
      </c>
      <c r="B28">
        <f>VLOOKUP($A28,'UN Treasury'!$A$1:$BQ$224,_xlfn.XMATCH(B$1,'UN Treasury'!$A$1:$BQ$1,-1,1),FALSE)</f>
        <v>915</v>
      </c>
      <c r="C28">
        <f>VLOOKUP($A28,'UN Treasury'!$A$1:$BQ$224,_xlfn.XMATCH(C$1,'UN Treasury'!$A$1:$BQ$1,-1,1),FALSE)</f>
        <v>925</v>
      </c>
      <c r="D28">
        <f>VLOOKUP($A28,'UN Treasury'!$A$1:$BQ$224,_xlfn.XMATCH(D$1,'UN Treasury'!$A$1:$BQ$1,-1,1),FALSE)</f>
        <v>912.37</v>
      </c>
      <c r="E28">
        <f>VLOOKUP($A28,'UN Treasury'!$A$1:$BQ$224,_xlfn.XMATCH(E$1,'UN Treasury'!$A$1:$BQ$1,-1,1),FALSE)</f>
        <v>889</v>
      </c>
      <c r="F28">
        <f>VLOOKUP($A28,'UN Treasury'!$A$1:$BQ$224,_xlfn.XMATCH(F$1,'UN Treasury'!$A$1:$BQ$1,-1,1),FALSE)</f>
        <v>900.57</v>
      </c>
      <c r="G28">
        <f>VLOOKUP($A28,'UN Treasury'!$A$1:$BQ$224,_xlfn.XMATCH(G$1,'UN Treasury'!$A$1:$BQ$1,-1,1),FALSE)</f>
        <v>912.05</v>
      </c>
      <c r="H28">
        <f>VLOOKUP($A28,'UN Treasury'!$A$1:$BQ$224,_xlfn.XMATCH(H$1,'UN Treasury'!$A$1:$BQ$1,-1,1),FALSE)</f>
        <v>853.4</v>
      </c>
      <c r="I28">
        <f>VLOOKUP($A28,'UN Treasury'!$A$1:$BQ$224,_xlfn.XMATCH(I$1,'UN Treasury'!$A$1:$BQ$1,-1,1),FALSE)</f>
        <v>882.45</v>
      </c>
      <c r="J28">
        <f>VLOOKUP($A28,'UN Treasury'!$A$1:$BQ$224,_xlfn.XMATCH(J$1,'UN Treasury'!$A$1:$BQ$1,-1,1),FALSE)</f>
        <v>914.35</v>
      </c>
      <c r="K28">
        <f>VLOOKUP($A28,'UN Treasury'!$A$1:$BQ$224,_xlfn.XMATCH(K$1,'UN Treasury'!$A$1:$BQ$1,-1,1),FALSE)</f>
        <v>931.83</v>
      </c>
      <c r="L28">
        <f>VLOOKUP($A28,'UN Treasury'!$A$1:$BQ$224,_xlfn.XMATCH(L$1,'UN Treasury'!$A$1:$BQ$1,-1,1),FALSE)</f>
        <v>957.21</v>
      </c>
      <c r="M28">
        <f>VLOOKUP($A28,'UN Treasury'!$A$1:$BQ$224,_xlfn.XMATCH(M$1,'UN Treasury'!$A$1:$BQ$1,-1,1),FALSE)</f>
        <v>957</v>
      </c>
      <c r="N28">
        <f>VLOOKUP($A28,'UN Treasury'!$A$1:$BQ$224,_xlfn.XMATCH(N$1,'UN Treasury'!$A$1:$BQ$1,-1,1),FALSE)</f>
        <v>951</v>
      </c>
      <c r="O28">
        <f>VLOOKUP($A28,'UN Treasury'!$A$1:$BQ$224,_xlfn.XMATCH(O$1,'UN Treasury'!$A$1:$BQ$1,-1,1),FALSE)</f>
        <v>955</v>
      </c>
      <c r="P28">
        <f>VLOOKUP($A28,'UN Treasury'!$A$1:$BQ$224,_xlfn.XMATCH(P$1,'UN Treasury'!$A$1:$BQ$1,-1,1),FALSE)</f>
        <v>939</v>
      </c>
      <c r="Q28">
        <f>VLOOKUP($A28,'UN Treasury'!$A$1:$BQ$224,_xlfn.XMATCH(Q$1,'UN Treasury'!$A$1:$BQ$1,-1,1),FALSE)</f>
        <v>938</v>
      </c>
      <c r="R28">
        <f>VLOOKUP($A28,'UN Treasury'!$A$1:$BQ$224,_xlfn.XMATCH(R$1,'UN Treasury'!$A$1:$BQ$1,-1,1),FALSE)</f>
        <v>979</v>
      </c>
      <c r="S28">
        <f>VLOOKUP($A28,'UN Treasury'!$A$1:$BQ$224,_xlfn.XMATCH(S$1,'UN Treasury'!$A$1:$BQ$1,-1,1),FALSE)</f>
        <v>931</v>
      </c>
      <c r="T28">
        <f>VLOOKUP($A28,'UN Treasury'!$A$1:$BQ$224,_xlfn.XMATCH(T$1,'UN Treasury'!$A$1:$BQ$1,-1,1),FALSE)</f>
        <v>955</v>
      </c>
      <c r="U28">
        <f>VLOOKUP($A28,'UN Treasury'!$A$1:$BQ$224,_xlfn.XMATCH(U$1,'UN Treasury'!$A$1:$BQ$1,-1,1),FALSE)</f>
        <v>1014</v>
      </c>
      <c r="V28">
        <f>VLOOKUP($A28,'UN Treasury'!$A$1:$BQ$224,_xlfn.XMATCH(V$1,'UN Treasury'!$A$1:$BQ$1,-1,1),FALSE)</f>
        <v>976</v>
      </c>
      <c r="W28">
        <f>VLOOKUP($A28,'UN Treasury'!$A$1:$BQ$224,_xlfn.XMATCH(W$1,'UN Treasury'!$A$1:$BQ$1,-1,1),FALSE)</f>
        <v>983</v>
      </c>
      <c r="X28">
        <f>VLOOKUP($A28,'UN Treasury'!$A$1:$BQ$224,_xlfn.XMATCH(X$1,'UN Treasury'!$A$1:$BQ$1,-1,1),FALSE)</f>
        <v>926</v>
      </c>
      <c r="Y28">
        <f>VLOOKUP($A28,'UN Treasury'!$A$1:$BQ$224,_xlfn.XMATCH(Y$1,'UN Treasury'!$A$1:$BQ$1,-1,1),FALSE)</f>
        <v>942</v>
      </c>
      <c r="Z28">
        <f>VLOOKUP($A28,'UN Treasury'!$A$1:$BQ$224,_xlfn.XMATCH(Z$1,'UN Treasury'!$A$1:$BQ$1,-1,1),FALSE)</f>
        <v>933</v>
      </c>
      <c r="AA28">
        <f>VLOOKUP($A28,'UN Treasury'!$A$1:$BQ$224,_xlfn.XMATCH(AA$1,'UN Treasury'!$A$1:$BQ$1,-1,1),FALSE)</f>
        <v>906</v>
      </c>
      <c r="AB28">
        <f>VLOOKUP($A28,'UN Treasury'!$A$1:$BQ$224,_xlfn.XMATCH(AB$1,'UN Treasury'!$A$1:$BQ$1,-1,1),FALSE)</f>
        <v>914</v>
      </c>
      <c r="AC28">
        <f>VLOOKUP($A28,'UN Treasury'!$A$1:$BQ$224,_xlfn.XMATCH(AC$1,'UN Treasury'!$A$1:$BQ$1,-1,1),FALSE)</f>
        <v>919</v>
      </c>
      <c r="AD28">
        <f>VLOOKUP($A28,'UN Treasury'!$A$1:$BQ$224,_xlfn.XMATCH(AD$1,'UN Treasury'!$A$1:$BQ$1,-1,1),FALSE)</f>
        <v>953</v>
      </c>
      <c r="AE28">
        <f>VLOOKUP($A28,'UN Treasury'!$A$1:$BQ$224,_xlfn.XMATCH(AE$1,'UN Treasury'!$A$1:$BQ$1,-1,1),FALSE)</f>
        <v>949</v>
      </c>
      <c r="AF28">
        <f>VLOOKUP($A28,'UN Treasury'!$A$1:$BQ$224,_xlfn.XMATCH(AF$1,'UN Treasury'!$A$1:$BQ$1,-1,1),FALSE)</f>
        <v>967</v>
      </c>
      <c r="AG28">
        <f>VLOOKUP($A28,'UN Treasury'!$A$1:$BQ$224,_xlfn.XMATCH(AG$1,'UN Treasury'!$A$1:$BQ$1,-1,1),FALSE)</f>
        <v>910</v>
      </c>
      <c r="AH28">
        <f>VLOOKUP($A28,'UN Treasury'!$A$1:$BQ$224,_xlfn.XMATCH(AH$1,'UN Treasury'!$A$1:$BQ$1,-1,1),FALSE)</f>
        <v>878</v>
      </c>
      <c r="AI28">
        <f>VLOOKUP($A28,'UN Treasury'!$A$1:$BQ$224,_xlfn.XMATCH(AI$1,'UN Treasury'!$A$1:$BQ$1,-1,1),FALSE)</f>
        <v>924</v>
      </c>
      <c r="AJ28">
        <f>VLOOKUP($A28,'UN Treasury'!$A$1:$BQ$224,_xlfn.XMATCH(AJ$1,'UN Treasury'!$A$1:$BQ$1,-1,1),FALSE)</f>
        <v>926</v>
      </c>
      <c r="AK28">
        <f>VLOOKUP($A28,'UN Treasury'!$A$1:$BQ$224,_xlfn.XMATCH(AK$1,'UN Treasury'!$A$1:$BQ$1,-1,1),FALSE)</f>
        <v>886</v>
      </c>
      <c r="AL28">
        <f>VLOOKUP($A28,'UN Treasury'!$A$1:$BQ$224,_xlfn.XMATCH(AL$1,'UN Treasury'!$A$1:$BQ$1,-1,1),FALSE)</f>
        <v>853</v>
      </c>
      <c r="AM28">
        <f>VLOOKUP($A28,'UN Treasury'!$A$1:$BQ$224,_xlfn.XMATCH(AM$1,'UN Treasury'!$A$1:$BQ$1,-1,1),FALSE)</f>
        <v>810</v>
      </c>
      <c r="AN28">
        <f>VLOOKUP($A28,'UN Treasury'!$A$1:$BQ$224,_xlfn.XMATCH(AN$1,'UN Treasury'!$A$1:$BQ$1,-1,1),FALSE)</f>
        <v>807</v>
      </c>
      <c r="AO28">
        <f>VLOOKUP($A28,'UN Treasury'!$A$1:$BQ$224,_xlfn.XMATCH(AO$1,'UN Treasury'!$A$1:$BQ$1,-1,1),FALSE)</f>
        <v>800</v>
      </c>
      <c r="AP28">
        <f>VLOOKUP($A28,'UN Treasury'!$A$1:$BQ$224,_xlfn.XMATCH(AP$1,'UN Treasury'!$A$1:$BQ$1,-1,1),FALSE)</f>
        <v>800</v>
      </c>
      <c r="AQ28">
        <f>VLOOKUP($A28,'UN Treasury'!$A$1:$BQ$224,_xlfn.XMATCH(AQ$1,'UN Treasury'!$A$1:$BQ$1,-1,1),FALSE)</f>
        <v>805</v>
      </c>
      <c r="AR28">
        <f>VLOOKUP($A28,'UN Treasury'!$A$1:$BQ$224,_xlfn.XMATCH(AR$1,'UN Treasury'!$A$1:$BQ$1,-1,1),FALSE)</f>
        <v>791</v>
      </c>
      <c r="AS28">
        <f>VLOOKUP($A28,'UN Treasury'!$A$1:$BQ$224,_xlfn.XMATCH(AS$1,'UN Treasury'!$A$1:$BQ$1,-1,1),FALSE)</f>
        <v>824</v>
      </c>
      <c r="AT28">
        <f>VLOOKUP($A28,'UN Treasury'!$A$1:$BQ$224,_xlfn.XMATCH(AT$1,'UN Treasury'!$A$1:$BQ$1,-1,1),FALSE)</f>
        <v>852</v>
      </c>
      <c r="AU28">
        <f>VLOOKUP($A28,'UN Treasury'!$A$1:$BQ$224,_xlfn.XMATCH(AU$1,'UN Treasury'!$A$1:$BQ$1,-1,1),FALSE)</f>
        <v>891</v>
      </c>
      <c r="AV28">
        <f>VLOOKUP($A28,'UN Treasury'!$A$1:$BQ$224,_xlfn.XMATCH(AV$1,'UN Treasury'!$A$1:$BQ$1,-1,1),FALSE)</f>
        <v>933</v>
      </c>
      <c r="AW28">
        <f>VLOOKUP($A28,'UN Treasury'!$A$1:$BQ$224,_xlfn.XMATCH(AW$1,'UN Treasury'!$A$1:$BQ$1,-1,1),FALSE)</f>
        <v>912</v>
      </c>
      <c r="AX28">
        <f>VLOOKUP($A28,'UN Treasury'!$A$1:$BQ$224,_xlfn.XMATCH(AX$1,'UN Treasury'!$A$1:$BQ$1,-1,1),FALSE)</f>
        <v>880</v>
      </c>
      <c r="AY28">
        <f>VLOOKUP($A28,'UN Treasury'!$A$1:$BQ$224,_xlfn.XMATCH(AY$1,'UN Treasury'!$A$1:$BQ$1,-1,1),FALSE)</f>
        <v>1015</v>
      </c>
      <c r="AZ28">
        <f>VLOOKUP($A28,'UN Treasury'!$A$1:$BQ$224,_xlfn.XMATCH(AZ$1,'UN Treasury'!$A$1:$BQ$1,-1,1),FALSE)</f>
        <v>865</v>
      </c>
      <c r="BA28">
        <f>VLOOKUP($A28,'UN Treasury'!$A$1:$BQ$224,_xlfn.XMATCH(BA$1,'UN Treasury'!$A$1:$BQ$1,-1,1),FALSE)</f>
        <v>862</v>
      </c>
      <c r="BB28">
        <f>VLOOKUP($A28,'UN Treasury'!$A$1:$BQ$224,_xlfn.XMATCH(BB$1,'UN Treasury'!$A$1:$BQ$1,-1,1),FALSE)</f>
        <v>809</v>
      </c>
      <c r="BC28">
        <f>VLOOKUP($A28,'UN Treasury'!$A$1:$BQ$224,_xlfn.XMATCH(BC$1,'UN Treasury'!$A$1:$BQ$1,-1,1),FALSE)</f>
        <v>804</v>
      </c>
      <c r="BD28">
        <f>VLOOKUP($A28,'UN Treasury'!$A$1:$BQ$224,_xlfn.XMATCH(BD$1,'UN Treasury'!$A$1:$BQ$1,-1,1),FALSE)</f>
        <v>808</v>
      </c>
      <c r="BE28">
        <f>VLOOKUP($A28,'UN Treasury'!$A$1:$BQ$224,_xlfn.XMATCH(BE$1,'UN Treasury'!$A$1:$BQ$1,-1,1),FALSE)</f>
        <v>825</v>
      </c>
      <c r="BF28">
        <f>VLOOKUP($A28,'UN Treasury'!$A$1:$BQ$224,_xlfn.XMATCH(BF$1,'UN Treasury'!$A$1:$BQ$1,-1,1),FALSE)</f>
        <v>833</v>
      </c>
      <c r="BG28">
        <f>VLOOKUP($A28,'UN Treasury'!$A$1:$BQ$224,_xlfn.XMATCH(BG$1,'UN Treasury'!$A$1:$BQ$1,-1,1),FALSE)</f>
        <v>806</v>
      </c>
      <c r="BH28">
        <f>VLOOKUP($A28,'UN Treasury'!$A$1:$BQ$224,_xlfn.XMATCH(BH$1,'UN Treasury'!$A$1:$BQ$1,-1,1),FALSE)</f>
        <v>803</v>
      </c>
      <c r="BI28">
        <f>VLOOKUP($A28,'UN Treasury'!$A$1:$BQ$224,_xlfn.XMATCH(BI$1,'UN Treasury'!$A$1:$BQ$1,-1,1),FALSE)</f>
        <v>780</v>
      </c>
      <c r="BJ28">
        <f>VLOOKUP($A28,'UN Treasury'!$A$1:$BQ$224,_xlfn.XMATCH(BJ$1,'UN Treasury'!$A$1:$BQ$1,-1,1),FALSE)</f>
        <v>758</v>
      </c>
      <c r="BK28">
        <f>VLOOKUP($A28,'UN Treasury'!$A$1:$BQ$224,_xlfn.XMATCH(BK$1,'UN Treasury'!$A$1:$BQ$1,-1,1),FALSE)</f>
        <v>733</v>
      </c>
      <c r="BL28">
        <f>VLOOKUP($A28,'UN Treasury'!$A$1:$BQ$224,_xlfn.XMATCH(BL$1,'UN Treasury'!$A$1:$BQ$1,-1,1),FALSE)</f>
        <v>732</v>
      </c>
      <c r="BM28">
        <f>VLOOKUP($A28,'UN Treasury'!$A$1:$BQ$224,_xlfn.XMATCH(BM$1,'UN Treasury'!$A$1:$BQ$1,-1,1),FALSE)</f>
        <v>705</v>
      </c>
      <c r="BN28">
        <f>VLOOKUP($A28,'UN Treasury'!$A$1:$BQ$224,_xlfn.XMATCH(BN$1,'UN Treasury'!$A$1:$BQ$1,-1,1),FALSE)</f>
        <v>731</v>
      </c>
      <c r="BO28">
        <f>VLOOKUP($A28,'UN Treasury'!$A$1:$BQ$224,_xlfn.XMATCH(BO$1,'UN Treasury'!$A$1:$BQ$1,-1,1),FALSE)</f>
        <v>708</v>
      </c>
      <c r="BP28">
        <f>VLOOKUP($A28,'UN Treasury'!$A$1:$BQ$224,_xlfn.XMATCH(BP$1,'UN Treasury'!$A$1:$BQ$1,-1,1),FALSE)</f>
        <v>740</v>
      </c>
      <c r="BQ28">
        <f>VLOOKUP($A28,'UN Treasury'!$A$1:$BQ$224,_xlfn.XMATCH(BQ$1,'UN Treasury'!$A$1:$BQ$1,-1,1),FALSE)</f>
        <v>710</v>
      </c>
    </row>
    <row r="29" spans="1:69" x14ac:dyDescent="0.25">
      <c r="A29" t="s">
        <v>92</v>
      </c>
      <c r="B29">
        <f>VLOOKUP($A29,'UN Treasury'!$A$1:$BQ$224,_xlfn.XMATCH(B$1,'UN Treasury'!$A$1:$BQ$1,-1,1),FALSE)</f>
        <v>6.7430000000000003</v>
      </c>
      <c r="C29">
        <f>VLOOKUP($A29,'UN Treasury'!$A$1:$BQ$224,_xlfn.XMATCH(C$1,'UN Treasury'!$A$1:$BQ$1,-1,1),FALSE)</f>
        <v>6.7759999999999998</v>
      </c>
      <c r="D29">
        <f>VLOOKUP($A29,'UN Treasury'!$A$1:$BQ$224,_xlfn.XMATCH(D$1,'UN Treasury'!$A$1:$BQ$1,-1,1),FALSE)</f>
        <v>6.7770000000000001</v>
      </c>
      <c r="E29">
        <f>VLOOKUP($A29,'UN Treasury'!$A$1:$BQ$224,_xlfn.XMATCH(E$1,'UN Treasury'!$A$1:$BQ$1,-1,1),FALSE)</f>
        <v>6.7910000000000004</v>
      </c>
      <c r="F29">
        <f>VLOOKUP($A29,'UN Treasury'!$A$1:$BQ$224,_xlfn.XMATCH(F$1,'UN Treasury'!$A$1:$BQ$1,-1,1),FALSE)</f>
        <v>6.8310000000000004</v>
      </c>
      <c r="G29">
        <f>VLOOKUP($A29,'UN Treasury'!$A$1:$BQ$224,_xlfn.XMATCH(G$1,'UN Treasury'!$A$1:$BQ$1,-1,1),FALSE)</f>
        <v>6.875</v>
      </c>
      <c r="H29">
        <f>VLOOKUP($A29,'UN Treasury'!$A$1:$BQ$224,_xlfn.XMATCH(H$1,'UN Treasury'!$A$1:$BQ$1,-1,1),FALSE)</f>
        <v>6.9</v>
      </c>
      <c r="I29">
        <f>VLOOKUP($A29,'UN Treasury'!$A$1:$BQ$224,_xlfn.XMATCH(I$1,'UN Treasury'!$A$1:$BQ$1,-1,1),FALSE)</f>
        <v>6.976</v>
      </c>
      <c r="J29">
        <f>VLOOKUP($A29,'UN Treasury'!$A$1:$BQ$224,_xlfn.XMATCH(J$1,'UN Treasury'!$A$1:$BQ$1,-1,1),FALSE)</f>
        <v>7.0570000000000004</v>
      </c>
      <c r="K29">
        <f>VLOOKUP($A29,'UN Treasury'!$A$1:$BQ$224,_xlfn.XMATCH(K$1,'UN Treasury'!$A$1:$BQ$1,-1,1),FALSE)</f>
        <v>7.1139999999999999</v>
      </c>
      <c r="L29">
        <f>VLOOKUP($A29,'UN Treasury'!$A$1:$BQ$224,_xlfn.XMATCH(L$1,'UN Treasury'!$A$1:$BQ$1,-1,1),FALSE)</f>
        <v>7.13</v>
      </c>
      <c r="M29">
        <f>VLOOKUP($A29,'UN Treasury'!$A$1:$BQ$224,_xlfn.XMATCH(M$1,'UN Treasury'!$A$1:$BQ$1,-1,1),FALSE)</f>
        <v>7.12</v>
      </c>
      <c r="N29">
        <f>VLOOKUP($A29,'UN Treasury'!$A$1:$BQ$224,_xlfn.XMATCH(N$1,'UN Treasury'!$A$1:$BQ$1,-1,1),FALSE)</f>
        <v>7.1740000000000004</v>
      </c>
      <c r="O29">
        <f>VLOOKUP($A29,'UN Treasury'!$A$1:$BQ$224,_xlfn.XMATCH(O$1,'UN Treasury'!$A$1:$BQ$1,-1,1),FALSE)</f>
        <v>7.1669999999999998</v>
      </c>
      <c r="P29">
        <f>VLOOKUP($A29,'UN Treasury'!$A$1:$BQ$224,_xlfn.XMATCH(P$1,'UN Treasury'!$A$1:$BQ$1,-1,1),FALSE)</f>
        <v>7.1890000000000001</v>
      </c>
      <c r="Q29">
        <f>VLOOKUP($A29,'UN Treasury'!$A$1:$BQ$224,_xlfn.XMATCH(Q$1,'UN Treasury'!$A$1:$BQ$1,-1,1),FALSE)</f>
        <v>7.2009999999999996</v>
      </c>
      <c r="R29">
        <f>VLOOKUP($A29,'UN Treasury'!$A$1:$BQ$224,_xlfn.XMATCH(R$1,'UN Treasury'!$A$1:$BQ$1,-1,1),FALSE)</f>
        <v>7.2919999999999998</v>
      </c>
      <c r="S29">
        <f>VLOOKUP($A29,'UN Treasury'!$A$1:$BQ$224,_xlfn.XMATCH(S$1,'UN Treasury'!$A$1:$BQ$1,-1,1),FALSE)</f>
        <v>7.2430000000000003</v>
      </c>
      <c r="T29">
        <f>VLOOKUP($A29,'UN Treasury'!$A$1:$BQ$224,_xlfn.XMATCH(T$1,'UN Treasury'!$A$1:$BQ$1,-1,1),FALSE)</f>
        <v>7.3090000000000002</v>
      </c>
      <c r="U29">
        <f>VLOOKUP($A29,'UN Treasury'!$A$1:$BQ$224,_xlfn.XMATCH(U$1,'UN Treasury'!$A$1:$BQ$1,-1,1),FALSE)</f>
        <v>7.3319999999999999</v>
      </c>
      <c r="V29">
        <f>VLOOKUP($A29,'UN Treasury'!$A$1:$BQ$224,_xlfn.XMATCH(V$1,'UN Treasury'!$A$1:$BQ$1,-1,1),FALSE)</f>
        <v>7.2610000000000001</v>
      </c>
      <c r="W29">
        <f>VLOOKUP($A29,'UN Treasury'!$A$1:$BQ$224,_xlfn.XMATCH(W$1,'UN Treasury'!$A$1:$BQ$1,-1,1),FALSE)</f>
        <v>7.2119999999999997</v>
      </c>
      <c r="X29">
        <f>VLOOKUP($A29,'UN Treasury'!$A$1:$BQ$224,_xlfn.XMATCH(X$1,'UN Treasury'!$A$1:$BQ$1,-1,1),FALSE)</f>
        <v>7.0659999999999998</v>
      </c>
      <c r="Y29">
        <f>VLOOKUP($A29,'UN Treasury'!$A$1:$BQ$224,_xlfn.XMATCH(Y$1,'UN Treasury'!$A$1:$BQ$1,-1,1),FALSE)</f>
        <v>7.1180000000000003</v>
      </c>
      <c r="Z29">
        <f>VLOOKUP($A29,'UN Treasury'!$A$1:$BQ$224,_xlfn.XMATCH(Z$1,'UN Treasury'!$A$1:$BQ$1,-1,1),FALSE)</f>
        <v>7.1539999999999999</v>
      </c>
      <c r="AA29">
        <f>VLOOKUP($A29,'UN Treasury'!$A$1:$BQ$224,_xlfn.XMATCH(AA$1,'UN Treasury'!$A$1:$BQ$1,-1,1),FALSE)</f>
        <v>7.2560000000000002</v>
      </c>
      <c r="AB29">
        <f>VLOOKUP($A29,'UN Treasury'!$A$1:$BQ$224,_xlfn.XMATCH(AB$1,'UN Treasury'!$A$1:$BQ$1,-1,1),FALSE)</f>
        <v>7.2409999999999997</v>
      </c>
      <c r="AC29">
        <f>VLOOKUP($A29,'UN Treasury'!$A$1:$BQ$224,_xlfn.XMATCH(AC$1,'UN Treasury'!$A$1:$BQ$1,-1,1),FALSE)</f>
        <v>7.2329999999999997</v>
      </c>
      <c r="AD29">
        <f>VLOOKUP($A29,'UN Treasury'!$A$1:$BQ$224,_xlfn.XMATCH(AD$1,'UN Treasury'!$A$1:$BQ$1,-1,1),FALSE)</f>
        <v>7.2370000000000001</v>
      </c>
      <c r="AE29">
        <f>VLOOKUP($A29,'UN Treasury'!$A$1:$BQ$224,_xlfn.XMATCH(AE$1,'UN Treasury'!$A$1:$BQ$1,-1,1),FALSE)</f>
        <v>7.1890000000000001</v>
      </c>
      <c r="AF29">
        <f>VLOOKUP($A29,'UN Treasury'!$A$1:$BQ$224,_xlfn.XMATCH(AF$1,'UN Treasury'!$A$1:$BQ$1,-1,1),FALSE)</f>
        <v>7.194</v>
      </c>
      <c r="AG29">
        <f>VLOOKUP($A29,'UN Treasury'!$A$1:$BQ$224,_xlfn.XMATCH(AG$1,'UN Treasury'!$A$1:$BQ$1,-1,1),FALSE)</f>
        <v>7.1660000000000004</v>
      </c>
      <c r="AH29">
        <f>VLOOKUP($A29,'UN Treasury'!$A$1:$BQ$224,_xlfn.XMATCH(AH$1,'UN Treasury'!$A$1:$BQ$1,-1,1),FALSE)</f>
        <v>7.173</v>
      </c>
      <c r="AI29">
        <f>VLOOKUP($A29,'UN Treasury'!$A$1:$BQ$224,_xlfn.XMATCH(AI$1,'UN Treasury'!$A$1:$BQ$1,-1,1),FALSE)</f>
        <v>7.2910000000000004</v>
      </c>
      <c r="AJ29">
        <f>VLOOKUP($A29,'UN Treasury'!$A$1:$BQ$224,_xlfn.XMATCH(AJ$1,'UN Treasury'!$A$1:$BQ$1,-1,1),FALSE)</f>
        <v>7.2990000000000004</v>
      </c>
      <c r="AK29">
        <f>VLOOKUP($A29,'UN Treasury'!$A$1:$BQ$224,_xlfn.XMATCH(AK$1,'UN Treasury'!$A$1:$BQ$1,-1,1),FALSE)</f>
        <v>7.2770000000000001</v>
      </c>
      <c r="AL29">
        <f>VLOOKUP($A29,'UN Treasury'!$A$1:$BQ$224,_xlfn.XMATCH(AL$1,'UN Treasury'!$A$1:$BQ$1,-1,1),FALSE)</f>
        <v>7.2359999999999998</v>
      </c>
      <c r="AM29">
        <f>VLOOKUP($A29,'UN Treasury'!$A$1:$BQ$224,_xlfn.XMATCH(AM$1,'UN Treasury'!$A$1:$BQ$1,-1,1),FALSE)</f>
        <v>7.1719999999999997</v>
      </c>
      <c r="AN29">
        <f>VLOOKUP($A29,'UN Treasury'!$A$1:$BQ$224,_xlfn.XMATCH(AN$1,'UN Treasury'!$A$1:$BQ$1,-1,1),FALSE)</f>
        <v>7.1529999999999996</v>
      </c>
      <c r="AO29">
        <f>VLOOKUP($A29,'UN Treasury'!$A$1:$BQ$224,_xlfn.XMATCH(AO$1,'UN Treasury'!$A$1:$BQ$1,-1,1),FALSE)</f>
        <v>6.9470000000000001</v>
      </c>
      <c r="AP29">
        <f>VLOOKUP($A29,'UN Treasury'!$A$1:$BQ$224,_xlfn.XMATCH(AP$1,'UN Treasury'!$A$1:$BQ$1,-1,1),FALSE)</f>
        <v>6.8769999999999998</v>
      </c>
      <c r="AQ29">
        <f>VLOOKUP($A29,'UN Treasury'!$A$1:$BQ$224,_xlfn.XMATCH(AQ$1,'UN Treasury'!$A$1:$BQ$1,-1,1),FALSE)</f>
        <v>6.859</v>
      </c>
      <c r="AR29">
        <f>VLOOKUP($A29,'UN Treasury'!$A$1:$BQ$224,_xlfn.XMATCH(AR$1,'UN Treasury'!$A$1:$BQ$1,-1,1),FALSE)</f>
        <v>6.8230000000000004</v>
      </c>
      <c r="AS29">
        <f>VLOOKUP($A29,'UN Treasury'!$A$1:$BQ$224,_xlfn.XMATCH(AS$1,'UN Treasury'!$A$1:$BQ$1,-1,1),FALSE)</f>
        <v>6.7709999999999999</v>
      </c>
      <c r="AT29">
        <f>VLOOKUP($A29,'UN Treasury'!$A$1:$BQ$224,_xlfn.XMATCH(AT$1,'UN Treasury'!$A$1:$BQ$1,-1,1),FALSE)</f>
        <v>6.94</v>
      </c>
      <c r="AU29">
        <f>VLOOKUP($A29,'UN Treasury'!$A$1:$BQ$224,_xlfn.XMATCH(AU$1,'UN Treasury'!$A$1:$BQ$1,-1,1),FALSE)</f>
        <v>7.1</v>
      </c>
      <c r="AV29">
        <f>VLOOKUP($A29,'UN Treasury'!$A$1:$BQ$224,_xlfn.XMATCH(AV$1,'UN Treasury'!$A$1:$BQ$1,-1,1),FALSE)</f>
        <v>7.1710000000000003</v>
      </c>
      <c r="AW29">
        <f>VLOOKUP($A29,'UN Treasury'!$A$1:$BQ$224,_xlfn.XMATCH(AW$1,'UN Treasury'!$A$1:$BQ$1,-1,1),FALSE)</f>
        <v>6.9210000000000003</v>
      </c>
      <c r="AX29">
        <f>VLOOKUP($A29,'UN Treasury'!$A$1:$BQ$224,_xlfn.XMATCH(AX$1,'UN Treasury'!$A$1:$BQ$1,-1,1),FALSE)</f>
        <v>6.7359999999999998</v>
      </c>
      <c r="AY29">
        <f>VLOOKUP($A29,'UN Treasury'!$A$1:$BQ$224,_xlfn.XMATCH(AY$1,'UN Treasury'!$A$1:$BQ$1,-1,1),FALSE)</f>
        <v>6.7279999999999998</v>
      </c>
      <c r="AZ29">
        <f>VLOOKUP($A29,'UN Treasury'!$A$1:$BQ$224,_xlfn.XMATCH(AZ$1,'UN Treasury'!$A$1:$BQ$1,-1,1),FALSE)</f>
        <v>6.7489999999999997</v>
      </c>
      <c r="BA29">
        <f>VLOOKUP($A29,'UN Treasury'!$A$1:$BQ$224,_xlfn.XMATCH(BA$1,'UN Treasury'!$A$1:$BQ$1,-1,1),FALSE)</f>
        <v>6.7160000000000002</v>
      </c>
      <c r="BB29">
        <f>VLOOKUP($A29,'UN Treasury'!$A$1:$BQ$224,_xlfn.XMATCH(BB$1,'UN Treasury'!$A$1:$BQ$1,-1,1),FALSE)</f>
        <v>6.3680000000000003</v>
      </c>
      <c r="BC29">
        <f>VLOOKUP($A29,'UN Treasury'!$A$1:$BQ$224,_xlfn.XMATCH(BC$1,'UN Treasury'!$A$1:$BQ$1,-1,1),FALSE)</f>
        <v>6.3390000000000004</v>
      </c>
      <c r="BD29">
        <f>VLOOKUP($A29,'UN Treasury'!$A$1:$BQ$224,_xlfn.XMATCH(BD$1,'UN Treasury'!$A$1:$BQ$1,-1,1),FALSE)</f>
        <v>6.3540000000000001</v>
      </c>
      <c r="BE29">
        <f>VLOOKUP($A29,'UN Treasury'!$A$1:$BQ$224,_xlfn.XMATCH(BE$1,'UN Treasury'!$A$1:$BQ$1,-1,1),FALSE)</f>
        <v>6.3579999999999997</v>
      </c>
      <c r="BF29">
        <f>VLOOKUP($A29,'UN Treasury'!$A$1:$BQ$224,_xlfn.XMATCH(BF$1,'UN Treasury'!$A$1:$BQ$1,-1,1),FALSE)</f>
        <v>6.3860000000000001</v>
      </c>
      <c r="BG29">
        <f>VLOOKUP($A29,'UN Treasury'!$A$1:$BQ$224,_xlfn.XMATCH(BG$1,'UN Treasury'!$A$1:$BQ$1,-1,1),FALSE)</f>
        <v>6.3949999999999996</v>
      </c>
      <c r="BH29">
        <f>VLOOKUP($A29,'UN Treasury'!$A$1:$BQ$224,_xlfn.XMATCH(BH$1,'UN Treasury'!$A$1:$BQ$1,-1,1),FALSE)</f>
        <v>6.4660000000000002</v>
      </c>
      <c r="BI29">
        <f>VLOOKUP($A29,'UN Treasury'!$A$1:$BQ$224,_xlfn.XMATCH(BI$1,'UN Treasury'!$A$1:$BQ$1,-1,1),FALSE)</f>
        <v>6.468</v>
      </c>
      <c r="BJ29">
        <f>VLOOKUP($A29,'UN Treasury'!$A$1:$BQ$224,_xlfn.XMATCH(BJ$1,'UN Treasury'!$A$1:$BQ$1,-1,1),FALSE)</f>
        <v>6.4580000000000002</v>
      </c>
      <c r="BK29">
        <f>VLOOKUP($A29,'UN Treasury'!$A$1:$BQ$224,_xlfn.XMATCH(BK$1,'UN Treasury'!$A$1:$BQ$1,-1,1),FALSE)</f>
        <v>6.4569999999999999</v>
      </c>
      <c r="BL29">
        <f>VLOOKUP($A29,'UN Treasury'!$A$1:$BQ$224,_xlfn.XMATCH(BL$1,'UN Treasury'!$A$1:$BQ$1,-1,1),FALSE)</f>
        <v>6.383</v>
      </c>
      <c r="BM29">
        <f>VLOOKUP($A29,'UN Treasury'!$A$1:$BQ$224,_xlfn.XMATCH(BM$1,'UN Treasury'!$A$1:$BQ$1,-1,1),FALSE)</f>
        <v>6.4740000000000002</v>
      </c>
      <c r="BN29">
        <f>VLOOKUP($A29,'UN Treasury'!$A$1:$BQ$224,_xlfn.XMATCH(BN$1,'UN Treasury'!$A$1:$BQ$1,-1,1),FALSE)</f>
        <v>6.5730000000000004</v>
      </c>
      <c r="BO29">
        <f>VLOOKUP($A29,'UN Treasury'!$A$1:$BQ$224,_xlfn.XMATCH(BO$1,'UN Treasury'!$A$1:$BQ$1,-1,1),FALSE)</f>
        <v>6.4530000000000003</v>
      </c>
      <c r="BP29">
        <f>VLOOKUP($A29,'UN Treasury'!$A$1:$BQ$224,_xlfn.XMATCH(BP$1,'UN Treasury'!$A$1:$BQ$1,-1,1),FALSE)</f>
        <v>6.4509999999999996</v>
      </c>
      <c r="BQ29">
        <f>VLOOKUP($A29,'UN Treasury'!$A$1:$BQ$224,_xlfn.XMATCH(BQ$1,'UN Treasury'!$A$1:$BQ$1,-1,1),FALSE)</f>
        <v>6.53</v>
      </c>
    </row>
    <row r="30" spans="1:69" x14ac:dyDescent="0.25">
      <c r="A30" t="s">
        <v>94</v>
      </c>
      <c r="B30">
        <f>VLOOKUP($A30,'UN Treasury'!$A$1:$BQ$224,_xlfn.XMATCH(B$1,'UN Treasury'!$A$1:$BQ$1,-1,1),FALSE)</f>
        <v>3142.95</v>
      </c>
      <c r="C30">
        <f>VLOOKUP($A30,'UN Treasury'!$A$1:$BQ$224,_xlfn.XMATCH(C$1,'UN Treasury'!$A$1:$BQ$1,-1,1),FALSE)</f>
        <v>3241.18</v>
      </c>
      <c r="D30">
        <f>VLOOKUP($A30,'UN Treasury'!$A$1:$BQ$224,_xlfn.XMATCH(D$1,'UN Treasury'!$A$1:$BQ$1,-1,1),FALSE)</f>
        <v>3551.2</v>
      </c>
      <c r="E30">
        <f>VLOOKUP($A30,'UN Treasury'!$A$1:$BQ$224,_xlfn.XMATCH(E$1,'UN Treasury'!$A$1:$BQ$1,-1,1),FALSE)</f>
        <v>3794.06</v>
      </c>
      <c r="F30">
        <f>VLOOKUP($A30,'UN Treasury'!$A$1:$BQ$224,_xlfn.XMATCH(F$1,'UN Treasury'!$A$1:$BQ$1,-1,1),FALSE)</f>
        <v>3621.04</v>
      </c>
      <c r="G30">
        <f>VLOOKUP($A30,'UN Treasury'!$A$1:$BQ$224,_xlfn.XMATCH(G$1,'UN Treasury'!$A$1:$BQ$1,-1,1),FALSE)</f>
        <v>3720.48</v>
      </c>
      <c r="H30">
        <f>VLOOKUP($A30,'UN Treasury'!$A$1:$BQ$224,_xlfn.XMATCH(H$1,'UN Treasury'!$A$1:$BQ$1,-1,1),FALSE)</f>
        <v>3662.85</v>
      </c>
      <c r="I30">
        <f>VLOOKUP($A30,'UN Treasury'!$A$1:$BQ$224,_xlfn.XMATCH(I$1,'UN Treasury'!$A$1:$BQ$1,-1,1),FALSE)</f>
        <v>3667.6</v>
      </c>
      <c r="J30">
        <f>VLOOKUP($A30,'UN Treasury'!$A$1:$BQ$224,_xlfn.XMATCH(J$1,'UN Treasury'!$A$1:$BQ$1,-1,1),FALSE)</f>
        <v>3805</v>
      </c>
      <c r="K30">
        <f>VLOOKUP($A30,'UN Treasury'!$A$1:$BQ$224,_xlfn.XMATCH(K$1,'UN Treasury'!$A$1:$BQ$1,-1,1),FALSE)</f>
        <v>3725.96</v>
      </c>
      <c r="L30">
        <f>VLOOKUP($A30,'UN Treasury'!$A$1:$BQ$224,_xlfn.XMATCH(L$1,'UN Treasury'!$A$1:$BQ$1,-1,1),FALSE)</f>
        <v>3923.53</v>
      </c>
      <c r="M30">
        <f>VLOOKUP($A30,'UN Treasury'!$A$1:$BQ$224,_xlfn.XMATCH(M$1,'UN Treasury'!$A$1:$BQ$1,-1,1),FALSE)</f>
        <v>3911</v>
      </c>
      <c r="N30">
        <f>VLOOKUP($A30,'UN Treasury'!$A$1:$BQ$224,_xlfn.XMATCH(N$1,'UN Treasury'!$A$1:$BQ$1,-1,1),FALSE)</f>
        <v>4018</v>
      </c>
      <c r="O30">
        <f>VLOOKUP($A30,'UN Treasury'!$A$1:$BQ$224,_xlfn.XMATCH(O$1,'UN Treasury'!$A$1:$BQ$1,-1,1),FALSE)</f>
        <v>4012</v>
      </c>
      <c r="P30">
        <f>VLOOKUP($A30,'UN Treasury'!$A$1:$BQ$224,_xlfn.XMATCH(P$1,'UN Treasury'!$A$1:$BQ$1,-1,1),FALSE)</f>
        <v>4196</v>
      </c>
      <c r="Q30">
        <f>VLOOKUP($A30,'UN Treasury'!$A$1:$BQ$224,_xlfn.XMATCH(Q$1,'UN Treasury'!$A$1:$BQ$1,-1,1),FALSE)</f>
        <v>4194</v>
      </c>
      <c r="R30">
        <f>VLOOKUP($A30,'UN Treasury'!$A$1:$BQ$224,_xlfn.XMATCH(R$1,'UN Treasury'!$A$1:$BQ$1,-1,1),FALSE)</f>
        <v>4332</v>
      </c>
      <c r="S30">
        <f>VLOOKUP($A30,'UN Treasury'!$A$1:$BQ$224,_xlfn.XMATCH(S$1,'UN Treasury'!$A$1:$BQ$1,-1,1),FALSE)</f>
        <v>4108</v>
      </c>
      <c r="T30">
        <f>VLOOKUP($A30,'UN Treasury'!$A$1:$BQ$224,_xlfn.XMATCH(T$1,'UN Treasury'!$A$1:$BQ$1,-1,1),FALSE)</f>
        <v>4159</v>
      </c>
      <c r="U30">
        <f>VLOOKUP($A30,'UN Treasury'!$A$1:$BQ$224,_xlfn.XMATCH(U$1,'UN Treasury'!$A$1:$BQ$1,-1,1),FALSE)</f>
        <v>4343</v>
      </c>
      <c r="V30">
        <f>VLOOKUP($A30,'UN Treasury'!$A$1:$BQ$224,_xlfn.XMATCH(V$1,'UN Treasury'!$A$1:$BQ$1,-1,1),FALSE)</f>
        <v>4374</v>
      </c>
      <c r="W30">
        <f>VLOOKUP($A30,'UN Treasury'!$A$1:$BQ$224,_xlfn.XMATCH(W$1,'UN Treasury'!$A$1:$BQ$1,-1,1),FALSE)</f>
        <v>4477</v>
      </c>
      <c r="X30">
        <f>VLOOKUP($A30,'UN Treasury'!$A$1:$BQ$224,_xlfn.XMATCH(X$1,'UN Treasury'!$A$1:$BQ$1,-1,1),FALSE)</f>
        <v>4182</v>
      </c>
      <c r="Y30">
        <f>VLOOKUP($A30,'UN Treasury'!$A$1:$BQ$224,_xlfn.XMATCH(Y$1,'UN Treasury'!$A$1:$BQ$1,-1,1),FALSE)</f>
        <v>4260</v>
      </c>
      <c r="Z30">
        <f>VLOOKUP($A30,'UN Treasury'!$A$1:$BQ$224,_xlfn.XMATCH(Z$1,'UN Treasury'!$A$1:$BQ$1,-1,1),FALSE)</f>
        <v>4042</v>
      </c>
      <c r="AA30">
        <f>VLOOKUP($A30,'UN Treasury'!$A$1:$BQ$224,_xlfn.XMATCH(AA$1,'UN Treasury'!$A$1:$BQ$1,-1,1),FALSE)</f>
        <v>3962</v>
      </c>
      <c r="AB30">
        <f>VLOOKUP($A30,'UN Treasury'!$A$1:$BQ$224,_xlfn.XMATCH(AB$1,'UN Treasury'!$A$1:$BQ$1,-1,1),FALSE)</f>
        <v>4002</v>
      </c>
      <c r="AC30">
        <f>VLOOKUP($A30,'UN Treasury'!$A$1:$BQ$224,_xlfn.XMATCH(AC$1,'UN Treasury'!$A$1:$BQ$1,-1,1),FALSE)</f>
        <v>3888</v>
      </c>
      <c r="AD30">
        <f>VLOOKUP($A30,'UN Treasury'!$A$1:$BQ$224,_xlfn.XMATCH(AD$1,'UN Treasury'!$A$1:$BQ$1,-1,1),FALSE)</f>
        <v>3800</v>
      </c>
      <c r="AE30">
        <f>VLOOKUP($A30,'UN Treasury'!$A$1:$BQ$224,_xlfn.XMATCH(AE$1,'UN Treasury'!$A$1:$BQ$1,-1,1),FALSE)</f>
        <v>3912</v>
      </c>
      <c r="AF30">
        <f>VLOOKUP($A30,'UN Treasury'!$A$1:$BQ$224,_xlfn.XMATCH(AF$1,'UN Treasury'!$A$1:$BQ$1,-1,1),FALSE)</f>
        <v>3920</v>
      </c>
      <c r="AG30">
        <f>VLOOKUP($A30,'UN Treasury'!$A$1:$BQ$224,_xlfn.XMATCH(AG$1,'UN Treasury'!$A$1:$BQ$1,-1,1),FALSE)</f>
        <v>3926</v>
      </c>
      <c r="AH30">
        <f>VLOOKUP($A30,'UN Treasury'!$A$1:$BQ$224,_xlfn.XMATCH(AH$1,'UN Treasury'!$A$1:$BQ$1,-1,1),FALSE)</f>
        <v>4005</v>
      </c>
      <c r="AI30">
        <f>VLOOKUP($A30,'UN Treasury'!$A$1:$BQ$224,_xlfn.XMATCH(AI$1,'UN Treasury'!$A$1:$BQ$1,-1,1),FALSE)</f>
        <v>4032</v>
      </c>
      <c r="AJ30">
        <f>VLOOKUP($A30,'UN Treasury'!$A$1:$BQ$224,_xlfn.XMATCH(AJ$1,'UN Treasury'!$A$1:$BQ$1,-1,1),FALSE)</f>
        <v>4185</v>
      </c>
      <c r="AK30">
        <f>VLOOKUP($A30,'UN Treasury'!$A$1:$BQ$224,_xlfn.XMATCH(AK$1,'UN Treasury'!$A$1:$BQ$1,-1,1),FALSE)</f>
        <v>3943</v>
      </c>
      <c r="AL30">
        <f>VLOOKUP($A30,'UN Treasury'!$A$1:$BQ$224,_xlfn.XMATCH(AL$1,'UN Treasury'!$A$1:$BQ$1,-1,1),FALSE)</f>
        <v>3940</v>
      </c>
      <c r="AM30">
        <f>VLOOKUP($A30,'UN Treasury'!$A$1:$BQ$224,_xlfn.XMATCH(AM$1,'UN Treasury'!$A$1:$BQ$1,-1,1),FALSE)</f>
        <v>4124</v>
      </c>
      <c r="AN30">
        <f>VLOOKUP($A30,'UN Treasury'!$A$1:$BQ$224,_xlfn.XMATCH(AN$1,'UN Treasury'!$A$1:$BQ$1,-1,1),FALSE)</f>
        <v>4189</v>
      </c>
      <c r="AO30">
        <f>VLOOKUP($A30,'UN Treasury'!$A$1:$BQ$224,_xlfn.XMATCH(AO$1,'UN Treasury'!$A$1:$BQ$1,-1,1),FALSE)</f>
        <v>4605</v>
      </c>
      <c r="AP30">
        <f>VLOOKUP($A30,'UN Treasury'!$A$1:$BQ$224,_xlfn.XMATCH(AP$1,'UN Treasury'!$A$1:$BQ$1,-1,1),FALSE)</f>
        <v>4466</v>
      </c>
      <c r="AQ30">
        <f>VLOOKUP($A30,'UN Treasury'!$A$1:$BQ$224,_xlfn.XMATCH(AQ$1,'UN Treasury'!$A$1:$BQ$1,-1,1),FALSE)</f>
        <v>4774</v>
      </c>
      <c r="AR30">
        <f>VLOOKUP($A30,'UN Treasury'!$A$1:$BQ$224,_xlfn.XMATCH(AR$1,'UN Treasury'!$A$1:$BQ$1,-1,1),FALSE)</f>
        <v>4822</v>
      </c>
      <c r="AS30">
        <f>VLOOKUP($A30,'UN Treasury'!$A$1:$BQ$224,_xlfn.XMATCH(AS$1,'UN Treasury'!$A$1:$BQ$1,-1,1),FALSE)</f>
        <v>4758</v>
      </c>
      <c r="AT30">
        <f>VLOOKUP($A30,'UN Treasury'!$A$1:$BQ$224,_xlfn.XMATCH(AT$1,'UN Treasury'!$A$1:$BQ$1,-1,1),FALSE)</f>
        <v>4795</v>
      </c>
      <c r="AU30">
        <f>VLOOKUP($A30,'UN Treasury'!$A$1:$BQ$224,_xlfn.XMATCH(AU$1,'UN Treasury'!$A$1:$BQ$1,-1,1),FALSE)</f>
        <v>4794</v>
      </c>
      <c r="AV30">
        <f>VLOOKUP($A30,'UN Treasury'!$A$1:$BQ$224,_xlfn.XMATCH(AV$1,'UN Treasury'!$A$1:$BQ$1,-1,1),FALSE)</f>
        <v>4615</v>
      </c>
      <c r="AW30">
        <f>VLOOKUP($A30,'UN Treasury'!$A$1:$BQ$224,_xlfn.XMATCH(AW$1,'UN Treasury'!$A$1:$BQ$1,-1,1),FALSE)</f>
        <v>4413</v>
      </c>
      <c r="AX30">
        <f>VLOOKUP($A30,'UN Treasury'!$A$1:$BQ$224,_xlfn.XMATCH(AX$1,'UN Treasury'!$A$1:$BQ$1,-1,1),FALSE)</f>
        <v>4232</v>
      </c>
      <c r="AY30">
        <f>VLOOKUP($A30,'UN Treasury'!$A$1:$BQ$224,_xlfn.XMATCH(AY$1,'UN Treasury'!$A$1:$BQ$1,-1,1),FALSE)</f>
        <v>4566</v>
      </c>
      <c r="AZ30">
        <f>VLOOKUP($A30,'UN Treasury'!$A$1:$BQ$224,_xlfn.XMATCH(AZ$1,'UN Treasury'!$A$1:$BQ$1,-1,1),FALSE)</f>
        <v>3956</v>
      </c>
      <c r="BA30">
        <f>VLOOKUP($A30,'UN Treasury'!$A$1:$BQ$224,_xlfn.XMATCH(BA$1,'UN Treasury'!$A$1:$BQ$1,-1,1),FALSE)</f>
        <v>4072</v>
      </c>
      <c r="BB30">
        <f>VLOOKUP($A30,'UN Treasury'!$A$1:$BQ$224,_xlfn.XMATCH(BB$1,'UN Treasury'!$A$1:$BQ$1,-1,1),FALSE)</f>
        <v>3712</v>
      </c>
      <c r="BC30">
        <f>VLOOKUP($A30,'UN Treasury'!$A$1:$BQ$224,_xlfn.XMATCH(BC$1,'UN Treasury'!$A$1:$BQ$1,-1,1),FALSE)</f>
        <v>3828</v>
      </c>
      <c r="BD30">
        <f>VLOOKUP($A30,'UN Treasury'!$A$1:$BQ$224,_xlfn.XMATCH(BD$1,'UN Treasury'!$A$1:$BQ$1,-1,1),FALSE)</f>
        <v>3911</v>
      </c>
      <c r="BE30">
        <f>VLOOKUP($A30,'UN Treasury'!$A$1:$BQ$224,_xlfn.XMATCH(BE$1,'UN Treasury'!$A$1:$BQ$1,-1,1),FALSE)</f>
        <v>3965</v>
      </c>
      <c r="BF30">
        <f>VLOOKUP($A30,'UN Treasury'!$A$1:$BQ$224,_xlfn.XMATCH(BF$1,'UN Treasury'!$A$1:$BQ$1,-1,1),FALSE)</f>
        <v>3995</v>
      </c>
      <c r="BG30">
        <f>VLOOKUP($A30,'UN Treasury'!$A$1:$BQ$224,_xlfn.XMATCH(BG$1,'UN Treasury'!$A$1:$BQ$1,-1,1),FALSE)</f>
        <v>3754</v>
      </c>
      <c r="BH30">
        <f>VLOOKUP($A30,'UN Treasury'!$A$1:$BQ$224,_xlfn.XMATCH(BH$1,'UN Treasury'!$A$1:$BQ$1,-1,1),FALSE)</f>
        <v>3834</v>
      </c>
      <c r="BI30">
        <f>VLOOKUP($A30,'UN Treasury'!$A$1:$BQ$224,_xlfn.XMATCH(BI$1,'UN Treasury'!$A$1:$BQ$1,-1,1),FALSE)</f>
        <v>3809</v>
      </c>
      <c r="BJ30">
        <f>VLOOKUP($A30,'UN Treasury'!$A$1:$BQ$224,_xlfn.XMATCH(BJ$1,'UN Treasury'!$A$1:$BQ$1,-1,1),FALSE)</f>
        <v>3834</v>
      </c>
      <c r="BK30">
        <f>VLOOKUP($A30,'UN Treasury'!$A$1:$BQ$224,_xlfn.XMATCH(BK$1,'UN Treasury'!$A$1:$BQ$1,-1,1),FALSE)</f>
        <v>3714</v>
      </c>
      <c r="BL30">
        <f>VLOOKUP($A30,'UN Treasury'!$A$1:$BQ$224,_xlfn.XMATCH(BL$1,'UN Treasury'!$A$1:$BQ$1,-1,1),FALSE)</f>
        <v>3728</v>
      </c>
      <c r="BM30">
        <f>VLOOKUP($A30,'UN Treasury'!$A$1:$BQ$224,_xlfn.XMATCH(BM$1,'UN Treasury'!$A$1:$BQ$1,-1,1),FALSE)</f>
        <v>3725</v>
      </c>
      <c r="BN30">
        <f>VLOOKUP($A30,'UN Treasury'!$A$1:$BQ$224,_xlfn.XMATCH(BN$1,'UN Treasury'!$A$1:$BQ$1,-1,1),FALSE)</f>
        <v>3726</v>
      </c>
      <c r="BO30">
        <f>VLOOKUP($A30,'UN Treasury'!$A$1:$BQ$224,_xlfn.XMATCH(BO$1,'UN Treasury'!$A$1:$BQ$1,-1,1),FALSE)</f>
        <v>3576</v>
      </c>
      <c r="BP30">
        <f>VLOOKUP($A30,'UN Treasury'!$A$1:$BQ$224,_xlfn.XMATCH(BP$1,'UN Treasury'!$A$1:$BQ$1,-1,1),FALSE)</f>
        <v>3582</v>
      </c>
      <c r="BQ30">
        <f>VLOOKUP($A30,'UN Treasury'!$A$1:$BQ$224,_xlfn.XMATCH(BQ$1,'UN Treasury'!$A$1:$BQ$1,-1,1),FALSE)</f>
        <v>3472</v>
      </c>
    </row>
    <row r="31" spans="1:69" x14ac:dyDescent="0.25">
      <c r="A31" t="s">
        <v>96</v>
      </c>
      <c r="B31">
        <f>VLOOKUP($A31,'UN Treasury'!$A$1:$BQ$224,_xlfn.XMATCH(B$1,'UN Treasury'!$A$1:$BQ$1,-1,1),FALSE)</f>
        <v>447</v>
      </c>
      <c r="C31">
        <f>VLOOKUP($A31,'UN Treasury'!$A$1:$BQ$224,_xlfn.XMATCH(C$1,'UN Treasury'!$A$1:$BQ$1,-1,1),FALSE)</f>
        <v>452</v>
      </c>
      <c r="D31">
        <f>VLOOKUP($A31,'UN Treasury'!$A$1:$BQ$224,_xlfn.XMATCH(D$1,'UN Treasury'!$A$1:$BQ$1,-1,1),FALSE)</f>
        <v>456</v>
      </c>
      <c r="E31">
        <f>VLOOKUP($A31,'UN Treasury'!$A$1:$BQ$224,_xlfn.XMATCH(E$1,'UN Treasury'!$A$1:$BQ$1,-1,1),FALSE)</f>
        <v>452.3</v>
      </c>
      <c r="F31">
        <f>VLOOKUP($A31,'UN Treasury'!$A$1:$BQ$224,_xlfn.XMATCH(F$1,'UN Treasury'!$A$1:$BQ$1,-1,1),FALSE)</f>
        <v>462.81</v>
      </c>
      <c r="G31">
        <f>VLOOKUP($A31,'UN Treasury'!$A$1:$BQ$224,_xlfn.XMATCH(G$1,'UN Treasury'!$A$1:$BQ$1,-1,1),FALSE)</f>
        <v>468.98</v>
      </c>
      <c r="H31">
        <f>VLOOKUP($A31,'UN Treasury'!$A$1:$BQ$224,_xlfn.XMATCH(H$1,'UN Treasury'!$A$1:$BQ$1,-1,1),FALSE)</f>
        <v>484</v>
      </c>
      <c r="I31">
        <f>VLOOKUP($A31,'UN Treasury'!$A$1:$BQ$224,_xlfn.XMATCH(I$1,'UN Treasury'!$A$1:$BQ$1,-1,1),FALSE)</f>
        <v>494.13</v>
      </c>
      <c r="J31">
        <f>VLOOKUP($A31,'UN Treasury'!$A$1:$BQ$224,_xlfn.XMATCH(J$1,'UN Treasury'!$A$1:$BQ$1,-1,1),FALSE)</f>
        <v>492.39</v>
      </c>
      <c r="K31">
        <f>VLOOKUP($A31,'UN Treasury'!$A$1:$BQ$224,_xlfn.XMATCH(K$1,'UN Treasury'!$A$1:$BQ$1,-1,1),FALSE)</f>
        <v>499.66</v>
      </c>
      <c r="L31">
        <f>VLOOKUP($A31,'UN Treasury'!$A$1:$BQ$224,_xlfn.XMATCH(L$1,'UN Treasury'!$A$1:$BQ$1,-1,1),FALSE)</f>
        <v>502.51</v>
      </c>
      <c r="M31">
        <f>VLOOKUP($A31,'UN Treasury'!$A$1:$BQ$224,_xlfn.XMATCH(M$1,'UN Treasury'!$A$1:$BQ$1,-1,1),FALSE)</f>
        <v>501.41</v>
      </c>
      <c r="N31">
        <f>VLOOKUP($A31,'UN Treasury'!$A$1:$BQ$224,_xlfn.XMATCH(N$1,'UN Treasury'!$A$1:$BQ$1,-1,1),FALSE)</f>
        <v>503.06</v>
      </c>
      <c r="O31">
        <f>VLOOKUP($A31,'UN Treasury'!$A$1:$BQ$224,_xlfn.XMATCH(O$1,'UN Treasury'!$A$1:$BQ$1,-1,1),FALSE)</f>
        <v>502.93</v>
      </c>
      <c r="P31">
        <f>VLOOKUP($A31,'UN Treasury'!$A$1:$BQ$224,_xlfn.XMATCH(P$1,'UN Treasury'!$A$1:$BQ$1,-1,1),FALSE)</f>
        <v>506.16</v>
      </c>
      <c r="Q31">
        <f>VLOOKUP($A31,'UN Treasury'!$A$1:$BQ$224,_xlfn.XMATCH(Q$1,'UN Treasury'!$A$1:$BQ$1,-1,1),FALSE)</f>
        <v>505.95</v>
      </c>
      <c r="R31">
        <f>VLOOKUP($A31,'UN Treasury'!$A$1:$BQ$224,_xlfn.XMATCH(R$1,'UN Treasury'!$A$1:$BQ$1,-1,1),FALSE)</f>
        <v>509.03</v>
      </c>
      <c r="S31">
        <f>VLOOKUP($A31,'UN Treasury'!$A$1:$BQ$224,_xlfn.XMATCH(S$1,'UN Treasury'!$A$1:$BQ$1,-1,1),FALSE)</f>
        <v>499.29</v>
      </c>
      <c r="T31">
        <f>VLOOKUP($A31,'UN Treasury'!$A$1:$BQ$224,_xlfn.XMATCH(T$1,'UN Treasury'!$A$1:$BQ$1,-1,1),FALSE)</f>
        <v>506.42</v>
      </c>
      <c r="U31">
        <f>VLOOKUP($A31,'UN Treasury'!$A$1:$BQ$224,_xlfn.XMATCH(U$1,'UN Treasury'!$A$1:$BQ$1,-1,1),FALSE)</f>
        <v>503.54</v>
      </c>
      <c r="V31">
        <f>VLOOKUP($A31,'UN Treasury'!$A$1:$BQ$224,_xlfn.XMATCH(V$1,'UN Treasury'!$A$1:$BQ$1,-1,1),FALSE)</f>
        <v>500.86</v>
      </c>
      <c r="W31">
        <f>VLOOKUP($A31,'UN Treasury'!$A$1:$BQ$224,_xlfn.XMATCH(W$1,'UN Treasury'!$A$1:$BQ$1,-1,1),FALSE)</f>
        <v>509.05</v>
      </c>
      <c r="X31">
        <f>VLOOKUP($A31,'UN Treasury'!$A$1:$BQ$224,_xlfn.XMATCH(X$1,'UN Treasury'!$A$1:$BQ$1,-1,1),FALSE)</f>
        <v>515.64</v>
      </c>
      <c r="Y31">
        <f>VLOOKUP($A31,'UN Treasury'!$A$1:$BQ$224,_xlfn.XMATCH(Y$1,'UN Treasury'!$A$1:$BQ$1,-1,1),FALSE)</f>
        <v>515.48</v>
      </c>
      <c r="Z31">
        <f>VLOOKUP($A31,'UN Treasury'!$A$1:$BQ$224,_xlfn.XMATCH(Z$1,'UN Treasury'!$A$1:$BQ$1,-1,1),FALSE)</f>
        <v>527.1</v>
      </c>
      <c r="AA31">
        <f>VLOOKUP($A31,'UN Treasury'!$A$1:$BQ$224,_xlfn.XMATCH(AA$1,'UN Treasury'!$A$1:$BQ$1,-1,1),FALSE)</f>
        <v>524.08000000000004</v>
      </c>
      <c r="AB31">
        <f>VLOOKUP($A31,'UN Treasury'!$A$1:$BQ$224,_xlfn.XMATCH(AB$1,'UN Treasury'!$A$1:$BQ$1,-1,1),FALSE)</f>
        <v>527.24</v>
      </c>
      <c r="AC31">
        <f>VLOOKUP($A31,'UN Treasury'!$A$1:$BQ$224,_xlfn.XMATCH(AC$1,'UN Treasury'!$A$1:$BQ$1,-1,1),FALSE)</f>
        <v>510.86</v>
      </c>
      <c r="AD31">
        <f>VLOOKUP($A31,'UN Treasury'!$A$1:$BQ$224,_xlfn.XMATCH(AD$1,'UN Treasury'!$A$1:$BQ$1,-1,1),FALSE)</f>
        <v>502.58</v>
      </c>
      <c r="AE31">
        <f>VLOOKUP($A31,'UN Treasury'!$A$1:$BQ$224,_xlfn.XMATCH(AE$1,'UN Treasury'!$A$1:$BQ$1,-1,1),FALSE)</f>
        <v>508.29</v>
      </c>
      <c r="AF31">
        <f>VLOOKUP($A31,'UN Treasury'!$A$1:$BQ$224,_xlfn.XMATCH(AF$1,'UN Treasury'!$A$1:$BQ$1,-1,1),FALSE)</f>
        <v>517.79999999999995</v>
      </c>
      <c r="AG31">
        <f>VLOOKUP($A31,'UN Treasury'!$A$1:$BQ$224,_xlfn.XMATCH(AG$1,'UN Treasury'!$A$1:$BQ$1,-1,1),FALSE)</f>
        <v>519.39</v>
      </c>
      <c r="AH31">
        <f>VLOOKUP($A31,'UN Treasury'!$A$1:$BQ$224,_xlfn.XMATCH(AH$1,'UN Treasury'!$A$1:$BQ$1,-1,1),FALSE)</f>
        <v>526.92999999999995</v>
      </c>
      <c r="AI31">
        <f>VLOOKUP($A31,'UN Treasury'!$A$1:$BQ$224,_xlfn.XMATCH(AI$1,'UN Treasury'!$A$1:$BQ$1,-1,1),FALSE)</f>
        <v>531.23</v>
      </c>
      <c r="AJ31">
        <f>VLOOKUP($A31,'UN Treasury'!$A$1:$BQ$224,_xlfn.XMATCH(AJ$1,'UN Treasury'!$A$1:$BQ$1,-1,1),FALSE)</f>
        <v>534.47</v>
      </c>
      <c r="AK31">
        <f>VLOOKUP($A31,'UN Treasury'!$A$1:$BQ$224,_xlfn.XMATCH(AK$1,'UN Treasury'!$A$1:$BQ$1,-1,1),FALSE)</f>
        <v>534.5</v>
      </c>
      <c r="AL31">
        <f>VLOOKUP($A31,'UN Treasury'!$A$1:$BQ$224,_xlfn.XMATCH(AL$1,'UN Treasury'!$A$1:$BQ$1,-1,1),FALSE)</f>
        <v>534.54999999999995</v>
      </c>
      <c r="AM31">
        <f>VLOOKUP($A31,'UN Treasury'!$A$1:$BQ$224,_xlfn.XMATCH(AM$1,'UN Treasury'!$A$1:$BQ$1,-1,1),FALSE)</f>
        <v>548.98</v>
      </c>
      <c r="AN31">
        <f>VLOOKUP($A31,'UN Treasury'!$A$1:$BQ$224,_xlfn.XMATCH(AN$1,'UN Treasury'!$A$1:$BQ$1,-1,1),FALSE)</f>
        <v>543.79999999999995</v>
      </c>
      <c r="AO31">
        <f>VLOOKUP($A31,'UN Treasury'!$A$1:$BQ$224,_xlfn.XMATCH(AO$1,'UN Treasury'!$A$1:$BQ$1,-1,1),FALSE)</f>
        <v>535.79</v>
      </c>
      <c r="AP31">
        <f>VLOOKUP($A31,'UN Treasury'!$A$1:$BQ$224,_xlfn.XMATCH(AP$1,'UN Treasury'!$A$1:$BQ$1,-1,1),FALSE)</f>
        <v>536.66999999999996</v>
      </c>
      <c r="AQ31">
        <f>VLOOKUP($A31,'UN Treasury'!$A$1:$BQ$224,_xlfn.XMATCH(AQ$1,'UN Treasury'!$A$1:$BQ$1,-1,1),FALSE)</f>
        <v>546.30999999999995</v>
      </c>
      <c r="AR31">
        <f>VLOOKUP($A31,'UN Treasury'!$A$1:$BQ$224,_xlfn.XMATCH(AR$1,'UN Treasury'!$A$1:$BQ$1,-1,1),FALSE)</f>
        <v>572.91999999999996</v>
      </c>
      <c r="AS31">
        <f>VLOOKUP($A31,'UN Treasury'!$A$1:$BQ$224,_xlfn.XMATCH(AS$1,'UN Treasury'!$A$1:$BQ$1,-1,1),FALSE)</f>
        <v>581.41999999999996</v>
      </c>
      <c r="AT31">
        <f>VLOOKUP($A31,'UN Treasury'!$A$1:$BQ$224,_xlfn.XMATCH(AT$1,'UN Treasury'!$A$1:$BQ$1,-1,1),FALSE)</f>
        <v>580.88</v>
      </c>
      <c r="AU31">
        <f>VLOOKUP($A31,'UN Treasury'!$A$1:$BQ$224,_xlfn.XMATCH(AU$1,'UN Treasury'!$A$1:$BQ$1,-1,1),FALSE)</f>
        <v>609.17999999999995</v>
      </c>
      <c r="AV31">
        <f>VLOOKUP($A31,'UN Treasury'!$A$1:$BQ$224,_xlfn.XMATCH(AV$1,'UN Treasury'!$A$1:$BQ$1,-1,1),FALSE)</f>
        <v>625.30999999999995</v>
      </c>
      <c r="AW31">
        <f>VLOOKUP($A31,'UN Treasury'!$A$1:$BQ$224,_xlfn.XMATCH(AW$1,'UN Treasury'!$A$1:$BQ$1,-1,1),FALSE)</f>
        <v>634.16999999999996</v>
      </c>
      <c r="AX31">
        <f>VLOOKUP($A31,'UN Treasury'!$A$1:$BQ$224,_xlfn.XMATCH(AX$1,'UN Treasury'!$A$1:$BQ$1,-1,1),FALSE)</f>
        <v>667.62</v>
      </c>
      <c r="AY31">
        <f>VLOOKUP($A31,'UN Treasury'!$A$1:$BQ$224,_xlfn.XMATCH(AY$1,'UN Treasury'!$A$1:$BQ$1,-1,1),FALSE)</f>
        <v>686.83</v>
      </c>
      <c r="AZ31">
        <f>VLOOKUP($A31,'UN Treasury'!$A$1:$BQ$224,_xlfn.XMATCH(AZ$1,'UN Treasury'!$A$1:$BQ$1,-1,1),FALSE)</f>
        <v>682.43</v>
      </c>
      <c r="BA31">
        <f>VLOOKUP($A31,'UN Treasury'!$A$1:$BQ$224,_xlfn.XMATCH(BA$1,'UN Treasury'!$A$1:$BQ$1,-1,1),FALSE)</f>
        <v>664.96</v>
      </c>
      <c r="BB31">
        <f>VLOOKUP($A31,'UN Treasury'!$A$1:$BQ$224,_xlfn.XMATCH(BB$1,'UN Treasury'!$A$1:$BQ$1,-1,1),FALSE)</f>
        <v>653.57000000000005</v>
      </c>
      <c r="BC31">
        <f>VLOOKUP($A31,'UN Treasury'!$A$1:$BQ$224,_xlfn.XMATCH(BC$1,'UN Treasury'!$A$1:$BQ$1,-1,1),FALSE)</f>
        <v>648.24</v>
      </c>
      <c r="BD31">
        <f>VLOOKUP($A31,'UN Treasury'!$A$1:$BQ$224,_xlfn.XMATCH(BD$1,'UN Treasury'!$A$1:$BQ$1,-1,1),FALSE)</f>
        <v>640.99</v>
      </c>
      <c r="BE31">
        <f>VLOOKUP($A31,'UN Treasury'!$A$1:$BQ$224,_xlfn.XMATCH(BE$1,'UN Treasury'!$A$1:$BQ$1,-1,1),FALSE)</f>
        <v>634.73</v>
      </c>
      <c r="BF31">
        <f>VLOOKUP($A31,'UN Treasury'!$A$1:$BQ$224,_xlfn.XMATCH(BF$1,'UN Treasury'!$A$1:$BQ$1,-1,1),FALSE)</f>
        <v>626.71</v>
      </c>
      <c r="BG31">
        <f>VLOOKUP($A31,'UN Treasury'!$A$1:$BQ$224,_xlfn.XMATCH(BG$1,'UN Treasury'!$A$1:$BQ$1,-1,1),FALSE)</f>
        <v>631.67999999999995</v>
      </c>
      <c r="BH31">
        <f>VLOOKUP($A31,'UN Treasury'!$A$1:$BQ$224,_xlfn.XMATCH(BH$1,'UN Treasury'!$A$1:$BQ$1,-1,1),FALSE)</f>
        <v>622.02</v>
      </c>
      <c r="BI31">
        <f>VLOOKUP($A31,'UN Treasury'!$A$1:$BQ$224,_xlfn.XMATCH(BI$1,'UN Treasury'!$A$1:$BQ$1,-1,1),FALSE)</f>
        <v>618.51</v>
      </c>
      <c r="BJ31">
        <f>VLOOKUP($A31,'UN Treasury'!$A$1:$BQ$224,_xlfn.XMATCH(BJ$1,'UN Treasury'!$A$1:$BQ$1,-1,1),FALSE)</f>
        <v>615.20000000000005</v>
      </c>
      <c r="BK31">
        <f>VLOOKUP($A31,'UN Treasury'!$A$1:$BQ$224,_xlfn.XMATCH(BK$1,'UN Treasury'!$A$1:$BQ$1,-1,1),FALSE)</f>
        <v>616.13</v>
      </c>
      <c r="BL31">
        <f>VLOOKUP($A31,'UN Treasury'!$A$1:$BQ$224,_xlfn.XMATCH(BL$1,'UN Treasury'!$A$1:$BQ$1,-1,1),FALSE)</f>
        <v>614.42999999999995</v>
      </c>
      <c r="BM31">
        <f>VLOOKUP($A31,'UN Treasury'!$A$1:$BQ$224,_xlfn.XMATCH(BM$1,'UN Treasury'!$A$1:$BQ$1,-1,1),FALSE)</f>
        <v>614.73</v>
      </c>
      <c r="BN31">
        <f>VLOOKUP($A31,'UN Treasury'!$A$1:$BQ$224,_xlfn.XMATCH(BN$1,'UN Treasury'!$A$1:$BQ$1,-1,1),FALSE)</f>
        <v>610.66</v>
      </c>
      <c r="BO31">
        <f>VLOOKUP($A31,'UN Treasury'!$A$1:$BQ$224,_xlfn.XMATCH(BO$1,'UN Treasury'!$A$1:$BQ$1,-1,1),FALSE)</f>
        <v>608.1</v>
      </c>
      <c r="BP31">
        <f>VLOOKUP($A31,'UN Treasury'!$A$1:$BQ$224,_xlfn.XMATCH(BP$1,'UN Treasury'!$A$1:$BQ$1,-1,1),FALSE)</f>
        <v>610.48</v>
      </c>
      <c r="BQ31">
        <f>VLOOKUP($A31,'UN Treasury'!$A$1:$BQ$224,_xlfn.XMATCH(BQ$1,'UN Treasury'!$A$1:$BQ$1,-1,1),FALSE)</f>
        <v>607.69000000000005</v>
      </c>
    </row>
    <row r="32" spans="1:69" x14ac:dyDescent="0.25">
      <c r="A32" t="s">
        <v>97</v>
      </c>
      <c r="B32">
        <f>VLOOKUP($A32,'UN Treasury'!$A$1:$BQ$224,_xlfn.XMATCH(B$1,'UN Treasury'!$A$1:$BQ$1,-1,1),FALSE)</f>
        <v>24</v>
      </c>
      <c r="C32">
        <f>VLOOKUP($A32,'UN Treasury'!$A$1:$BQ$224,_xlfn.XMATCH(C$1,'UN Treasury'!$A$1:$BQ$1,-1,1),FALSE)</f>
        <v>24</v>
      </c>
      <c r="D32">
        <f>VLOOKUP($A32,'UN Treasury'!$A$1:$BQ$224,_xlfn.XMATCH(D$1,'UN Treasury'!$A$1:$BQ$1,-1,1),FALSE)</f>
        <v>24</v>
      </c>
      <c r="E32">
        <f>VLOOKUP($A32,'UN Treasury'!$A$1:$BQ$224,_xlfn.XMATCH(E$1,'UN Treasury'!$A$1:$BQ$1,-1,1),FALSE)</f>
        <v>24</v>
      </c>
      <c r="F32">
        <f>VLOOKUP($A32,'UN Treasury'!$A$1:$BQ$224,_xlfn.XMATCH(F$1,'UN Treasury'!$A$1:$BQ$1,-1,1),FALSE)</f>
        <v>24</v>
      </c>
      <c r="G32">
        <f>VLOOKUP($A32,'UN Treasury'!$A$1:$BQ$224,_xlfn.XMATCH(G$1,'UN Treasury'!$A$1:$BQ$1,-1,1),FALSE)</f>
        <v>24</v>
      </c>
      <c r="H32">
        <f>VLOOKUP($A32,'UN Treasury'!$A$1:$BQ$224,_xlfn.XMATCH(H$1,'UN Treasury'!$A$1:$BQ$1,-1,1),FALSE)</f>
        <v>24</v>
      </c>
      <c r="I32">
        <f>VLOOKUP($A32,'UN Treasury'!$A$1:$BQ$224,_xlfn.XMATCH(I$1,'UN Treasury'!$A$1:$BQ$1,-1,1),FALSE)</f>
        <v>24</v>
      </c>
      <c r="J32">
        <f>VLOOKUP($A32,'UN Treasury'!$A$1:$BQ$224,_xlfn.XMATCH(J$1,'UN Treasury'!$A$1:$BQ$1,-1,1),FALSE)</f>
        <v>24</v>
      </c>
      <c r="K32">
        <f>VLOOKUP($A32,'UN Treasury'!$A$1:$BQ$224,_xlfn.XMATCH(K$1,'UN Treasury'!$A$1:$BQ$1,-1,1),FALSE)</f>
        <v>24</v>
      </c>
      <c r="L32">
        <f>VLOOKUP($A32,'UN Treasury'!$A$1:$BQ$224,_xlfn.XMATCH(L$1,'UN Treasury'!$A$1:$BQ$1,-1,1),FALSE)</f>
        <v>24</v>
      </c>
      <c r="M32">
        <f>VLOOKUP($A32,'UN Treasury'!$A$1:$BQ$224,_xlfn.XMATCH(M$1,'UN Treasury'!$A$1:$BQ$1,-1,1),FALSE)</f>
        <v>24</v>
      </c>
      <c r="N32">
        <f>VLOOKUP($A32,'UN Treasury'!$A$1:$BQ$224,_xlfn.XMATCH(N$1,'UN Treasury'!$A$1:$BQ$1,-1,1),FALSE)</f>
        <v>24</v>
      </c>
      <c r="O32">
        <f>VLOOKUP($A32,'UN Treasury'!$A$1:$BQ$224,_xlfn.XMATCH(O$1,'UN Treasury'!$A$1:$BQ$1,-1,1),FALSE)</f>
        <v>24</v>
      </c>
      <c r="P32">
        <f>VLOOKUP($A32,'UN Treasury'!$A$1:$BQ$224,_xlfn.XMATCH(P$1,'UN Treasury'!$A$1:$BQ$1,-1,1),FALSE)</f>
        <v>24</v>
      </c>
      <c r="Q32">
        <f>VLOOKUP($A32,'UN Treasury'!$A$1:$BQ$224,_xlfn.XMATCH(Q$1,'UN Treasury'!$A$1:$BQ$1,-1,1),FALSE)</f>
        <v>24</v>
      </c>
      <c r="R32">
        <f>VLOOKUP($A32,'UN Treasury'!$A$1:$BQ$224,_xlfn.XMATCH(R$1,'UN Treasury'!$A$1:$BQ$1,-1,1),FALSE)</f>
        <v>24</v>
      </c>
      <c r="S32">
        <f>VLOOKUP($A32,'UN Treasury'!$A$1:$BQ$224,_xlfn.XMATCH(S$1,'UN Treasury'!$A$1:$BQ$1,-1,1),FALSE)</f>
        <v>24</v>
      </c>
      <c r="T32">
        <f>VLOOKUP($A32,'UN Treasury'!$A$1:$BQ$224,_xlfn.XMATCH(T$1,'UN Treasury'!$A$1:$BQ$1,-1,1),FALSE)</f>
        <v>24</v>
      </c>
      <c r="U32">
        <f>VLOOKUP($A32,'UN Treasury'!$A$1:$BQ$224,_xlfn.XMATCH(U$1,'UN Treasury'!$A$1:$BQ$1,-1,1),FALSE)</f>
        <v>24</v>
      </c>
      <c r="V32">
        <f>VLOOKUP($A32,'UN Treasury'!$A$1:$BQ$224,_xlfn.XMATCH(V$1,'UN Treasury'!$A$1:$BQ$1,-1,1),FALSE)</f>
        <v>24</v>
      </c>
      <c r="W32">
        <f>VLOOKUP($A32,'UN Treasury'!$A$1:$BQ$224,_xlfn.XMATCH(W$1,'UN Treasury'!$A$1:$BQ$1,-1,1),FALSE)</f>
        <v>24</v>
      </c>
      <c r="X32">
        <f>VLOOKUP($A32,'UN Treasury'!$A$1:$BQ$224,_xlfn.XMATCH(X$1,'UN Treasury'!$A$1:$BQ$1,-1,1),FALSE)</f>
        <v>24</v>
      </c>
      <c r="Y32">
        <f>VLOOKUP($A32,'UN Treasury'!$A$1:$BQ$224,_xlfn.XMATCH(Y$1,'UN Treasury'!$A$1:$BQ$1,-1,1),FALSE)</f>
        <v>24</v>
      </c>
      <c r="Z32">
        <f>VLOOKUP($A32,'UN Treasury'!$A$1:$BQ$224,_xlfn.XMATCH(Z$1,'UN Treasury'!$A$1:$BQ$1,-1,1),FALSE)</f>
        <v>24</v>
      </c>
      <c r="AA32">
        <f>VLOOKUP($A32,'UN Treasury'!$A$1:$BQ$224,_xlfn.XMATCH(AA$1,'UN Treasury'!$A$1:$BQ$1,-1,1),FALSE)</f>
        <v>24</v>
      </c>
      <c r="AB32">
        <f>VLOOKUP($A32,'UN Treasury'!$A$1:$BQ$224,_xlfn.XMATCH(AB$1,'UN Treasury'!$A$1:$BQ$1,-1,1),FALSE)</f>
        <v>24</v>
      </c>
      <c r="AC32">
        <f>VLOOKUP($A32,'UN Treasury'!$A$1:$BQ$224,_xlfn.XMATCH(AC$1,'UN Treasury'!$A$1:$BQ$1,-1,1),FALSE)</f>
        <v>24</v>
      </c>
      <c r="AD32">
        <f>VLOOKUP($A32,'UN Treasury'!$A$1:$BQ$224,_xlfn.XMATCH(AD$1,'UN Treasury'!$A$1:$BQ$1,-1,1),FALSE)</f>
        <v>24</v>
      </c>
      <c r="AE32">
        <f>VLOOKUP($A32,'UN Treasury'!$A$1:$BQ$224,_xlfn.XMATCH(AE$1,'UN Treasury'!$A$1:$BQ$1,-1,1),FALSE)</f>
        <v>24</v>
      </c>
      <c r="AF32">
        <f>VLOOKUP($A32,'UN Treasury'!$A$1:$BQ$224,_xlfn.XMATCH(AF$1,'UN Treasury'!$A$1:$BQ$1,-1,1),FALSE)</f>
        <v>24</v>
      </c>
      <c r="AG32">
        <f>VLOOKUP($A32,'UN Treasury'!$A$1:$BQ$224,_xlfn.XMATCH(AG$1,'UN Treasury'!$A$1:$BQ$1,-1,1),FALSE)</f>
        <v>24</v>
      </c>
      <c r="AH32">
        <f>VLOOKUP($A32,'UN Treasury'!$A$1:$BQ$224,_xlfn.XMATCH(AH$1,'UN Treasury'!$A$1:$BQ$1,-1,1),FALSE)</f>
        <v>24</v>
      </c>
      <c r="AI32">
        <f>VLOOKUP($A32,'UN Treasury'!$A$1:$BQ$224,_xlfn.XMATCH(AI$1,'UN Treasury'!$A$1:$BQ$1,-1,1),FALSE)</f>
        <v>24</v>
      </c>
      <c r="AJ32">
        <f>VLOOKUP($A32,'UN Treasury'!$A$1:$BQ$224,_xlfn.XMATCH(AJ$1,'UN Treasury'!$A$1:$BQ$1,-1,1),FALSE)</f>
        <v>24</v>
      </c>
      <c r="AK32">
        <f>VLOOKUP($A32,'UN Treasury'!$A$1:$BQ$224,_xlfn.XMATCH(AK$1,'UN Treasury'!$A$1:$BQ$1,-1,1),FALSE)</f>
        <v>24</v>
      </c>
      <c r="AL32">
        <f>VLOOKUP($A32,'UN Treasury'!$A$1:$BQ$224,_xlfn.XMATCH(AL$1,'UN Treasury'!$A$1:$BQ$1,-1,1),FALSE)</f>
        <v>24</v>
      </c>
      <c r="AM32">
        <f>VLOOKUP($A32,'UN Treasury'!$A$1:$BQ$224,_xlfn.XMATCH(AM$1,'UN Treasury'!$A$1:$BQ$1,-1,1),FALSE)</f>
        <v>24</v>
      </c>
      <c r="AN32">
        <f>VLOOKUP($A32,'UN Treasury'!$A$1:$BQ$224,_xlfn.XMATCH(AN$1,'UN Treasury'!$A$1:$BQ$1,-1,1),FALSE)</f>
        <v>24</v>
      </c>
      <c r="AO32">
        <f>VLOOKUP($A32,'UN Treasury'!$A$1:$BQ$224,_xlfn.XMATCH(AO$1,'UN Treasury'!$A$1:$BQ$1,-1,1),FALSE)</f>
        <v>24</v>
      </c>
      <c r="AP32">
        <f>VLOOKUP($A32,'UN Treasury'!$A$1:$BQ$224,_xlfn.XMATCH(AP$1,'UN Treasury'!$A$1:$BQ$1,-1,1),FALSE)</f>
        <v>24</v>
      </c>
      <c r="AQ32">
        <f>VLOOKUP($A32,'UN Treasury'!$A$1:$BQ$224,_xlfn.XMATCH(AQ$1,'UN Treasury'!$A$1:$BQ$1,-1,1),FALSE)</f>
        <v>24</v>
      </c>
      <c r="AR32">
        <f>VLOOKUP($A32,'UN Treasury'!$A$1:$BQ$224,_xlfn.XMATCH(AR$1,'UN Treasury'!$A$1:$BQ$1,-1,1),FALSE)</f>
        <v>24</v>
      </c>
      <c r="AS32">
        <f>VLOOKUP($A32,'UN Treasury'!$A$1:$BQ$224,_xlfn.XMATCH(AS$1,'UN Treasury'!$A$1:$BQ$1,-1,1),FALSE)</f>
        <v>24</v>
      </c>
      <c r="AT32">
        <f>VLOOKUP($A32,'UN Treasury'!$A$1:$BQ$224,_xlfn.XMATCH(AT$1,'UN Treasury'!$A$1:$BQ$1,-1,1),FALSE)</f>
        <v>24</v>
      </c>
      <c r="AU32">
        <f>VLOOKUP($A32,'UN Treasury'!$A$1:$BQ$224,_xlfn.XMATCH(AU$1,'UN Treasury'!$A$1:$BQ$1,-1,1),FALSE)</f>
        <v>24</v>
      </c>
      <c r="AV32">
        <f>VLOOKUP($A32,'UN Treasury'!$A$1:$BQ$224,_xlfn.XMATCH(AV$1,'UN Treasury'!$A$1:$BQ$1,-1,1),FALSE)</f>
        <v>24</v>
      </c>
      <c r="AW32">
        <f>VLOOKUP($A32,'UN Treasury'!$A$1:$BQ$224,_xlfn.XMATCH(AW$1,'UN Treasury'!$A$1:$BQ$1,-1,1),FALSE)</f>
        <v>24</v>
      </c>
      <c r="AX32">
        <f>VLOOKUP($A32,'UN Treasury'!$A$1:$BQ$224,_xlfn.XMATCH(AX$1,'UN Treasury'!$A$1:$BQ$1,-1,1),FALSE)</f>
        <v>24</v>
      </c>
      <c r="AY32">
        <f>VLOOKUP($A32,'UN Treasury'!$A$1:$BQ$224,_xlfn.XMATCH(AY$1,'UN Treasury'!$A$1:$BQ$1,-1,1),FALSE)</f>
        <v>24</v>
      </c>
      <c r="AZ32">
        <f>VLOOKUP($A32,'UN Treasury'!$A$1:$BQ$224,_xlfn.XMATCH(AZ$1,'UN Treasury'!$A$1:$BQ$1,-1,1),FALSE)</f>
        <v>24</v>
      </c>
      <c r="BA32">
        <f>VLOOKUP($A32,'UN Treasury'!$A$1:$BQ$224,_xlfn.XMATCH(BA$1,'UN Treasury'!$A$1:$BQ$1,-1,1),FALSE)</f>
        <v>24</v>
      </c>
      <c r="BB32">
        <f>VLOOKUP($A32,'UN Treasury'!$A$1:$BQ$224,_xlfn.XMATCH(BB$1,'UN Treasury'!$A$1:$BQ$1,-1,1),FALSE)</f>
        <v>24</v>
      </c>
      <c r="BC32">
        <f>VLOOKUP($A32,'UN Treasury'!$A$1:$BQ$224,_xlfn.XMATCH(BC$1,'UN Treasury'!$A$1:$BQ$1,-1,1),FALSE)</f>
        <v>24</v>
      </c>
      <c r="BD32">
        <f>VLOOKUP($A32,'UN Treasury'!$A$1:$BQ$224,_xlfn.XMATCH(BD$1,'UN Treasury'!$A$1:$BQ$1,-1,1),FALSE)</f>
        <v>24</v>
      </c>
      <c r="BE32">
        <f>VLOOKUP($A32,'UN Treasury'!$A$1:$BQ$224,_xlfn.XMATCH(BE$1,'UN Treasury'!$A$1:$BQ$1,-1,1),FALSE)</f>
        <v>24</v>
      </c>
      <c r="BF32">
        <f>VLOOKUP($A32,'UN Treasury'!$A$1:$BQ$224,_xlfn.XMATCH(BF$1,'UN Treasury'!$A$1:$BQ$1,-1,1),FALSE)</f>
        <v>24</v>
      </c>
      <c r="BG32">
        <f>VLOOKUP($A32,'UN Treasury'!$A$1:$BQ$224,_xlfn.XMATCH(BG$1,'UN Treasury'!$A$1:$BQ$1,-1,1),FALSE)</f>
        <v>24</v>
      </c>
      <c r="BH32">
        <f>VLOOKUP($A32,'UN Treasury'!$A$1:$BQ$224,_xlfn.XMATCH(BH$1,'UN Treasury'!$A$1:$BQ$1,-1,1),FALSE)</f>
        <v>24</v>
      </c>
      <c r="BI32">
        <f>VLOOKUP($A32,'UN Treasury'!$A$1:$BQ$224,_xlfn.XMATCH(BI$1,'UN Treasury'!$A$1:$BQ$1,-1,1),FALSE)</f>
        <v>24</v>
      </c>
      <c r="BJ32">
        <f>VLOOKUP($A32,'UN Treasury'!$A$1:$BQ$224,_xlfn.XMATCH(BJ$1,'UN Treasury'!$A$1:$BQ$1,-1,1),FALSE)</f>
        <v>24</v>
      </c>
      <c r="BK32">
        <f>VLOOKUP($A32,'UN Treasury'!$A$1:$BQ$224,_xlfn.XMATCH(BK$1,'UN Treasury'!$A$1:$BQ$1,-1,1),FALSE)</f>
        <v>24</v>
      </c>
      <c r="BL32">
        <f>VLOOKUP($A32,'UN Treasury'!$A$1:$BQ$224,_xlfn.XMATCH(BL$1,'UN Treasury'!$A$1:$BQ$1,-1,1),FALSE)</f>
        <v>24</v>
      </c>
      <c r="BM32">
        <f>VLOOKUP($A32,'UN Treasury'!$A$1:$BQ$224,_xlfn.XMATCH(BM$1,'UN Treasury'!$A$1:$BQ$1,-1,1),FALSE)</f>
        <v>24</v>
      </c>
      <c r="BN32">
        <f>VLOOKUP($A32,'UN Treasury'!$A$1:$BQ$224,_xlfn.XMATCH(BN$1,'UN Treasury'!$A$1:$BQ$1,-1,1),FALSE)</f>
        <v>24</v>
      </c>
      <c r="BO32">
        <f>VLOOKUP($A32,'UN Treasury'!$A$1:$BQ$224,_xlfn.XMATCH(BO$1,'UN Treasury'!$A$1:$BQ$1,-1,1),FALSE)</f>
        <v>24</v>
      </c>
      <c r="BP32">
        <f>VLOOKUP($A32,'UN Treasury'!$A$1:$BQ$224,_xlfn.XMATCH(BP$1,'UN Treasury'!$A$1:$BQ$1,-1,1),FALSE)</f>
        <v>24</v>
      </c>
      <c r="BQ32">
        <f>VLOOKUP($A32,'UN Treasury'!$A$1:$BQ$224,_xlfn.XMATCH(BQ$1,'UN Treasury'!$A$1:$BQ$1,-1,1),FALSE)</f>
        <v>1</v>
      </c>
    </row>
    <row r="33" spans="1:69" x14ac:dyDescent="0.25">
      <c r="A33" t="s">
        <v>89</v>
      </c>
      <c r="B33">
        <f>VLOOKUP($A33,'UN Treasury'!$A$1:$BQ$224,_xlfn.XMATCH(B$1,'UN Treasury'!$A$1:$BQ$1,-1,1),FALSE)</f>
        <v>95.566999999999993</v>
      </c>
      <c r="C33">
        <f>VLOOKUP($A33,'UN Treasury'!$A$1:$BQ$224,_xlfn.XMATCH(C$1,'UN Treasury'!$A$1:$BQ$1,-1,1),FALSE)</f>
        <v>96.495000000000005</v>
      </c>
      <c r="D33">
        <f>VLOOKUP($A33,'UN Treasury'!$A$1:$BQ$224,_xlfn.XMATCH(D$1,'UN Treasury'!$A$1:$BQ$1,-1,1),FALSE)</f>
        <v>95.7</v>
      </c>
      <c r="E33">
        <f>VLOOKUP($A33,'UN Treasury'!$A$1:$BQ$224,_xlfn.XMATCH(E$1,'UN Treasury'!$A$1:$BQ$1,-1,1),FALSE)</f>
        <v>94.162999999999997</v>
      </c>
      <c r="F33">
        <f>VLOOKUP($A33,'UN Treasury'!$A$1:$BQ$224,_xlfn.XMATCH(F$1,'UN Treasury'!$A$1:$BQ$1,-1,1),FALSE)</f>
        <v>94.162999999999997</v>
      </c>
      <c r="G33">
        <f>VLOOKUP($A33,'UN Treasury'!$A$1:$BQ$224,_xlfn.XMATCH(G$1,'UN Treasury'!$A$1:$BQ$1,-1,1),FALSE)</f>
        <v>95.617000000000004</v>
      </c>
      <c r="H33">
        <f>VLOOKUP($A33,'UN Treasury'!$A$1:$BQ$224,_xlfn.XMATCH(H$1,'UN Treasury'!$A$1:$BQ$1,-1,1),FALSE)</f>
        <v>92.769000000000005</v>
      </c>
      <c r="I33">
        <f>VLOOKUP($A33,'UN Treasury'!$A$1:$BQ$224,_xlfn.XMATCH(I$1,'UN Treasury'!$A$1:$BQ$1,-1,1),FALSE)</f>
        <v>94.647999999999996</v>
      </c>
      <c r="J33">
        <f>VLOOKUP($A33,'UN Treasury'!$A$1:$BQ$224,_xlfn.XMATCH(J$1,'UN Treasury'!$A$1:$BQ$1,-1,1),FALSE)</f>
        <v>93.897999999999996</v>
      </c>
      <c r="K33">
        <f>VLOOKUP($A33,'UN Treasury'!$A$1:$BQ$224,_xlfn.XMATCH(K$1,'UN Treasury'!$A$1:$BQ$1,-1,1),FALSE)</f>
        <v>95.352000000000004</v>
      </c>
      <c r="L33">
        <f>VLOOKUP($A33,'UN Treasury'!$A$1:$BQ$224,_xlfn.XMATCH(L$1,'UN Treasury'!$A$1:$BQ$1,-1,1),FALSE)</f>
        <v>95.352000000000004</v>
      </c>
      <c r="M33">
        <f>VLOOKUP($A33,'UN Treasury'!$A$1:$BQ$224,_xlfn.XMATCH(M$1,'UN Treasury'!$A$1:$BQ$1,-1,1),FALSE)</f>
        <v>94.019000000000005</v>
      </c>
      <c r="N33">
        <f>VLOOKUP($A33,'UN Treasury'!$A$1:$BQ$224,_xlfn.XMATCH(N$1,'UN Treasury'!$A$1:$BQ$1,-1,1),FALSE)</f>
        <v>94.227000000000004</v>
      </c>
      <c r="O33">
        <f>VLOOKUP($A33,'UN Treasury'!$A$1:$BQ$224,_xlfn.XMATCH(O$1,'UN Treasury'!$A$1:$BQ$1,-1,1),FALSE)</f>
        <v>94.331999999999994</v>
      </c>
      <c r="P33">
        <f>VLOOKUP($A33,'UN Treasury'!$A$1:$BQ$224,_xlfn.XMATCH(P$1,'UN Treasury'!$A$1:$BQ$1,-1,1),FALSE)</f>
        <v>96.15</v>
      </c>
      <c r="Q33">
        <f>VLOOKUP($A33,'UN Treasury'!$A$1:$BQ$224,_xlfn.XMATCH(Q$1,'UN Treasury'!$A$1:$BQ$1,-1,1),FALSE)</f>
        <v>98.918999999999997</v>
      </c>
      <c r="R33">
        <f>VLOOKUP($A33,'UN Treasury'!$A$1:$BQ$224,_xlfn.XMATCH(R$1,'UN Treasury'!$A$1:$BQ$1,-1,1),FALSE)</f>
        <v>97.046999999999997</v>
      </c>
      <c r="S33">
        <f>VLOOKUP($A33,'UN Treasury'!$A$1:$BQ$224,_xlfn.XMATCH(S$1,'UN Treasury'!$A$1:$BQ$1,-1,1),FALSE)</f>
        <v>101.26300000000001</v>
      </c>
      <c r="T33">
        <f>VLOOKUP($A33,'UN Treasury'!$A$1:$BQ$224,_xlfn.XMATCH(T$1,'UN Treasury'!$A$1:$BQ$1,-1,1),FALSE)</f>
        <v>106.58799999999999</v>
      </c>
      <c r="U33">
        <f>VLOOKUP($A33,'UN Treasury'!$A$1:$BQ$224,_xlfn.XMATCH(U$1,'UN Treasury'!$A$1:$BQ$1,-1,1),FALSE)</f>
        <v>108.029</v>
      </c>
      <c r="V33">
        <f>VLOOKUP($A33,'UN Treasury'!$A$1:$BQ$224,_xlfn.XMATCH(V$1,'UN Treasury'!$A$1:$BQ$1,-1,1),FALSE)</f>
        <v>105.03400000000001</v>
      </c>
      <c r="W33">
        <f>VLOOKUP($A33,'UN Treasury'!$A$1:$BQ$224,_xlfn.XMATCH(W$1,'UN Treasury'!$A$1:$BQ$1,-1,1),FALSE)</f>
        <v>103.98399999999999</v>
      </c>
      <c r="X33">
        <f>VLOOKUP($A33,'UN Treasury'!$A$1:$BQ$224,_xlfn.XMATCH(X$1,'UN Treasury'!$A$1:$BQ$1,-1,1),FALSE)</f>
        <v>100.8</v>
      </c>
      <c r="Y33">
        <f>VLOOKUP($A33,'UN Treasury'!$A$1:$BQ$224,_xlfn.XMATCH(Y$1,'UN Treasury'!$A$1:$BQ$1,-1,1),FALSE)</f>
        <v>100.077</v>
      </c>
      <c r="Z33">
        <f>VLOOKUP($A33,'UN Treasury'!$A$1:$BQ$224,_xlfn.XMATCH(Z$1,'UN Treasury'!$A$1:$BQ$1,-1,1),FALSE)</f>
        <v>100.643</v>
      </c>
      <c r="AA33">
        <f>VLOOKUP($A33,'UN Treasury'!$A$1:$BQ$224,_xlfn.XMATCH(AA$1,'UN Treasury'!$A$1:$BQ$1,-1,1),FALSE)</f>
        <v>101.27200000000001</v>
      </c>
      <c r="AB33">
        <f>VLOOKUP($A33,'UN Treasury'!$A$1:$BQ$224,_xlfn.XMATCH(AB$1,'UN Treasury'!$A$1:$BQ$1,-1,1),FALSE)</f>
        <v>101.777</v>
      </c>
      <c r="AC33">
        <f>VLOOKUP($A33,'UN Treasury'!$A$1:$BQ$224,_xlfn.XMATCH(AC$1,'UN Treasury'!$A$1:$BQ$1,-1,1),FALSE)</f>
        <v>102.059</v>
      </c>
      <c r="AD33">
        <f>VLOOKUP($A33,'UN Treasury'!$A$1:$BQ$224,_xlfn.XMATCH(AD$1,'UN Treasury'!$A$1:$BQ$1,-1,1),FALSE)</f>
        <v>102.735</v>
      </c>
      <c r="AE33">
        <f>VLOOKUP($A33,'UN Treasury'!$A$1:$BQ$224,_xlfn.XMATCH(AE$1,'UN Treasury'!$A$1:$BQ$1,-1,1),FALSE)</f>
        <v>100.8</v>
      </c>
      <c r="AF33">
        <f>VLOOKUP($A33,'UN Treasury'!$A$1:$BQ$224,_xlfn.XMATCH(AF$1,'UN Treasury'!$A$1:$BQ$1,-1,1),FALSE)</f>
        <v>102.83</v>
      </c>
      <c r="AG33">
        <f>VLOOKUP($A33,'UN Treasury'!$A$1:$BQ$224,_xlfn.XMATCH(AG$1,'UN Treasury'!$A$1:$BQ$1,-1,1),FALSE)</f>
        <v>100.67100000000001</v>
      </c>
      <c r="AH33">
        <f>VLOOKUP($A33,'UN Treasury'!$A$1:$BQ$224,_xlfn.XMATCH(AH$1,'UN Treasury'!$A$1:$BQ$1,-1,1),FALSE)</f>
        <v>102.20099999999999</v>
      </c>
      <c r="AI33">
        <f>VLOOKUP($A33,'UN Treasury'!$A$1:$BQ$224,_xlfn.XMATCH(AI$1,'UN Treasury'!$A$1:$BQ$1,-1,1),FALSE)</f>
        <v>103.331</v>
      </c>
      <c r="AJ33">
        <f>VLOOKUP($A33,'UN Treasury'!$A$1:$BQ$224,_xlfn.XMATCH(AJ$1,'UN Treasury'!$A$1:$BQ$1,-1,1),FALSE)</f>
        <v>103.74</v>
      </c>
      <c r="AK33">
        <f>VLOOKUP($A33,'UN Treasury'!$A$1:$BQ$224,_xlfn.XMATCH(AK$1,'UN Treasury'!$A$1:$BQ$1,-1,1),FALSE)</f>
        <v>102.648</v>
      </c>
      <c r="AL33">
        <f>VLOOKUP($A33,'UN Treasury'!$A$1:$BQ$224,_xlfn.XMATCH(AL$1,'UN Treasury'!$A$1:$BQ$1,-1,1),FALSE)</f>
        <v>100.625</v>
      </c>
      <c r="AM33">
        <f>VLOOKUP($A33,'UN Treasury'!$A$1:$BQ$224,_xlfn.XMATCH(AM$1,'UN Treasury'!$A$1:$BQ$1,-1,1),FALSE)</f>
        <v>99.418000000000006</v>
      </c>
      <c r="AN33">
        <f>VLOOKUP($A33,'UN Treasury'!$A$1:$BQ$224,_xlfn.XMATCH(AN$1,'UN Treasury'!$A$1:$BQ$1,-1,1),FALSE)</f>
        <v>102.249</v>
      </c>
      <c r="AO33">
        <f>VLOOKUP($A33,'UN Treasury'!$A$1:$BQ$224,_xlfn.XMATCH(AO$1,'UN Treasury'!$A$1:$BQ$1,-1,1),FALSE)</f>
        <v>101.068</v>
      </c>
      <c r="AP33">
        <f>VLOOKUP($A33,'UN Treasury'!$A$1:$BQ$224,_xlfn.XMATCH(AP$1,'UN Treasury'!$A$1:$BQ$1,-1,1),FALSE)</f>
        <v>100.43300000000001</v>
      </c>
      <c r="AQ33">
        <f>VLOOKUP($A33,'UN Treasury'!$A$1:$BQ$224,_xlfn.XMATCH(AQ$1,'UN Treasury'!$A$1:$BQ$1,-1,1),FALSE)</f>
        <v>102.955</v>
      </c>
      <c r="AR33">
        <f>VLOOKUP($A33,'UN Treasury'!$A$1:$BQ$224,_xlfn.XMATCH(AR$1,'UN Treasury'!$A$1:$BQ$1,-1,1),FALSE)</f>
        <v>102.898</v>
      </c>
      <c r="AS33">
        <f>VLOOKUP($A33,'UN Treasury'!$A$1:$BQ$224,_xlfn.XMATCH(AS$1,'UN Treasury'!$A$1:$BQ$1,-1,1),FALSE)</f>
        <v>102.42</v>
      </c>
      <c r="AT33">
        <f>VLOOKUP($A33,'UN Treasury'!$A$1:$BQ$224,_xlfn.XMATCH(AT$1,'UN Treasury'!$A$1:$BQ$1,-1,1),FALSE)</f>
        <v>103.44799999999999</v>
      </c>
      <c r="AU33">
        <f>VLOOKUP($A33,'UN Treasury'!$A$1:$BQ$224,_xlfn.XMATCH(AU$1,'UN Treasury'!$A$1:$BQ$1,-1,1),FALSE)</f>
        <v>107.18899999999999</v>
      </c>
      <c r="AV33">
        <f>VLOOKUP($A33,'UN Treasury'!$A$1:$BQ$224,_xlfn.XMATCH(AV$1,'UN Treasury'!$A$1:$BQ$1,-1,1),FALSE)</f>
        <v>113.75700000000001</v>
      </c>
      <c r="AW33">
        <f>VLOOKUP($A33,'UN Treasury'!$A$1:$BQ$224,_xlfn.XMATCH(AW$1,'UN Treasury'!$A$1:$BQ$1,-1,1),FALSE)</f>
        <v>109.902</v>
      </c>
      <c r="AX33">
        <f>VLOOKUP($A33,'UN Treasury'!$A$1:$BQ$224,_xlfn.XMATCH(AX$1,'UN Treasury'!$A$1:$BQ$1,-1,1),FALSE)</f>
        <v>106.444</v>
      </c>
      <c r="AY33">
        <f>VLOOKUP($A33,'UN Treasury'!$A$1:$BQ$224,_xlfn.XMATCH(AY$1,'UN Treasury'!$A$1:$BQ$1,-1,1),FALSE)</f>
        <v>109.837</v>
      </c>
      <c r="AZ33">
        <f>VLOOKUP($A33,'UN Treasury'!$A$1:$BQ$224,_xlfn.XMATCH(AZ$1,'UN Treasury'!$A$1:$BQ$1,-1,1),FALSE)</f>
        <v>105.587</v>
      </c>
      <c r="BA33">
        <f>VLOOKUP($A33,'UN Treasury'!$A$1:$BQ$224,_xlfn.XMATCH(BA$1,'UN Treasury'!$A$1:$BQ$1,-1,1),FALSE)</f>
        <v>104.447</v>
      </c>
      <c r="BB33">
        <f>VLOOKUP($A33,'UN Treasury'!$A$1:$BQ$224,_xlfn.XMATCH(BB$1,'UN Treasury'!$A$1:$BQ$1,-1,1),FALSE)</f>
        <v>101.42100000000001</v>
      </c>
      <c r="BC33">
        <f>VLOOKUP($A33,'UN Treasury'!$A$1:$BQ$224,_xlfn.XMATCH(BC$1,'UN Treasury'!$A$1:$BQ$1,-1,1),FALSE)</f>
        <v>100.625</v>
      </c>
      <c r="BD33">
        <f>VLOOKUP($A33,'UN Treasury'!$A$1:$BQ$224,_xlfn.XMATCH(BD$1,'UN Treasury'!$A$1:$BQ$1,-1,1),FALSE)</f>
        <v>96.775000000000006</v>
      </c>
      <c r="BE33">
        <f>VLOOKUP($A33,'UN Treasury'!$A$1:$BQ$224,_xlfn.XMATCH(BE$1,'UN Treasury'!$A$1:$BQ$1,-1,1),FALSE)</f>
        <v>96.570999999999998</v>
      </c>
      <c r="BF33">
        <f>VLOOKUP($A33,'UN Treasury'!$A$1:$BQ$224,_xlfn.XMATCH(BF$1,'UN Treasury'!$A$1:$BQ$1,-1,1),FALSE)</f>
        <v>97.864999999999995</v>
      </c>
      <c r="BG33">
        <f>VLOOKUP($A33,'UN Treasury'!$A$1:$BQ$224,_xlfn.XMATCH(BG$1,'UN Treasury'!$A$1:$BQ$1,-1,1),FALSE)</f>
        <v>96.167000000000002</v>
      </c>
      <c r="BH33">
        <f>VLOOKUP($A33,'UN Treasury'!$A$1:$BQ$224,_xlfn.XMATCH(BH$1,'UN Treasury'!$A$1:$BQ$1,-1,1),FALSE)</f>
        <v>94.802999999999997</v>
      </c>
      <c r="BI33">
        <f>VLOOKUP($A33,'UN Treasury'!$A$1:$BQ$224,_xlfn.XMATCH(BI$1,'UN Treasury'!$A$1:$BQ$1,-1,1),FALSE)</f>
        <v>93.444999999999993</v>
      </c>
      <c r="BJ33">
        <f>VLOOKUP($A33,'UN Treasury'!$A$1:$BQ$224,_xlfn.XMATCH(BJ$1,'UN Treasury'!$A$1:$BQ$1,-1,1),FALSE)</f>
        <v>92.745000000000005</v>
      </c>
      <c r="BK33">
        <f>VLOOKUP($A33,'UN Treasury'!$A$1:$BQ$224,_xlfn.XMATCH(BK$1,'UN Treasury'!$A$1:$BQ$1,-1,1),FALSE)</f>
        <v>92.433999999999997</v>
      </c>
      <c r="BL33">
        <f>VLOOKUP($A33,'UN Treasury'!$A$1:$BQ$224,_xlfn.XMATCH(BL$1,'UN Treasury'!$A$1:$BQ$1,-1,1),FALSE)</f>
        <v>90.388999999999996</v>
      </c>
      <c r="BM33">
        <f>VLOOKUP($A33,'UN Treasury'!$A$1:$BQ$224,_xlfn.XMATCH(BM$1,'UN Treasury'!$A$1:$BQ$1,-1,1),FALSE)</f>
        <v>91.082999999999998</v>
      </c>
      <c r="BN33">
        <f>VLOOKUP($A33,'UN Treasury'!$A$1:$BQ$224,_xlfn.XMATCH(BN$1,'UN Treasury'!$A$1:$BQ$1,-1,1),FALSE)</f>
        <v>94.082999999999998</v>
      </c>
      <c r="BO33">
        <f>VLOOKUP($A33,'UN Treasury'!$A$1:$BQ$224,_xlfn.XMATCH(BO$1,'UN Treasury'!$A$1:$BQ$1,-1,1),FALSE)</f>
        <v>92.325999999999993</v>
      </c>
      <c r="BP33">
        <f>VLOOKUP($A33,'UN Treasury'!$A$1:$BQ$224,_xlfn.XMATCH(BP$1,'UN Treasury'!$A$1:$BQ$1,-1,1),FALSE)</f>
        <v>90.85</v>
      </c>
      <c r="BQ33">
        <f>VLOOKUP($A33,'UN Treasury'!$A$1:$BQ$224,_xlfn.XMATCH(BQ$1,'UN Treasury'!$A$1:$BQ$1,-1,1),FALSE)</f>
        <v>90.649000000000001</v>
      </c>
    </row>
    <row r="34" spans="1:69" x14ac:dyDescent="0.25">
      <c r="A34" t="s">
        <v>100</v>
      </c>
      <c r="B34">
        <f>VLOOKUP($A34,'UN Treasury'!$A$1:$BQ$224,_xlfn.XMATCH(B$1,'UN Treasury'!$A$1:$BQ$1,-1,1),FALSE)</f>
        <v>20.989000000000001</v>
      </c>
      <c r="C34">
        <f>VLOOKUP($A34,'UN Treasury'!$A$1:$BQ$224,_xlfn.XMATCH(C$1,'UN Treasury'!$A$1:$BQ$1,-1,1),FALSE)</f>
        <v>21.225999999999999</v>
      </c>
      <c r="D34">
        <f>VLOOKUP($A34,'UN Treasury'!$A$1:$BQ$224,_xlfn.XMATCH(D$1,'UN Treasury'!$A$1:$BQ$1,-1,1),FALSE)</f>
        <v>20.995999999999999</v>
      </c>
      <c r="E34">
        <f>VLOOKUP($A34,'UN Treasury'!$A$1:$BQ$224,_xlfn.XMATCH(E$1,'UN Treasury'!$A$1:$BQ$1,-1,1),FALSE)</f>
        <v>20.788</v>
      </c>
      <c r="F34">
        <f>VLOOKUP($A34,'UN Treasury'!$A$1:$BQ$224,_xlfn.XMATCH(F$1,'UN Treasury'!$A$1:$BQ$1,-1,1),FALSE)</f>
        <v>20.806000000000001</v>
      </c>
      <c r="G34">
        <f>VLOOKUP($A34,'UN Treasury'!$A$1:$BQ$224,_xlfn.XMATCH(G$1,'UN Treasury'!$A$1:$BQ$1,-1,1),FALSE)</f>
        <v>21.178999999999998</v>
      </c>
      <c r="H34">
        <f>VLOOKUP($A34,'UN Treasury'!$A$1:$BQ$224,_xlfn.XMATCH(H$1,'UN Treasury'!$A$1:$BQ$1,-1,1),FALSE)</f>
        <v>20.398</v>
      </c>
      <c r="I34">
        <f>VLOOKUP($A34,'UN Treasury'!$A$1:$BQ$224,_xlfn.XMATCH(I$1,'UN Treasury'!$A$1:$BQ$1,-1,1),FALSE)</f>
        <v>20.795000000000002</v>
      </c>
      <c r="J34">
        <f>VLOOKUP($A34,'UN Treasury'!$A$1:$BQ$224,_xlfn.XMATCH(J$1,'UN Treasury'!$A$1:$BQ$1,-1,1),FALSE)</f>
        <v>20.602</v>
      </c>
      <c r="K34">
        <f>VLOOKUP($A34,'UN Treasury'!$A$1:$BQ$224,_xlfn.XMATCH(K$1,'UN Treasury'!$A$1:$BQ$1,-1,1),FALSE)</f>
        <v>20.957999999999998</v>
      </c>
      <c r="L34">
        <f>VLOOKUP($A34,'UN Treasury'!$A$1:$BQ$224,_xlfn.XMATCH(L$1,'UN Treasury'!$A$1:$BQ$1,-1,1),FALSE)</f>
        <v>21.04</v>
      </c>
      <c r="M34">
        <f>VLOOKUP($A34,'UN Treasury'!$A$1:$BQ$224,_xlfn.XMATCH(M$1,'UN Treasury'!$A$1:$BQ$1,-1,1),FALSE)</f>
        <v>20.79</v>
      </c>
      <c r="N34">
        <f>VLOOKUP($A34,'UN Treasury'!$A$1:$BQ$224,_xlfn.XMATCH(N$1,'UN Treasury'!$A$1:$BQ$1,-1,1),FALSE)</f>
        <v>20.9</v>
      </c>
      <c r="O34">
        <f>VLOOKUP($A34,'UN Treasury'!$A$1:$BQ$224,_xlfn.XMATCH(O$1,'UN Treasury'!$A$1:$BQ$1,-1,1),FALSE)</f>
        <v>21.11</v>
      </c>
      <c r="P34">
        <f>VLOOKUP($A34,'UN Treasury'!$A$1:$BQ$224,_xlfn.XMATCH(P$1,'UN Treasury'!$A$1:$BQ$1,-1,1),FALSE)</f>
        <v>21.6</v>
      </c>
      <c r="Q34">
        <f>VLOOKUP($A34,'UN Treasury'!$A$1:$BQ$224,_xlfn.XMATCH(Q$1,'UN Treasury'!$A$1:$BQ$1,-1,1),FALSE)</f>
        <v>22.39</v>
      </c>
      <c r="R34">
        <f>VLOOKUP($A34,'UN Treasury'!$A$1:$BQ$224,_xlfn.XMATCH(R$1,'UN Treasury'!$A$1:$BQ$1,-1,1),FALSE)</f>
        <v>22.13</v>
      </c>
      <c r="S34">
        <f>VLOOKUP($A34,'UN Treasury'!$A$1:$BQ$224,_xlfn.XMATCH(S$1,'UN Treasury'!$A$1:$BQ$1,-1,1),FALSE)</f>
        <v>22.98</v>
      </c>
      <c r="T34">
        <f>VLOOKUP($A34,'UN Treasury'!$A$1:$BQ$224,_xlfn.XMATCH(T$1,'UN Treasury'!$A$1:$BQ$1,-1,1),FALSE)</f>
        <v>24.23</v>
      </c>
      <c r="U34">
        <f>VLOOKUP($A34,'UN Treasury'!$A$1:$BQ$224,_xlfn.XMATCH(U$1,'UN Treasury'!$A$1:$BQ$1,-1,1),FALSE)</f>
        <v>24.69</v>
      </c>
      <c r="V34">
        <f>VLOOKUP($A34,'UN Treasury'!$A$1:$BQ$224,_xlfn.XMATCH(V$1,'UN Treasury'!$A$1:$BQ$1,-1,1),FALSE)</f>
        <v>23.91</v>
      </c>
      <c r="W34">
        <f>VLOOKUP($A34,'UN Treasury'!$A$1:$BQ$224,_xlfn.XMATCH(W$1,'UN Treasury'!$A$1:$BQ$1,-1,1),FALSE)</f>
        <v>23.85</v>
      </c>
      <c r="X34">
        <f>VLOOKUP($A34,'UN Treasury'!$A$1:$BQ$224,_xlfn.XMATCH(X$1,'UN Treasury'!$A$1:$BQ$1,-1,1),FALSE)</f>
        <v>23.11</v>
      </c>
      <c r="Y34">
        <f>VLOOKUP($A34,'UN Treasury'!$A$1:$BQ$224,_xlfn.XMATCH(Y$1,'UN Treasury'!$A$1:$BQ$1,-1,1),FALSE)</f>
        <v>22.76</v>
      </c>
      <c r="Z34">
        <f>VLOOKUP($A34,'UN Treasury'!$A$1:$BQ$224,_xlfn.XMATCH(Z$1,'UN Treasury'!$A$1:$BQ$1,-1,1),FALSE)</f>
        <v>22.99</v>
      </c>
      <c r="AA34">
        <f>VLOOKUP($A34,'UN Treasury'!$A$1:$BQ$224,_xlfn.XMATCH(AA$1,'UN Treasury'!$A$1:$BQ$1,-1,1),FALSE)</f>
        <v>23.3</v>
      </c>
      <c r="AB34">
        <f>VLOOKUP($A34,'UN Treasury'!$A$1:$BQ$224,_xlfn.XMATCH(AB$1,'UN Treasury'!$A$1:$BQ$1,-1,1),FALSE)</f>
        <v>22.75</v>
      </c>
      <c r="AC34">
        <f>VLOOKUP($A34,'UN Treasury'!$A$1:$BQ$224,_xlfn.XMATCH(AC$1,'UN Treasury'!$A$1:$BQ$1,-1,1),FALSE)</f>
        <v>22.96</v>
      </c>
      <c r="AD34">
        <f>VLOOKUP($A34,'UN Treasury'!$A$1:$BQ$224,_xlfn.XMATCH(AD$1,'UN Treasury'!$A$1:$BQ$1,-1,1),FALSE)</f>
        <v>23.63</v>
      </c>
      <c r="AE34">
        <f>VLOOKUP($A34,'UN Treasury'!$A$1:$BQ$224,_xlfn.XMATCH(AE$1,'UN Treasury'!$A$1:$BQ$1,-1,1),FALSE)</f>
        <v>23.08</v>
      </c>
      <c r="AF34">
        <f>VLOOKUP($A34,'UN Treasury'!$A$1:$BQ$224,_xlfn.XMATCH(AF$1,'UN Treasury'!$A$1:$BQ$1,-1,1),FALSE)</f>
        <v>23.65</v>
      </c>
      <c r="AG34">
        <f>VLOOKUP($A34,'UN Treasury'!$A$1:$BQ$224,_xlfn.XMATCH(AG$1,'UN Treasury'!$A$1:$BQ$1,-1,1),FALSE)</f>
        <v>22.51</v>
      </c>
      <c r="AH34">
        <f>VLOOKUP($A34,'UN Treasury'!$A$1:$BQ$224,_xlfn.XMATCH(AH$1,'UN Treasury'!$A$1:$BQ$1,-1,1),FALSE)</f>
        <v>22.72</v>
      </c>
      <c r="AI34">
        <f>VLOOKUP($A34,'UN Treasury'!$A$1:$BQ$224,_xlfn.XMATCH(AI$1,'UN Treasury'!$A$1:$BQ$1,-1,1),FALSE)</f>
        <v>23.03</v>
      </c>
      <c r="AJ34">
        <f>VLOOKUP($A34,'UN Treasury'!$A$1:$BQ$224,_xlfn.XMATCH(AJ$1,'UN Treasury'!$A$1:$BQ$1,-1,1),FALSE)</f>
        <v>23.09</v>
      </c>
      <c r="AK34">
        <f>VLOOKUP($A34,'UN Treasury'!$A$1:$BQ$224,_xlfn.XMATCH(AK$1,'UN Treasury'!$A$1:$BQ$1,-1,1),FALSE)</f>
        <v>22.76</v>
      </c>
      <c r="AL34">
        <f>VLOOKUP($A34,'UN Treasury'!$A$1:$BQ$224,_xlfn.XMATCH(AL$1,'UN Treasury'!$A$1:$BQ$1,-1,1),FALSE)</f>
        <v>21.99</v>
      </c>
      <c r="AM34">
        <f>VLOOKUP($A34,'UN Treasury'!$A$1:$BQ$224,_xlfn.XMATCH(AM$1,'UN Treasury'!$A$1:$BQ$1,-1,1),FALSE)</f>
        <v>21.47</v>
      </c>
      <c r="AN34">
        <f>VLOOKUP($A34,'UN Treasury'!$A$1:$BQ$224,_xlfn.XMATCH(AN$1,'UN Treasury'!$A$1:$BQ$1,-1,1),FALSE)</f>
        <v>22.06</v>
      </c>
      <c r="AO34">
        <f>VLOOKUP($A34,'UN Treasury'!$A$1:$BQ$224,_xlfn.XMATCH(AO$1,'UN Treasury'!$A$1:$BQ$1,-1,1),FALSE)</f>
        <v>21.56</v>
      </c>
      <c r="AP34">
        <f>VLOOKUP($A34,'UN Treasury'!$A$1:$BQ$224,_xlfn.XMATCH(AP$1,'UN Treasury'!$A$1:$BQ$1,-1,1),FALSE)</f>
        <v>21.28</v>
      </c>
      <c r="AQ34">
        <f>VLOOKUP($A34,'UN Treasury'!$A$1:$BQ$224,_xlfn.XMATCH(AQ$1,'UN Treasury'!$A$1:$BQ$1,-1,1),FALSE)</f>
        <v>22.15</v>
      </c>
      <c r="AR34">
        <f>VLOOKUP($A34,'UN Treasury'!$A$1:$BQ$224,_xlfn.XMATCH(AR$1,'UN Treasury'!$A$1:$BQ$1,-1,1),FALSE)</f>
        <v>22.17</v>
      </c>
      <c r="AS34">
        <f>VLOOKUP($A34,'UN Treasury'!$A$1:$BQ$224,_xlfn.XMATCH(AS$1,'UN Treasury'!$A$1:$BQ$1,-1,1),FALSE)</f>
        <v>22.32</v>
      </c>
      <c r="AT34">
        <f>VLOOKUP($A34,'UN Treasury'!$A$1:$BQ$224,_xlfn.XMATCH(AT$1,'UN Treasury'!$A$1:$BQ$1,-1,1),FALSE)</f>
        <v>22.8</v>
      </c>
      <c r="AU34">
        <f>VLOOKUP($A34,'UN Treasury'!$A$1:$BQ$224,_xlfn.XMATCH(AU$1,'UN Treasury'!$A$1:$BQ$1,-1,1),FALSE)</f>
        <v>23.6</v>
      </c>
      <c r="AV34">
        <f>VLOOKUP($A34,'UN Treasury'!$A$1:$BQ$224,_xlfn.XMATCH(AV$1,'UN Treasury'!$A$1:$BQ$1,-1,1),FALSE)</f>
        <v>25.35</v>
      </c>
      <c r="AW34">
        <f>VLOOKUP($A34,'UN Treasury'!$A$1:$BQ$224,_xlfn.XMATCH(AW$1,'UN Treasury'!$A$1:$BQ$1,-1,1),FALSE)</f>
        <v>24.47</v>
      </c>
      <c r="AX34">
        <f>VLOOKUP($A34,'UN Treasury'!$A$1:$BQ$224,_xlfn.XMATCH(AX$1,'UN Treasury'!$A$1:$BQ$1,-1,1),FALSE)</f>
        <v>23.5</v>
      </c>
      <c r="AY34">
        <f>VLOOKUP($A34,'UN Treasury'!$A$1:$BQ$224,_xlfn.XMATCH(AY$1,'UN Treasury'!$A$1:$BQ$1,-1,1),FALSE)</f>
        <v>24.24</v>
      </c>
      <c r="AZ34">
        <f>VLOOKUP($A34,'UN Treasury'!$A$1:$BQ$224,_xlfn.XMATCH(AZ$1,'UN Treasury'!$A$1:$BQ$1,-1,1),FALSE)</f>
        <v>23.69</v>
      </c>
      <c r="BA34">
        <f>VLOOKUP($A34,'UN Treasury'!$A$1:$BQ$224,_xlfn.XMATCH(BA$1,'UN Treasury'!$A$1:$BQ$1,-1,1),FALSE)</f>
        <v>23.93</v>
      </c>
      <c r="BB34">
        <f>VLOOKUP($A34,'UN Treasury'!$A$1:$BQ$224,_xlfn.XMATCH(BB$1,'UN Treasury'!$A$1:$BQ$1,-1,1),FALSE)</f>
        <v>22.46</v>
      </c>
      <c r="BC34">
        <f>VLOOKUP($A34,'UN Treasury'!$A$1:$BQ$224,_xlfn.XMATCH(BC$1,'UN Treasury'!$A$1:$BQ$1,-1,1),FALSE)</f>
        <v>22.94</v>
      </c>
      <c r="BD34">
        <f>VLOOKUP($A34,'UN Treasury'!$A$1:$BQ$224,_xlfn.XMATCH(BD$1,'UN Treasury'!$A$1:$BQ$1,-1,1),FALSE)</f>
        <v>21.42</v>
      </c>
      <c r="BE34">
        <f>VLOOKUP($A34,'UN Treasury'!$A$1:$BQ$224,_xlfn.XMATCH(BE$1,'UN Treasury'!$A$1:$BQ$1,-1,1),FALSE)</f>
        <v>21.34</v>
      </c>
      <c r="BF34">
        <f>VLOOKUP($A34,'UN Treasury'!$A$1:$BQ$224,_xlfn.XMATCH(BF$1,'UN Treasury'!$A$1:$BQ$1,-1,1),FALSE)</f>
        <v>22.72</v>
      </c>
      <c r="BG34">
        <f>VLOOKUP($A34,'UN Treasury'!$A$1:$BQ$224,_xlfn.XMATCH(BG$1,'UN Treasury'!$A$1:$BQ$1,-1,1),FALSE)</f>
        <v>22.02</v>
      </c>
      <c r="BH34">
        <f>VLOOKUP($A34,'UN Treasury'!$A$1:$BQ$224,_xlfn.XMATCH(BH$1,'UN Treasury'!$A$1:$BQ$1,-1,1),FALSE)</f>
        <v>21.93</v>
      </c>
      <c r="BI34">
        <f>VLOOKUP($A34,'UN Treasury'!$A$1:$BQ$224,_xlfn.XMATCH(BI$1,'UN Treasury'!$A$1:$BQ$1,-1,1),FALSE)</f>
        <v>21.48</v>
      </c>
      <c r="BJ34">
        <f>VLOOKUP($A34,'UN Treasury'!$A$1:$BQ$224,_xlfn.XMATCH(BJ$1,'UN Treasury'!$A$1:$BQ$1,-1,1),FALSE)</f>
        <v>21.46</v>
      </c>
      <c r="BK34">
        <f>VLOOKUP($A34,'UN Treasury'!$A$1:$BQ$224,_xlfn.XMATCH(BK$1,'UN Treasury'!$A$1:$BQ$1,-1,1),FALSE)</f>
        <v>21.32</v>
      </c>
      <c r="BL34">
        <f>VLOOKUP($A34,'UN Treasury'!$A$1:$BQ$224,_xlfn.XMATCH(BL$1,'UN Treasury'!$A$1:$BQ$1,-1,1),FALSE)</f>
        <v>20.85</v>
      </c>
      <c r="BM34">
        <f>VLOOKUP($A34,'UN Treasury'!$A$1:$BQ$224,_xlfn.XMATCH(BM$1,'UN Treasury'!$A$1:$BQ$1,-1,1),FALSE)</f>
        <v>21.37</v>
      </c>
      <c r="BN34">
        <f>VLOOKUP($A34,'UN Treasury'!$A$1:$BQ$224,_xlfn.XMATCH(BN$1,'UN Treasury'!$A$1:$BQ$1,-1,1),FALSE)</f>
        <v>22.29</v>
      </c>
      <c r="BO34">
        <f>VLOOKUP($A34,'UN Treasury'!$A$1:$BQ$224,_xlfn.XMATCH(BO$1,'UN Treasury'!$A$1:$BQ$1,-1,1),FALSE)</f>
        <v>21.9</v>
      </c>
      <c r="BP34">
        <f>VLOOKUP($A34,'UN Treasury'!$A$1:$BQ$224,_xlfn.XMATCH(BP$1,'UN Treasury'!$A$1:$BQ$1,-1,1),FALSE)</f>
        <v>21.22</v>
      </c>
      <c r="BQ34">
        <f>VLOOKUP($A34,'UN Treasury'!$A$1:$BQ$224,_xlfn.XMATCH(BQ$1,'UN Treasury'!$A$1:$BQ$1,-1,1),FALSE)</f>
        <v>21.51</v>
      </c>
    </row>
    <row r="35" spans="1:69" x14ac:dyDescent="0.25">
      <c r="A35" t="s">
        <v>102</v>
      </c>
      <c r="B35">
        <f>VLOOKUP($A35,'UN Treasury'!$A$1:$BQ$224,_xlfn.XMATCH(B$1,'UN Treasury'!$A$1:$BQ$1,-1,1),FALSE)</f>
        <v>177</v>
      </c>
      <c r="C35">
        <f>VLOOKUP($A35,'UN Treasury'!$A$1:$BQ$224,_xlfn.XMATCH(C$1,'UN Treasury'!$A$1:$BQ$1,-1,1),FALSE)</f>
        <v>177</v>
      </c>
      <c r="D35">
        <f>VLOOKUP($A35,'UN Treasury'!$A$1:$BQ$224,_xlfn.XMATCH(D$1,'UN Treasury'!$A$1:$BQ$1,-1,1),FALSE)</f>
        <v>177</v>
      </c>
      <c r="E35">
        <f>VLOOKUP($A35,'UN Treasury'!$A$1:$BQ$224,_xlfn.XMATCH(E$1,'UN Treasury'!$A$1:$BQ$1,-1,1),FALSE)</f>
        <v>177</v>
      </c>
      <c r="F35">
        <f>VLOOKUP($A35,'UN Treasury'!$A$1:$BQ$224,_xlfn.XMATCH(F$1,'UN Treasury'!$A$1:$BQ$1,-1,1),FALSE)</f>
        <v>177</v>
      </c>
      <c r="G35">
        <f>VLOOKUP($A35,'UN Treasury'!$A$1:$BQ$224,_xlfn.XMATCH(G$1,'UN Treasury'!$A$1:$BQ$1,-1,1),FALSE)</f>
        <v>177</v>
      </c>
      <c r="H35">
        <f>VLOOKUP($A35,'UN Treasury'!$A$1:$BQ$224,_xlfn.XMATCH(H$1,'UN Treasury'!$A$1:$BQ$1,-1,1),FALSE)</f>
        <v>177</v>
      </c>
      <c r="I35">
        <f>VLOOKUP($A35,'UN Treasury'!$A$1:$BQ$224,_xlfn.XMATCH(I$1,'UN Treasury'!$A$1:$BQ$1,-1,1),FALSE)</f>
        <v>177</v>
      </c>
      <c r="J35">
        <f>VLOOKUP($A35,'UN Treasury'!$A$1:$BQ$224,_xlfn.XMATCH(J$1,'UN Treasury'!$A$1:$BQ$1,-1,1),FALSE)</f>
        <v>177</v>
      </c>
      <c r="K35">
        <f>VLOOKUP($A35,'UN Treasury'!$A$1:$BQ$224,_xlfn.XMATCH(K$1,'UN Treasury'!$A$1:$BQ$1,-1,1),FALSE)</f>
        <v>177</v>
      </c>
      <c r="L35">
        <f>VLOOKUP($A35,'UN Treasury'!$A$1:$BQ$224,_xlfn.XMATCH(L$1,'UN Treasury'!$A$1:$BQ$1,-1,1),FALSE)</f>
        <v>177</v>
      </c>
      <c r="M35">
        <f>VLOOKUP($A35,'UN Treasury'!$A$1:$BQ$224,_xlfn.XMATCH(M$1,'UN Treasury'!$A$1:$BQ$1,-1,1),FALSE)</f>
        <v>177</v>
      </c>
      <c r="N35">
        <f>VLOOKUP($A35,'UN Treasury'!$A$1:$BQ$224,_xlfn.XMATCH(N$1,'UN Treasury'!$A$1:$BQ$1,-1,1),FALSE)</f>
        <v>177</v>
      </c>
      <c r="O35">
        <f>VLOOKUP($A35,'UN Treasury'!$A$1:$BQ$224,_xlfn.XMATCH(O$1,'UN Treasury'!$A$1:$BQ$1,-1,1),FALSE)</f>
        <v>177</v>
      </c>
      <c r="P35">
        <f>VLOOKUP($A35,'UN Treasury'!$A$1:$BQ$224,_xlfn.XMATCH(P$1,'UN Treasury'!$A$1:$BQ$1,-1,1),FALSE)</f>
        <v>177</v>
      </c>
      <c r="Q35">
        <f>VLOOKUP($A35,'UN Treasury'!$A$1:$BQ$224,_xlfn.XMATCH(Q$1,'UN Treasury'!$A$1:$BQ$1,-1,1),FALSE)</f>
        <v>177</v>
      </c>
      <c r="R35">
        <f>VLOOKUP($A35,'UN Treasury'!$A$1:$BQ$224,_xlfn.XMATCH(R$1,'UN Treasury'!$A$1:$BQ$1,-1,1),FALSE)</f>
        <v>177</v>
      </c>
      <c r="S35">
        <f>VLOOKUP($A35,'UN Treasury'!$A$1:$BQ$224,_xlfn.XMATCH(S$1,'UN Treasury'!$A$1:$BQ$1,-1,1),FALSE)</f>
        <v>177</v>
      </c>
      <c r="T35">
        <f>VLOOKUP($A35,'UN Treasury'!$A$1:$BQ$224,_xlfn.XMATCH(T$1,'UN Treasury'!$A$1:$BQ$1,-1,1),FALSE)</f>
        <v>177</v>
      </c>
      <c r="U35">
        <f>VLOOKUP($A35,'UN Treasury'!$A$1:$BQ$224,_xlfn.XMATCH(U$1,'UN Treasury'!$A$1:$BQ$1,-1,1),FALSE)</f>
        <v>177</v>
      </c>
      <c r="V35">
        <f>VLOOKUP($A35,'UN Treasury'!$A$1:$BQ$224,_xlfn.XMATCH(V$1,'UN Treasury'!$A$1:$BQ$1,-1,1),FALSE)</f>
        <v>177</v>
      </c>
      <c r="W35">
        <f>VLOOKUP($A35,'UN Treasury'!$A$1:$BQ$224,_xlfn.XMATCH(W$1,'UN Treasury'!$A$1:$BQ$1,-1,1),FALSE)</f>
        <v>177</v>
      </c>
      <c r="X35">
        <f>VLOOKUP($A35,'UN Treasury'!$A$1:$BQ$224,_xlfn.XMATCH(X$1,'UN Treasury'!$A$1:$BQ$1,-1,1),FALSE)</f>
        <v>177</v>
      </c>
      <c r="Y35">
        <f>VLOOKUP($A35,'UN Treasury'!$A$1:$BQ$224,_xlfn.XMATCH(Y$1,'UN Treasury'!$A$1:$BQ$1,-1,1),FALSE)</f>
        <v>177</v>
      </c>
      <c r="Z35">
        <f>VLOOKUP($A35,'UN Treasury'!$A$1:$BQ$224,_xlfn.XMATCH(Z$1,'UN Treasury'!$A$1:$BQ$1,-1,1),FALSE)</f>
        <v>177</v>
      </c>
      <c r="AA35">
        <f>VLOOKUP($A35,'UN Treasury'!$A$1:$BQ$224,_xlfn.XMATCH(AA$1,'UN Treasury'!$A$1:$BQ$1,-1,1),FALSE)</f>
        <v>177</v>
      </c>
      <c r="AB35">
        <f>VLOOKUP($A35,'UN Treasury'!$A$1:$BQ$224,_xlfn.XMATCH(AB$1,'UN Treasury'!$A$1:$BQ$1,-1,1),FALSE)</f>
        <v>177</v>
      </c>
      <c r="AC35">
        <f>VLOOKUP($A35,'UN Treasury'!$A$1:$BQ$224,_xlfn.XMATCH(AC$1,'UN Treasury'!$A$1:$BQ$1,-1,1),FALSE)</f>
        <v>177</v>
      </c>
      <c r="AD35">
        <f>VLOOKUP($A35,'UN Treasury'!$A$1:$BQ$224,_xlfn.XMATCH(AD$1,'UN Treasury'!$A$1:$BQ$1,-1,1),FALSE)</f>
        <v>177</v>
      </c>
      <c r="AE35">
        <f>VLOOKUP($A35,'UN Treasury'!$A$1:$BQ$224,_xlfn.XMATCH(AE$1,'UN Treasury'!$A$1:$BQ$1,-1,1),FALSE)</f>
        <v>177</v>
      </c>
      <c r="AF35">
        <f>VLOOKUP($A35,'UN Treasury'!$A$1:$BQ$224,_xlfn.XMATCH(AF$1,'UN Treasury'!$A$1:$BQ$1,-1,1),FALSE)</f>
        <v>177</v>
      </c>
      <c r="AG35">
        <f>VLOOKUP($A35,'UN Treasury'!$A$1:$BQ$224,_xlfn.XMATCH(AG$1,'UN Treasury'!$A$1:$BQ$1,-1,1),FALSE)</f>
        <v>177</v>
      </c>
      <c r="AH35">
        <f>VLOOKUP($A35,'UN Treasury'!$A$1:$BQ$224,_xlfn.XMATCH(AH$1,'UN Treasury'!$A$1:$BQ$1,-1,1),FALSE)</f>
        <v>177</v>
      </c>
      <c r="AI35">
        <f>VLOOKUP($A35,'UN Treasury'!$A$1:$BQ$224,_xlfn.XMATCH(AI$1,'UN Treasury'!$A$1:$BQ$1,-1,1),FALSE)</f>
        <v>177</v>
      </c>
      <c r="AJ35">
        <f>VLOOKUP($A35,'UN Treasury'!$A$1:$BQ$224,_xlfn.XMATCH(AJ$1,'UN Treasury'!$A$1:$BQ$1,-1,1),FALSE)</f>
        <v>177</v>
      </c>
      <c r="AK35">
        <f>VLOOKUP($A35,'UN Treasury'!$A$1:$BQ$224,_xlfn.XMATCH(AK$1,'UN Treasury'!$A$1:$BQ$1,-1,1),FALSE)</f>
        <v>177</v>
      </c>
      <c r="AL35">
        <f>VLOOKUP($A35,'UN Treasury'!$A$1:$BQ$224,_xlfn.XMATCH(AL$1,'UN Treasury'!$A$1:$BQ$1,-1,1),FALSE)</f>
        <v>177</v>
      </c>
      <c r="AM35">
        <f>VLOOKUP($A35,'UN Treasury'!$A$1:$BQ$224,_xlfn.XMATCH(AM$1,'UN Treasury'!$A$1:$BQ$1,-1,1),FALSE)</f>
        <v>177</v>
      </c>
      <c r="AN35">
        <f>VLOOKUP($A35,'UN Treasury'!$A$1:$BQ$224,_xlfn.XMATCH(AN$1,'UN Treasury'!$A$1:$BQ$1,-1,1),FALSE)</f>
        <v>177</v>
      </c>
      <c r="AO35">
        <f>VLOOKUP($A35,'UN Treasury'!$A$1:$BQ$224,_xlfn.XMATCH(AO$1,'UN Treasury'!$A$1:$BQ$1,-1,1),FALSE)</f>
        <v>177</v>
      </c>
      <c r="AP35">
        <f>VLOOKUP($A35,'UN Treasury'!$A$1:$BQ$224,_xlfn.XMATCH(AP$1,'UN Treasury'!$A$1:$BQ$1,-1,1),FALSE)</f>
        <v>177</v>
      </c>
      <c r="AQ35">
        <f>VLOOKUP($A35,'UN Treasury'!$A$1:$BQ$224,_xlfn.XMATCH(AQ$1,'UN Treasury'!$A$1:$BQ$1,-1,1),FALSE)</f>
        <v>177</v>
      </c>
      <c r="AR35">
        <f>VLOOKUP($A35,'UN Treasury'!$A$1:$BQ$224,_xlfn.XMATCH(AR$1,'UN Treasury'!$A$1:$BQ$1,-1,1),FALSE)</f>
        <v>177</v>
      </c>
      <c r="AS35">
        <f>VLOOKUP($A35,'UN Treasury'!$A$1:$BQ$224,_xlfn.XMATCH(AS$1,'UN Treasury'!$A$1:$BQ$1,-1,1),FALSE)</f>
        <v>177</v>
      </c>
      <c r="AT35">
        <f>VLOOKUP($A35,'UN Treasury'!$A$1:$BQ$224,_xlfn.XMATCH(AT$1,'UN Treasury'!$A$1:$BQ$1,-1,1),FALSE)</f>
        <v>177</v>
      </c>
      <c r="AU35">
        <f>VLOOKUP($A35,'UN Treasury'!$A$1:$BQ$224,_xlfn.XMATCH(AU$1,'UN Treasury'!$A$1:$BQ$1,-1,1),FALSE)</f>
        <v>177</v>
      </c>
      <c r="AV35">
        <f>VLOOKUP($A35,'UN Treasury'!$A$1:$BQ$224,_xlfn.XMATCH(AV$1,'UN Treasury'!$A$1:$BQ$1,-1,1),FALSE)</f>
        <v>177</v>
      </c>
      <c r="AW35">
        <f>VLOOKUP($A35,'UN Treasury'!$A$1:$BQ$224,_xlfn.XMATCH(AW$1,'UN Treasury'!$A$1:$BQ$1,-1,1),FALSE)</f>
        <v>177</v>
      </c>
      <c r="AX35">
        <f>VLOOKUP($A35,'UN Treasury'!$A$1:$BQ$224,_xlfn.XMATCH(AX$1,'UN Treasury'!$A$1:$BQ$1,-1,1),FALSE)</f>
        <v>177</v>
      </c>
      <c r="AY35">
        <f>VLOOKUP($A35,'UN Treasury'!$A$1:$BQ$224,_xlfn.XMATCH(AY$1,'UN Treasury'!$A$1:$BQ$1,-1,1),FALSE)</f>
        <v>177</v>
      </c>
      <c r="AZ35">
        <f>VLOOKUP($A35,'UN Treasury'!$A$1:$BQ$224,_xlfn.XMATCH(AZ$1,'UN Treasury'!$A$1:$BQ$1,-1,1),FALSE)</f>
        <v>177</v>
      </c>
      <c r="BA35">
        <f>VLOOKUP($A35,'UN Treasury'!$A$1:$BQ$224,_xlfn.XMATCH(BA$1,'UN Treasury'!$A$1:$BQ$1,-1,1),FALSE)</f>
        <v>177</v>
      </c>
      <c r="BB35">
        <f>VLOOKUP($A35,'UN Treasury'!$A$1:$BQ$224,_xlfn.XMATCH(BB$1,'UN Treasury'!$A$1:$BQ$1,-1,1),FALSE)</f>
        <v>177</v>
      </c>
      <c r="BC35">
        <f>VLOOKUP($A35,'UN Treasury'!$A$1:$BQ$224,_xlfn.XMATCH(BC$1,'UN Treasury'!$A$1:$BQ$1,-1,1),FALSE)</f>
        <v>177</v>
      </c>
      <c r="BD35">
        <f>VLOOKUP($A35,'UN Treasury'!$A$1:$BQ$224,_xlfn.XMATCH(BD$1,'UN Treasury'!$A$1:$BQ$1,-1,1),FALSE)</f>
        <v>177</v>
      </c>
      <c r="BE35">
        <f>VLOOKUP($A35,'UN Treasury'!$A$1:$BQ$224,_xlfn.XMATCH(BE$1,'UN Treasury'!$A$1:$BQ$1,-1,1),FALSE)</f>
        <v>177</v>
      </c>
      <c r="BF35">
        <f>VLOOKUP($A35,'UN Treasury'!$A$1:$BQ$224,_xlfn.XMATCH(BF$1,'UN Treasury'!$A$1:$BQ$1,-1,1),FALSE)</f>
        <v>177</v>
      </c>
      <c r="BG35">
        <f>VLOOKUP($A35,'UN Treasury'!$A$1:$BQ$224,_xlfn.XMATCH(BG$1,'UN Treasury'!$A$1:$BQ$1,-1,1),FALSE)</f>
        <v>177</v>
      </c>
      <c r="BH35">
        <f>VLOOKUP($A35,'UN Treasury'!$A$1:$BQ$224,_xlfn.XMATCH(BH$1,'UN Treasury'!$A$1:$BQ$1,-1,1),FALSE)</f>
        <v>177</v>
      </c>
      <c r="BI35">
        <f>VLOOKUP($A35,'UN Treasury'!$A$1:$BQ$224,_xlfn.XMATCH(BI$1,'UN Treasury'!$A$1:$BQ$1,-1,1),FALSE)</f>
        <v>177</v>
      </c>
      <c r="BJ35">
        <f>VLOOKUP($A35,'UN Treasury'!$A$1:$BQ$224,_xlfn.XMATCH(BJ$1,'UN Treasury'!$A$1:$BQ$1,-1,1),FALSE)</f>
        <v>177</v>
      </c>
      <c r="BK35">
        <f>VLOOKUP($A35,'UN Treasury'!$A$1:$BQ$224,_xlfn.XMATCH(BK$1,'UN Treasury'!$A$1:$BQ$1,-1,1),FALSE)</f>
        <v>177</v>
      </c>
      <c r="BL35">
        <f>VLOOKUP($A35,'UN Treasury'!$A$1:$BQ$224,_xlfn.XMATCH(BL$1,'UN Treasury'!$A$1:$BQ$1,-1,1),FALSE)</f>
        <v>177</v>
      </c>
      <c r="BM35">
        <f>VLOOKUP($A35,'UN Treasury'!$A$1:$BQ$224,_xlfn.XMATCH(BM$1,'UN Treasury'!$A$1:$BQ$1,-1,1),FALSE)</f>
        <v>177</v>
      </c>
      <c r="BN35">
        <f>VLOOKUP($A35,'UN Treasury'!$A$1:$BQ$224,_xlfn.XMATCH(BN$1,'UN Treasury'!$A$1:$BQ$1,-1,1),FALSE)</f>
        <v>177</v>
      </c>
      <c r="BO35">
        <f>VLOOKUP($A35,'UN Treasury'!$A$1:$BQ$224,_xlfn.XMATCH(BO$1,'UN Treasury'!$A$1:$BQ$1,-1,1),FALSE)</f>
        <v>177</v>
      </c>
      <c r="BP35">
        <f>VLOOKUP($A35,'UN Treasury'!$A$1:$BQ$224,_xlfn.XMATCH(BP$1,'UN Treasury'!$A$1:$BQ$1,-1,1),FALSE)</f>
        <v>177</v>
      </c>
      <c r="BQ35">
        <f>VLOOKUP($A35,'UN Treasury'!$A$1:$BQ$224,_xlfn.XMATCH(BQ$1,'UN Treasury'!$A$1:$BQ$1,-1,1),FALSE)</f>
        <v>177</v>
      </c>
    </row>
    <row r="36" spans="1:69" x14ac:dyDescent="0.25">
      <c r="A36" t="s">
        <v>105</v>
      </c>
      <c r="B36">
        <f>VLOOKUP($A36,'UN Treasury'!$A$1:$BQ$224,_xlfn.XMATCH(B$1,'UN Treasury'!$A$1:$BQ$1,-1,1),FALSE)</f>
        <v>6.4790000000000001</v>
      </c>
      <c r="C36">
        <f>VLOOKUP($A36,'UN Treasury'!$A$1:$BQ$224,_xlfn.XMATCH(C$1,'UN Treasury'!$A$1:$BQ$1,-1,1),FALSE)</f>
        <v>6.5419999999999998</v>
      </c>
      <c r="D36">
        <f>VLOOKUP($A36,'UN Treasury'!$A$1:$BQ$224,_xlfn.XMATCH(D$1,'UN Treasury'!$A$1:$BQ$1,-1,1),FALSE)</f>
        <v>6.4870000000000001</v>
      </c>
      <c r="E36">
        <f>VLOOKUP($A36,'UN Treasury'!$A$1:$BQ$224,_xlfn.XMATCH(E$1,'UN Treasury'!$A$1:$BQ$1,-1,1),FALSE)</f>
        <v>6.3810000000000002</v>
      </c>
      <c r="F36">
        <f>VLOOKUP($A36,'UN Treasury'!$A$1:$BQ$224,_xlfn.XMATCH(F$1,'UN Treasury'!$A$1:$BQ$1,-1,1),FALSE)</f>
        <v>6.3810000000000002</v>
      </c>
      <c r="G36">
        <f>VLOOKUP($A36,'UN Treasury'!$A$1:$BQ$224,_xlfn.XMATCH(G$1,'UN Treasury'!$A$1:$BQ$1,-1,1),FALSE)</f>
        <v>6.48</v>
      </c>
      <c r="H36">
        <f>VLOOKUP($A36,'UN Treasury'!$A$1:$BQ$224,_xlfn.XMATCH(H$1,'UN Treasury'!$A$1:$BQ$1,-1,1),FALSE)</f>
        <v>6.2859999999999996</v>
      </c>
      <c r="I36">
        <f>VLOOKUP($A36,'UN Treasury'!$A$1:$BQ$224,_xlfn.XMATCH(I$1,'UN Treasury'!$A$1:$BQ$1,-1,1),FALSE)</f>
        <v>6.415</v>
      </c>
      <c r="J36">
        <f>VLOOKUP($A36,'UN Treasury'!$A$1:$BQ$224,_xlfn.XMATCH(J$1,'UN Treasury'!$A$1:$BQ$1,-1,1),FALSE)</f>
        <v>6.36</v>
      </c>
      <c r="K36">
        <f>VLOOKUP($A36,'UN Treasury'!$A$1:$BQ$224,_xlfn.XMATCH(K$1,'UN Treasury'!$A$1:$BQ$1,-1,1),FALSE)</f>
        <v>6.4569999999999999</v>
      </c>
      <c r="L36">
        <f>VLOOKUP($A36,'UN Treasury'!$A$1:$BQ$224,_xlfn.XMATCH(L$1,'UN Treasury'!$A$1:$BQ$1,-1,1),FALSE)</f>
        <v>6.4580000000000002</v>
      </c>
      <c r="M36">
        <f>VLOOKUP($A36,'UN Treasury'!$A$1:$BQ$224,_xlfn.XMATCH(M$1,'UN Treasury'!$A$1:$BQ$1,-1,1),FALSE)</f>
        <v>6.3639999999999999</v>
      </c>
      <c r="N36">
        <f>VLOOKUP($A36,'UN Treasury'!$A$1:$BQ$224,_xlfn.XMATCH(N$1,'UN Treasury'!$A$1:$BQ$1,-1,1),FALSE)</f>
        <v>6.3769999999999998</v>
      </c>
      <c r="O36">
        <f>VLOOKUP($A36,'UN Treasury'!$A$1:$BQ$224,_xlfn.XMATCH(O$1,'UN Treasury'!$A$1:$BQ$1,-1,1),FALSE)</f>
        <v>6.383</v>
      </c>
      <c r="P36">
        <f>VLOOKUP($A36,'UN Treasury'!$A$1:$BQ$224,_xlfn.XMATCH(P$1,'UN Treasury'!$A$1:$BQ$1,-1,1),FALSE)</f>
        <v>6.5039999999999996</v>
      </c>
      <c r="Q36">
        <f>VLOOKUP($A36,'UN Treasury'!$A$1:$BQ$224,_xlfn.XMATCH(Q$1,'UN Treasury'!$A$1:$BQ$1,-1,1),FALSE)</f>
        <v>6.6920000000000002</v>
      </c>
      <c r="R36">
        <f>VLOOKUP($A36,'UN Treasury'!$A$1:$BQ$224,_xlfn.XMATCH(R$1,'UN Treasury'!$A$1:$BQ$1,-1,1),FALSE)</f>
        <v>6.5709999999999997</v>
      </c>
      <c r="S36">
        <f>VLOOKUP($A36,'UN Treasury'!$A$1:$BQ$224,_xlfn.XMATCH(S$1,'UN Treasury'!$A$1:$BQ$1,-1,1),FALSE)</f>
        <v>6.85</v>
      </c>
      <c r="T36">
        <f>VLOOKUP($A36,'UN Treasury'!$A$1:$BQ$224,_xlfn.XMATCH(T$1,'UN Treasury'!$A$1:$BQ$1,-1,1),FALSE)</f>
        <v>7.21</v>
      </c>
      <c r="U36">
        <f>VLOOKUP($A36,'UN Treasury'!$A$1:$BQ$224,_xlfn.XMATCH(U$1,'UN Treasury'!$A$1:$BQ$1,-1,1),FALSE)</f>
        <v>7.3090000000000002</v>
      </c>
      <c r="V36">
        <f>VLOOKUP($A36,'UN Treasury'!$A$1:$BQ$224,_xlfn.XMATCH(V$1,'UN Treasury'!$A$1:$BQ$1,-1,1),FALSE)</f>
        <v>7.1040000000000001</v>
      </c>
      <c r="W36">
        <f>VLOOKUP($A36,'UN Treasury'!$A$1:$BQ$224,_xlfn.XMATCH(W$1,'UN Treasury'!$A$1:$BQ$1,-1,1),FALSE)</f>
        <v>7.0350000000000001</v>
      </c>
      <c r="X36">
        <f>VLOOKUP($A36,'UN Treasury'!$A$1:$BQ$224,_xlfn.XMATCH(X$1,'UN Treasury'!$A$1:$BQ$1,-1,1),FALSE)</f>
        <v>6.82</v>
      </c>
      <c r="Y36">
        <f>VLOOKUP($A36,'UN Treasury'!$A$1:$BQ$224,_xlfn.XMATCH(Y$1,'UN Treasury'!$A$1:$BQ$1,-1,1),FALSE)</f>
        <v>6.7729999999999997</v>
      </c>
      <c r="Z36">
        <f>VLOOKUP($A36,'UN Treasury'!$A$1:$BQ$224,_xlfn.XMATCH(Z$1,'UN Treasury'!$A$1:$BQ$1,-1,1),FALSE)</f>
        <v>6.8109999999999999</v>
      </c>
      <c r="AA36">
        <f>VLOOKUP($A36,'UN Treasury'!$A$1:$BQ$224,_xlfn.XMATCH(AA$1,'UN Treasury'!$A$1:$BQ$1,-1,1),FALSE)</f>
        <v>6.8540000000000001</v>
      </c>
      <c r="AB36">
        <f>VLOOKUP($A36,'UN Treasury'!$A$1:$BQ$224,_xlfn.XMATCH(AB$1,'UN Treasury'!$A$1:$BQ$1,-1,1),FALSE)</f>
        <v>6.8840000000000003</v>
      </c>
      <c r="AC36">
        <f>VLOOKUP($A36,'UN Treasury'!$A$1:$BQ$224,_xlfn.XMATCH(AC$1,'UN Treasury'!$A$1:$BQ$1,-1,1),FALSE)</f>
        <v>6.9059999999999997</v>
      </c>
      <c r="AD36">
        <f>VLOOKUP($A36,'UN Treasury'!$A$1:$BQ$224,_xlfn.XMATCH(AD$1,'UN Treasury'!$A$1:$BQ$1,-1,1),FALSE)</f>
        <v>6.95</v>
      </c>
      <c r="AE36">
        <f>VLOOKUP($A36,'UN Treasury'!$A$1:$BQ$224,_xlfn.XMATCH(AE$1,'UN Treasury'!$A$1:$BQ$1,-1,1),FALSE)</f>
        <v>6.8170000000000002</v>
      </c>
      <c r="AF36">
        <f>VLOOKUP($A36,'UN Treasury'!$A$1:$BQ$224,_xlfn.XMATCH(AF$1,'UN Treasury'!$A$1:$BQ$1,-1,1),FALSE)</f>
        <v>6.952</v>
      </c>
      <c r="AG36">
        <f>VLOOKUP($A36,'UN Treasury'!$A$1:$BQ$224,_xlfn.XMATCH(AG$1,'UN Treasury'!$A$1:$BQ$1,-1,1),FALSE)</f>
        <v>6.8079999999999998</v>
      </c>
      <c r="AH36">
        <f>VLOOKUP($A36,'UN Treasury'!$A$1:$BQ$224,_xlfn.XMATCH(AH$1,'UN Treasury'!$A$1:$BQ$1,-1,1),FALSE)</f>
        <v>6.91</v>
      </c>
      <c r="AI36">
        <f>VLOOKUP($A36,'UN Treasury'!$A$1:$BQ$224,_xlfn.XMATCH(AI$1,'UN Treasury'!$A$1:$BQ$1,-1,1),FALSE)</f>
        <v>6.99</v>
      </c>
      <c r="AJ36">
        <f>VLOOKUP($A36,'UN Treasury'!$A$1:$BQ$224,_xlfn.XMATCH(AJ$1,'UN Treasury'!$A$1:$BQ$1,-1,1),FALSE)</f>
        <v>7.0149999999999997</v>
      </c>
      <c r="AK36">
        <f>VLOOKUP($A36,'UN Treasury'!$A$1:$BQ$224,_xlfn.XMATCH(AK$1,'UN Treasury'!$A$1:$BQ$1,-1,1),FALSE)</f>
        <v>6.9450000000000003</v>
      </c>
      <c r="AL36">
        <f>VLOOKUP($A36,'UN Treasury'!$A$1:$BQ$224,_xlfn.XMATCH(AL$1,'UN Treasury'!$A$1:$BQ$1,-1,1),FALSE)</f>
        <v>6.7990000000000004</v>
      </c>
      <c r="AM36">
        <f>VLOOKUP($A36,'UN Treasury'!$A$1:$BQ$224,_xlfn.XMATCH(AM$1,'UN Treasury'!$A$1:$BQ$1,-1,1),FALSE)</f>
        <v>6.7190000000000003</v>
      </c>
      <c r="AN36">
        <f>VLOOKUP($A36,'UN Treasury'!$A$1:$BQ$224,_xlfn.XMATCH(AN$1,'UN Treasury'!$A$1:$BQ$1,-1,1),FALSE)</f>
        <v>6.9109999999999996</v>
      </c>
      <c r="AO36">
        <f>VLOOKUP($A36,'UN Treasury'!$A$1:$BQ$224,_xlfn.XMATCH(AO$1,'UN Treasury'!$A$1:$BQ$1,-1,1),FALSE)</f>
        <v>6.827</v>
      </c>
      <c r="AP36">
        <f>VLOOKUP($A36,'UN Treasury'!$A$1:$BQ$224,_xlfn.XMATCH(AP$1,'UN Treasury'!$A$1:$BQ$1,-1,1),FALSE)</f>
        <v>6.7859999999999996</v>
      </c>
      <c r="AQ36">
        <f>VLOOKUP($A36,'UN Treasury'!$A$1:$BQ$224,_xlfn.XMATCH(AQ$1,'UN Treasury'!$A$1:$BQ$1,-1,1),FALSE)</f>
        <v>6.9509999999999996</v>
      </c>
      <c r="AR36">
        <f>VLOOKUP($A36,'UN Treasury'!$A$1:$BQ$224,_xlfn.XMATCH(AR$1,'UN Treasury'!$A$1:$BQ$1,-1,1),FALSE)</f>
        <v>6.952</v>
      </c>
      <c r="AS36">
        <f>VLOOKUP($A36,'UN Treasury'!$A$1:$BQ$224,_xlfn.XMATCH(AS$1,'UN Treasury'!$A$1:$BQ$1,-1,1),FALSE)</f>
        <v>6.9080000000000004</v>
      </c>
      <c r="AT36">
        <f>VLOOKUP($A36,'UN Treasury'!$A$1:$BQ$224,_xlfn.XMATCH(AT$1,'UN Treasury'!$A$1:$BQ$1,-1,1),FALSE)</f>
        <v>6.9790000000000001</v>
      </c>
      <c r="AU36">
        <f>VLOOKUP($A36,'UN Treasury'!$A$1:$BQ$224,_xlfn.XMATCH(AU$1,'UN Treasury'!$A$1:$BQ$1,-1,1),FALSE)</f>
        <v>7.23</v>
      </c>
      <c r="AV36">
        <f>VLOOKUP($A36,'UN Treasury'!$A$1:$BQ$224,_xlfn.XMATCH(AV$1,'UN Treasury'!$A$1:$BQ$1,-1,1),FALSE)</f>
        <v>7.6749999999999998</v>
      </c>
      <c r="AW36">
        <f>VLOOKUP($A36,'UN Treasury'!$A$1:$BQ$224,_xlfn.XMATCH(AW$1,'UN Treasury'!$A$1:$BQ$1,-1,1),FALSE)</f>
        <v>7.4119999999999999</v>
      </c>
      <c r="AX36">
        <f>VLOOKUP($A36,'UN Treasury'!$A$1:$BQ$224,_xlfn.XMATCH(AX$1,'UN Treasury'!$A$1:$BQ$1,-1,1),FALSE)</f>
        <v>7.181</v>
      </c>
      <c r="AY36">
        <f>VLOOKUP($A36,'UN Treasury'!$A$1:$BQ$224,_xlfn.XMATCH(AY$1,'UN Treasury'!$A$1:$BQ$1,-1,1),FALSE)</f>
        <v>7.4130000000000003</v>
      </c>
      <c r="AZ36">
        <f>VLOOKUP($A36,'UN Treasury'!$A$1:$BQ$224,_xlfn.XMATCH(AZ$1,'UN Treasury'!$A$1:$BQ$1,-1,1),FALSE)</f>
        <v>7.125</v>
      </c>
      <c r="BA36">
        <f>VLOOKUP($A36,'UN Treasury'!$A$1:$BQ$224,_xlfn.XMATCH(BA$1,'UN Treasury'!$A$1:$BQ$1,-1,1),FALSE)</f>
        <v>7.0460000000000003</v>
      </c>
      <c r="BB36">
        <f>VLOOKUP($A36,'UN Treasury'!$A$1:$BQ$224,_xlfn.XMATCH(BB$1,'UN Treasury'!$A$1:$BQ$1,-1,1),FALSE)</f>
        <v>6.84</v>
      </c>
      <c r="BC36">
        <f>VLOOKUP($A36,'UN Treasury'!$A$1:$BQ$224,_xlfn.XMATCH(BC$1,'UN Treasury'!$A$1:$BQ$1,-1,1),FALSE)</f>
        <v>6.7889999999999997</v>
      </c>
      <c r="BD36">
        <f>VLOOKUP($A36,'UN Treasury'!$A$1:$BQ$224,_xlfn.XMATCH(BD$1,'UN Treasury'!$A$1:$BQ$1,-1,1),FALSE)</f>
        <v>6.53</v>
      </c>
      <c r="BE36">
        <f>VLOOKUP($A36,'UN Treasury'!$A$1:$BQ$224,_xlfn.XMATCH(BE$1,'UN Treasury'!$A$1:$BQ$1,-1,1),FALSE)</f>
        <v>6.516</v>
      </c>
      <c r="BF36">
        <f>VLOOKUP($A36,'UN Treasury'!$A$1:$BQ$224,_xlfn.XMATCH(BF$1,'UN Treasury'!$A$1:$BQ$1,-1,1),FALSE)</f>
        <v>6.601</v>
      </c>
      <c r="BG36">
        <f>VLOOKUP($A36,'UN Treasury'!$A$1:$BQ$224,_xlfn.XMATCH(BG$1,'UN Treasury'!$A$1:$BQ$1,-1,1),FALSE)</f>
        <v>6.4859999999999998</v>
      </c>
      <c r="BH36">
        <f>VLOOKUP($A36,'UN Treasury'!$A$1:$BQ$224,_xlfn.XMATCH(BH$1,'UN Treasury'!$A$1:$BQ$1,-1,1),FALSE)</f>
        <v>6.3929999999999998</v>
      </c>
      <c r="BI36">
        <f>VLOOKUP($A36,'UN Treasury'!$A$1:$BQ$224,_xlfn.XMATCH(BI$1,'UN Treasury'!$A$1:$BQ$1,-1,1),FALSE)</f>
        <v>6.3019999999999996</v>
      </c>
      <c r="BJ36">
        <f>VLOOKUP($A36,'UN Treasury'!$A$1:$BQ$224,_xlfn.XMATCH(BJ$1,'UN Treasury'!$A$1:$BQ$1,-1,1),FALSE)</f>
        <v>6.2560000000000002</v>
      </c>
      <c r="BK36">
        <f>VLOOKUP($A36,'UN Treasury'!$A$1:$BQ$224,_xlfn.XMATCH(BK$1,'UN Treasury'!$A$1:$BQ$1,-1,1),FALSE)</f>
        <v>6.234</v>
      </c>
      <c r="BL36">
        <f>VLOOKUP($A36,'UN Treasury'!$A$1:$BQ$224,_xlfn.XMATCH(BL$1,'UN Treasury'!$A$1:$BQ$1,-1,1),FALSE)</f>
        <v>6.0960000000000001</v>
      </c>
      <c r="BM36">
        <f>VLOOKUP($A36,'UN Treasury'!$A$1:$BQ$224,_xlfn.XMATCH(BM$1,'UN Treasury'!$A$1:$BQ$1,-1,1),FALSE)</f>
        <v>6.1420000000000003</v>
      </c>
      <c r="BN36">
        <f>VLOOKUP($A36,'UN Treasury'!$A$1:$BQ$224,_xlfn.XMATCH(BN$1,'UN Treasury'!$A$1:$BQ$1,-1,1),FALSE)</f>
        <v>6.3449999999999998</v>
      </c>
      <c r="BO36">
        <f>VLOOKUP($A36,'UN Treasury'!$A$1:$BQ$224,_xlfn.XMATCH(BO$1,'UN Treasury'!$A$1:$BQ$1,-1,1),FALSE)</f>
        <v>6.2270000000000003</v>
      </c>
      <c r="BP36">
        <f>VLOOKUP($A36,'UN Treasury'!$A$1:$BQ$224,_xlfn.XMATCH(BP$1,'UN Treasury'!$A$1:$BQ$1,-1,1),FALSE)</f>
        <v>6.1280000000000001</v>
      </c>
      <c r="BQ36">
        <f>VLOOKUP($A36,'UN Treasury'!$A$1:$BQ$224,_xlfn.XMATCH(BQ$1,'UN Treasury'!$A$1:$BQ$1,-1,1),FALSE)</f>
        <v>6.1159999999999997</v>
      </c>
    </row>
    <row r="37" spans="1:69" x14ac:dyDescent="0.25">
      <c r="A37" t="s">
        <v>107</v>
      </c>
      <c r="B37">
        <f>VLOOKUP($A37,'UN Treasury'!$A$1:$BQ$224,_xlfn.XMATCH(B$1,'UN Treasury'!$A$1:$BQ$1,-1,1),FALSE)</f>
        <v>58.088999999999999</v>
      </c>
      <c r="C37">
        <f>VLOOKUP($A37,'UN Treasury'!$A$1:$BQ$224,_xlfn.XMATCH(C$1,'UN Treasury'!$A$1:$BQ$1,-1,1),FALSE)</f>
        <v>58.481000000000002</v>
      </c>
      <c r="D37">
        <f>VLOOKUP($A37,'UN Treasury'!$A$1:$BQ$224,_xlfn.XMATCH(D$1,'UN Treasury'!$A$1:$BQ$1,-1,1),FALSE)</f>
        <v>58.45</v>
      </c>
      <c r="E37">
        <f>VLOOKUP($A37,'UN Treasury'!$A$1:$BQ$224,_xlfn.XMATCH(E$1,'UN Treasury'!$A$1:$BQ$1,-1,1),FALSE)</f>
        <v>59.216000000000001</v>
      </c>
      <c r="F37">
        <f>VLOOKUP($A37,'UN Treasury'!$A$1:$BQ$224,_xlfn.XMATCH(F$1,'UN Treasury'!$A$1:$BQ$1,-1,1),FALSE)</f>
        <v>59.433</v>
      </c>
      <c r="G37">
        <f>VLOOKUP($A37,'UN Treasury'!$A$1:$BQ$224,_xlfn.XMATCH(G$1,'UN Treasury'!$A$1:$BQ$1,-1,1),FALSE)</f>
        <v>60.853000000000002</v>
      </c>
      <c r="H37">
        <f>VLOOKUP($A37,'UN Treasury'!$A$1:$BQ$224,_xlfn.XMATCH(H$1,'UN Treasury'!$A$1:$BQ$1,-1,1),FALSE)</f>
        <v>62.396999999999998</v>
      </c>
      <c r="I37">
        <f>VLOOKUP($A37,'UN Treasury'!$A$1:$BQ$224,_xlfn.XMATCH(I$1,'UN Treasury'!$A$1:$BQ$1,-1,1),FALSE)</f>
        <v>63.4</v>
      </c>
      <c r="J37">
        <f>VLOOKUP($A37,'UN Treasury'!$A$1:$BQ$224,_xlfn.XMATCH(J$1,'UN Treasury'!$A$1:$BQ$1,-1,1),FALSE)</f>
        <v>63.36</v>
      </c>
      <c r="K37">
        <f>VLOOKUP($A37,'UN Treasury'!$A$1:$BQ$224,_xlfn.XMATCH(K$1,'UN Treasury'!$A$1:$BQ$1,-1,1),FALSE)</f>
        <v>64.02</v>
      </c>
      <c r="L37">
        <f>VLOOKUP($A37,'UN Treasury'!$A$1:$BQ$224,_xlfn.XMATCH(L$1,'UN Treasury'!$A$1:$BQ$1,-1,1),FALSE)</f>
        <v>62.850999999999999</v>
      </c>
      <c r="M37">
        <f>VLOOKUP($A37,'UN Treasury'!$A$1:$BQ$224,_xlfn.XMATCH(M$1,'UN Treasury'!$A$1:$BQ$1,-1,1),FALSE)</f>
        <v>63.323</v>
      </c>
      <c r="N37">
        <f>VLOOKUP($A37,'UN Treasury'!$A$1:$BQ$224,_xlfn.XMATCH(N$1,'UN Treasury'!$A$1:$BQ$1,-1,1),FALSE)</f>
        <v>61.493000000000002</v>
      </c>
      <c r="O37">
        <f>VLOOKUP($A37,'UN Treasury'!$A$1:$BQ$224,_xlfn.XMATCH(O$1,'UN Treasury'!$A$1:$BQ$1,-1,1),FALSE)</f>
        <v>59.890999999999998</v>
      </c>
      <c r="P37">
        <f>VLOOKUP($A37,'UN Treasury'!$A$1:$BQ$224,_xlfn.XMATCH(P$1,'UN Treasury'!$A$1:$BQ$1,-1,1),FALSE)</f>
        <v>58.819000000000003</v>
      </c>
      <c r="Q37">
        <f>VLOOKUP($A37,'UN Treasury'!$A$1:$BQ$224,_xlfn.XMATCH(Q$1,'UN Treasury'!$A$1:$BQ$1,-1,1),FALSE)</f>
        <v>58.542999999999999</v>
      </c>
      <c r="R37">
        <f>VLOOKUP($A37,'UN Treasury'!$A$1:$BQ$224,_xlfn.XMATCH(R$1,'UN Treasury'!$A$1:$BQ$1,-1,1),FALSE)</f>
        <v>61.124000000000002</v>
      </c>
      <c r="S37">
        <f>VLOOKUP($A37,'UN Treasury'!$A$1:$BQ$224,_xlfn.XMATCH(S$1,'UN Treasury'!$A$1:$BQ$1,-1,1),FALSE)</f>
        <v>62.247999999999998</v>
      </c>
      <c r="T37">
        <f>VLOOKUP($A37,'UN Treasury'!$A$1:$BQ$224,_xlfn.XMATCH(T$1,'UN Treasury'!$A$1:$BQ$1,-1,1),FALSE)</f>
        <v>61.658000000000001</v>
      </c>
      <c r="U37">
        <f>VLOOKUP($A37,'UN Treasury'!$A$1:$BQ$224,_xlfn.XMATCH(U$1,'UN Treasury'!$A$1:$BQ$1,-1,1),FALSE)</f>
        <v>61.043999999999997</v>
      </c>
      <c r="V37">
        <f>VLOOKUP($A37,'UN Treasury'!$A$1:$BQ$224,_xlfn.XMATCH(V$1,'UN Treasury'!$A$1:$BQ$1,-1,1),FALSE)</f>
        <v>60.34</v>
      </c>
      <c r="W37">
        <f>VLOOKUP($A37,'UN Treasury'!$A$1:$BQ$224,_xlfn.XMATCH(W$1,'UN Treasury'!$A$1:$BQ$1,-1,1),FALSE)</f>
        <v>60.034999999999997</v>
      </c>
      <c r="X37">
        <f>VLOOKUP($A37,'UN Treasury'!$A$1:$BQ$224,_xlfn.XMATCH(X$1,'UN Treasury'!$A$1:$BQ$1,-1,1),FALSE)</f>
        <v>59.87</v>
      </c>
      <c r="Y37">
        <f>VLOOKUP($A37,'UN Treasury'!$A$1:$BQ$224,_xlfn.XMATCH(Y$1,'UN Treasury'!$A$1:$BQ$1,-1,1),FALSE)</f>
        <v>59.55</v>
      </c>
      <c r="Z37">
        <f>VLOOKUP($A37,'UN Treasury'!$A$1:$BQ$224,_xlfn.XMATCH(Z$1,'UN Treasury'!$A$1:$BQ$1,-1,1),FALSE)</f>
        <v>59.442999999999998</v>
      </c>
      <c r="AA37">
        <f>VLOOKUP($A37,'UN Treasury'!$A$1:$BQ$224,_xlfn.XMATCH(AA$1,'UN Treasury'!$A$1:$BQ$1,-1,1),FALSE)</f>
        <v>59</v>
      </c>
      <c r="AB37">
        <f>VLOOKUP($A37,'UN Treasury'!$A$1:$BQ$224,_xlfn.XMATCH(AB$1,'UN Treasury'!$A$1:$BQ$1,-1,1),FALSE)</f>
        <v>59.119</v>
      </c>
      <c r="AC37">
        <f>VLOOKUP($A37,'UN Treasury'!$A$1:$BQ$224,_xlfn.XMATCH(AC$1,'UN Treasury'!$A$1:$BQ$1,-1,1),FALSE)</f>
        <v>58.277999999999999</v>
      </c>
      <c r="AD37">
        <f>VLOOKUP($A37,'UN Treasury'!$A$1:$BQ$224,_xlfn.XMATCH(AD$1,'UN Treasury'!$A$1:$BQ$1,-1,1),FALSE)</f>
        <v>58.966999999999999</v>
      </c>
      <c r="AE37">
        <f>VLOOKUP($A37,'UN Treasury'!$A$1:$BQ$224,_xlfn.XMATCH(AE$1,'UN Treasury'!$A$1:$BQ$1,-1,1),FALSE)</f>
        <v>58.576999999999998</v>
      </c>
      <c r="AF37">
        <f>VLOOKUP($A37,'UN Treasury'!$A$1:$BQ$224,_xlfn.XMATCH(AF$1,'UN Treasury'!$A$1:$BQ$1,-1,1),FALSE)</f>
        <v>58.451000000000001</v>
      </c>
      <c r="AG37">
        <f>VLOOKUP($A37,'UN Treasury'!$A$1:$BQ$224,_xlfn.XMATCH(AG$1,'UN Treasury'!$A$1:$BQ$1,-1,1),FALSE)</f>
        <v>58.445999999999998</v>
      </c>
      <c r="AH37">
        <f>VLOOKUP($A37,'UN Treasury'!$A$1:$BQ$224,_xlfn.XMATCH(AH$1,'UN Treasury'!$A$1:$BQ$1,-1,1),FALSE)</f>
        <v>56.65</v>
      </c>
      <c r="AI37">
        <f>VLOOKUP($A37,'UN Treasury'!$A$1:$BQ$224,_xlfn.XMATCH(AI$1,'UN Treasury'!$A$1:$BQ$1,-1,1),FALSE)</f>
        <v>56.542000000000002</v>
      </c>
      <c r="AJ37">
        <f>VLOOKUP($A37,'UN Treasury'!$A$1:$BQ$224,_xlfn.XMATCH(AJ$1,'UN Treasury'!$A$1:$BQ$1,-1,1),FALSE)</f>
        <v>56.484999999999999</v>
      </c>
      <c r="AK37">
        <f>VLOOKUP($A37,'UN Treasury'!$A$1:$BQ$224,_xlfn.XMATCH(AK$1,'UN Treasury'!$A$1:$BQ$1,-1,1),FALSE)</f>
        <v>56.447000000000003</v>
      </c>
      <c r="AL37">
        <f>VLOOKUP($A37,'UN Treasury'!$A$1:$BQ$224,_xlfn.XMATCH(AL$1,'UN Treasury'!$A$1:$BQ$1,-1,1),FALSE)</f>
        <v>56.31</v>
      </c>
      <c r="AM37">
        <f>VLOOKUP($A37,'UN Treasury'!$A$1:$BQ$224,_xlfn.XMATCH(AM$1,'UN Treasury'!$A$1:$BQ$1,-1,1),FALSE)</f>
        <v>55.433</v>
      </c>
      <c r="AN37">
        <f>VLOOKUP($A37,'UN Treasury'!$A$1:$BQ$224,_xlfn.XMATCH(AN$1,'UN Treasury'!$A$1:$BQ$1,-1,1),FALSE)</f>
        <v>54.314</v>
      </c>
      <c r="AO37">
        <f>VLOOKUP($A37,'UN Treasury'!$A$1:$BQ$224,_xlfn.XMATCH(AO$1,'UN Treasury'!$A$1:$BQ$1,-1,1),FALSE)</f>
        <v>54.286000000000001</v>
      </c>
      <c r="AP37">
        <f>VLOOKUP($A37,'UN Treasury'!$A$1:$BQ$224,_xlfn.XMATCH(AP$1,'UN Treasury'!$A$1:$BQ$1,-1,1),FALSE)</f>
        <v>54.537999999999997</v>
      </c>
      <c r="AQ37">
        <f>VLOOKUP($A37,'UN Treasury'!$A$1:$BQ$224,_xlfn.XMATCH(AQ$1,'UN Treasury'!$A$1:$BQ$1,-1,1),FALSE)</f>
        <v>54.506</v>
      </c>
      <c r="AR37">
        <f>VLOOKUP($A37,'UN Treasury'!$A$1:$BQ$224,_xlfn.XMATCH(AR$1,'UN Treasury'!$A$1:$BQ$1,-1,1),FALSE)</f>
        <v>55.871000000000002</v>
      </c>
      <c r="AS37">
        <f>VLOOKUP($A37,'UN Treasury'!$A$1:$BQ$224,_xlfn.XMATCH(AS$1,'UN Treasury'!$A$1:$BQ$1,-1,1),FALSE)</f>
        <v>56.042000000000002</v>
      </c>
      <c r="AT37">
        <f>VLOOKUP($A37,'UN Treasury'!$A$1:$BQ$224,_xlfn.XMATCH(AT$1,'UN Treasury'!$A$1:$BQ$1,-1,1),FALSE)</f>
        <v>54.716000000000001</v>
      </c>
      <c r="AU37">
        <f>VLOOKUP($A37,'UN Treasury'!$A$1:$BQ$224,_xlfn.XMATCH(AU$1,'UN Treasury'!$A$1:$BQ$1,-1,1),FALSE)</f>
        <v>53.942999999999998</v>
      </c>
      <c r="AV37">
        <f>VLOOKUP($A37,'UN Treasury'!$A$1:$BQ$224,_xlfn.XMATCH(AV$1,'UN Treasury'!$A$1:$BQ$1,-1,1),FALSE)</f>
        <v>53.506999999999998</v>
      </c>
      <c r="AW37">
        <f>VLOOKUP($A37,'UN Treasury'!$A$1:$BQ$224,_xlfn.XMATCH(AW$1,'UN Treasury'!$A$1:$BQ$1,-1,1),FALSE)</f>
        <v>53.216999999999999</v>
      </c>
      <c r="AX37">
        <f>VLOOKUP($A37,'UN Treasury'!$A$1:$BQ$224,_xlfn.XMATCH(AX$1,'UN Treasury'!$A$1:$BQ$1,-1,1),FALSE)</f>
        <v>53.784999999999997</v>
      </c>
      <c r="AY37">
        <f>VLOOKUP($A37,'UN Treasury'!$A$1:$BQ$224,_xlfn.XMATCH(AY$1,'UN Treasury'!$A$1:$BQ$1,-1,1),FALSE)</f>
        <v>54.353999999999999</v>
      </c>
      <c r="AZ37">
        <f>VLOOKUP($A37,'UN Treasury'!$A$1:$BQ$224,_xlfn.XMATCH(AZ$1,'UN Treasury'!$A$1:$BQ$1,-1,1),FALSE)</f>
        <v>54.8</v>
      </c>
      <c r="BA37">
        <f>VLOOKUP($A37,'UN Treasury'!$A$1:$BQ$224,_xlfn.XMATCH(BA$1,'UN Treasury'!$A$1:$BQ$1,-1,1),FALSE)</f>
        <v>54.962000000000003</v>
      </c>
      <c r="BB37">
        <f>VLOOKUP($A37,'UN Treasury'!$A$1:$BQ$224,_xlfn.XMATCH(BB$1,'UN Treasury'!$A$1:$BQ$1,-1,1),FALSE)</f>
        <v>54.804000000000002</v>
      </c>
      <c r="BC37">
        <f>VLOOKUP($A37,'UN Treasury'!$A$1:$BQ$224,_xlfn.XMATCH(BC$1,'UN Treasury'!$A$1:$BQ$1,-1,1),FALSE)</f>
        <v>54.7</v>
      </c>
      <c r="BD37">
        <f>VLOOKUP($A37,'UN Treasury'!$A$1:$BQ$224,_xlfn.XMATCH(BD$1,'UN Treasury'!$A$1:$BQ$1,-1,1),FALSE)</f>
        <v>56.945999999999998</v>
      </c>
      <c r="BE37">
        <f>VLOOKUP($A37,'UN Treasury'!$A$1:$BQ$224,_xlfn.XMATCH(BE$1,'UN Treasury'!$A$1:$BQ$1,-1,1),FALSE)</f>
        <v>57.402000000000001</v>
      </c>
      <c r="BF37">
        <f>VLOOKUP($A37,'UN Treasury'!$A$1:$BQ$224,_xlfn.XMATCH(BF$1,'UN Treasury'!$A$1:$BQ$1,-1,1),FALSE)</f>
        <v>56.48</v>
      </c>
      <c r="BG37">
        <f>VLOOKUP($A37,'UN Treasury'!$A$1:$BQ$224,_xlfn.XMATCH(BG$1,'UN Treasury'!$A$1:$BQ$1,-1,1),FALSE)</f>
        <v>56.271000000000001</v>
      </c>
      <c r="BH37">
        <f>VLOOKUP($A37,'UN Treasury'!$A$1:$BQ$224,_xlfn.XMATCH(BH$1,'UN Treasury'!$A$1:$BQ$1,-1,1),FALSE)</f>
        <v>55.975999999999999</v>
      </c>
      <c r="BI37">
        <f>VLOOKUP($A37,'UN Treasury'!$A$1:$BQ$224,_xlfn.XMATCH(BI$1,'UN Treasury'!$A$1:$BQ$1,-1,1),FALSE)</f>
        <v>56.777999999999999</v>
      </c>
      <c r="BJ37">
        <f>VLOOKUP($A37,'UN Treasury'!$A$1:$BQ$224,_xlfn.XMATCH(BJ$1,'UN Treasury'!$A$1:$BQ$1,-1,1),FALSE)</f>
        <v>56.662999999999997</v>
      </c>
      <c r="BK37">
        <f>VLOOKUP($A37,'UN Treasury'!$A$1:$BQ$224,_xlfn.XMATCH(BK$1,'UN Treasury'!$A$1:$BQ$1,-1,1),FALSE)</f>
        <v>56.835000000000001</v>
      </c>
      <c r="BL37">
        <f>VLOOKUP($A37,'UN Treasury'!$A$1:$BQ$224,_xlfn.XMATCH(BL$1,'UN Treasury'!$A$1:$BQ$1,-1,1),FALSE)</f>
        <v>56.68</v>
      </c>
      <c r="BM37">
        <f>VLOOKUP($A37,'UN Treasury'!$A$1:$BQ$224,_xlfn.XMATCH(BM$1,'UN Treasury'!$A$1:$BQ$1,-1,1),FALSE)</f>
        <v>56.6</v>
      </c>
      <c r="BN37">
        <f>VLOOKUP($A37,'UN Treasury'!$A$1:$BQ$224,_xlfn.XMATCH(BN$1,'UN Treasury'!$A$1:$BQ$1,-1,1),FALSE)</f>
        <v>56.76</v>
      </c>
      <c r="BO37">
        <f>VLOOKUP($A37,'UN Treasury'!$A$1:$BQ$224,_xlfn.XMATCH(BO$1,'UN Treasury'!$A$1:$BQ$1,-1,1),FALSE)</f>
        <v>57.689</v>
      </c>
      <c r="BP37">
        <f>VLOOKUP($A37,'UN Treasury'!$A$1:$BQ$224,_xlfn.XMATCH(BP$1,'UN Treasury'!$A$1:$BQ$1,-1,1),FALSE)</f>
        <v>57.598999999999997</v>
      </c>
      <c r="BQ37">
        <f>VLOOKUP($A37,'UN Treasury'!$A$1:$BQ$224,_xlfn.XMATCH(BQ$1,'UN Treasury'!$A$1:$BQ$1,-1,1),FALSE)</f>
        <v>57.603999999999999</v>
      </c>
    </row>
    <row r="38" spans="1:69" x14ac:dyDescent="0.25">
      <c r="A38" t="s">
        <v>26</v>
      </c>
      <c r="B38">
        <f>VLOOKUP($A38,'UN Treasury'!$A$1:$BQ$224,_xlfn.XMATCH(B$1,'UN Treasury'!$A$1:$BQ$1,-1,1),FALSE)</f>
        <v>132.678</v>
      </c>
      <c r="C38">
        <f>VLOOKUP($A38,'UN Treasury'!$A$1:$BQ$224,_xlfn.XMATCH(C$1,'UN Treasury'!$A$1:$BQ$1,-1,1),FALSE)</f>
        <v>132.82</v>
      </c>
      <c r="D38">
        <f>VLOOKUP($A38,'UN Treasury'!$A$1:$BQ$224,_xlfn.XMATCH(D$1,'UN Treasury'!$A$1:$BQ$1,-1,1),FALSE)</f>
        <v>133.13499999999999</v>
      </c>
      <c r="E38">
        <f>VLOOKUP($A38,'UN Treasury'!$A$1:$BQ$224,_xlfn.XMATCH(E$1,'UN Treasury'!$A$1:$BQ$1,-1,1),FALSE)</f>
        <v>132.06899999999999</v>
      </c>
      <c r="F38">
        <f>VLOOKUP($A38,'UN Treasury'!$A$1:$BQ$224,_xlfn.XMATCH(F$1,'UN Treasury'!$A$1:$BQ$1,-1,1),FALSE)</f>
        <v>131.904</v>
      </c>
      <c r="G38">
        <f>VLOOKUP($A38,'UN Treasury'!$A$1:$BQ$224,_xlfn.XMATCH(G$1,'UN Treasury'!$A$1:$BQ$1,-1,1),FALSE)</f>
        <v>131.59700000000001</v>
      </c>
      <c r="H38">
        <f>VLOOKUP($A38,'UN Treasury'!$A$1:$BQ$224,_xlfn.XMATCH(H$1,'UN Treasury'!$A$1:$BQ$1,-1,1),FALSE)</f>
        <v>129.035</v>
      </c>
      <c r="I38">
        <f>VLOOKUP($A38,'UN Treasury'!$A$1:$BQ$224,_xlfn.XMATCH(I$1,'UN Treasury'!$A$1:$BQ$1,-1,1),FALSE)</f>
        <v>129.59200000000001</v>
      </c>
      <c r="J38">
        <f>VLOOKUP($A38,'UN Treasury'!$A$1:$BQ$224,_xlfn.XMATCH(J$1,'UN Treasury'!$A$1:$BQ$1,-1,1),FALSE)</f>
        <v>129.27000000000001</v>
      </c>
      <c r="K38">
        <f>VLOOKUP($A38,'UN Treasury'!$A$1:$BQ$224,_xlfn.XMATCH(K$1,'UN Treasury'!$A$1:$BQ$1,-1,1),FALSE)</f>
        <v>130.078</v>
      </c>
      <c r="L38">
        <f>VLOOKUP($A38,'UN Treasury'!$A$1:$BQ$224,_xlfn.XMATCH(L$1,'UN Treasury'!$A$1:$BQ$1,-1,1),FALSE)</f>
        <v>129.99299999999999</v>
      </c>
      <c r="M38">
        <f>VLOOKUP($A38,'UN Treasury'!$A$1:$BQ$224,_xlfn.XMATCH(M$1,'UN Treasury'!$A$1:$BQ$1,-1,1),FALSE)</f>
        <v>129.268</v>
      </c>
      <c r="N38">
        <f>VLOOKUP($A38,'UN Treasury'!$A$1:$BQ$224,_xlfn.XMATCH(N$1,'UN Treasury'!$A$1:$BQ$1,-1,1),FALSE)</f>
        <v>129.30000000000001</v>
      </c>
      <c r="O38">
        <f>VLOOKUP($A38,'UN Treasury'!$A$1:$BQ$224,_xlfn.XMATCH(O$1,'UN Treasury'!$A$1:$BQ$1,-1,1),FALSE)</f>
        <v>129.505</v>
      </c>
      <c r="P38">
        <f>VLOOKUP($A38,'UN Treasury'!$A$1:$BQ$224,_xlfn.XMATCH(P$1,'UN Treasury'!$A$1:$BQ$1,-1,1),FALSE)</f>
        <v>130.91900000000001</v>
      </c>
      <c r="Q38">
        <f>VLOOKUP($A38,'UN Treasury'!$A$1:$BQ$224,_xlfn.XMATCH(Q$1,'UN Treasury'!$A$1:$BQ$1,-1,1),FALSE)</f>
        <v>133.19800000000001</v>
      </c>
      <c r="R38">
        <f>VLOOKUP($A38,'UN Treasury'!$A$1:$BQ$224,_xlfn.XMATCH(R$1,'UN Treasury'!$A$1:$BQ$1,-1,1),FALSE)</f>
        <v>131.46299999999999</v>
      </c>
      <c r="S38">
        <f>VLOOKUP($A38,'UN Treasury'!$A$1:$BQ$224,_xlfn.XMATCH(S$1,'UN Treasury'!$A$1:$BQ$1,-1,1),FALSE)</f>
        <v>132.91999999999999</v>
      </c>
      <c r="T38">
        <f>VLOOKUP($A38,'UN Treasury'!$A$1:$BQ$224,_xlfn.XMATCH(T$1,'UN Treasury'!$A$1:$BQ$1,-1,1),FALSE)</f>
        <v>135.32900000000001</v>
      </c>
      <c r="U38">
        <f>VLOOKUP($A38,'UN Treasury'!$A$1:$BQ$224,_xlfn.XMATCH(U$1,'UN Treasury'!$A$1:$BQ$1,-1,1),FALSE)</f>
        <v>135.898</v>
      </c>
      <c r="V38">
        <f>VLOOKUP($A38,'UN Treasury'!$A$1:$BQ$224,_xlfn.XMATCH(V$1,'UN Treasury'!$A$1:$BQ$1,-1,1),FALSE)</f>
        <v>133.45699999999999</v>
      </c>
      <c r="W38">
        <f>VLOOKUP($A38,'UN Treasury'!$A$1:$BQ$224,_xlfn.XMATCH(W$1,'UN Treasury'!$A$1:$BQ$1,-1,1),FALSE)</f>
        <v>133.29300000000001</v>
      </c>
      <c r="X38">
        <f>VLOOKUP($A38,'UN Treasury'!$A$1:$BQ$224,_xlfn.XMATCH(X$1,'UN Treasury'!$A$1:$BQ$1,-1,1),FALSE)</f>
        <v>132.869</v>
      </c>
      <c r="Y38">
        <f>VLOOKUP($A38,'UN Treasury'!$A$1:$BQ$224,_xlfn.XMATCH(Y$1,'UN Treasury'!$A$1:$BQ$1,-1,1),FALSE)</f>
        <v>132.19</v>
      </c>
      <c r="Z38">
        <f>VLOOKUP($A38,'UN Treasury'!$A$1:$BQ$224,_xlfn.XMATCH(Z$1,'UN Treasury'!$A$1:$BQ$1,-1,1),FALSE)</f>
        <v>134.13</v>
      </c>
      <c r="AA38">
        <f>VLOOKUP($A38,'UN Treasury'!$A$1:$BQ$224,_xlfn.XMATCH(AA$1,'UN Treasury'!$A$1:$BQ$1,-1,1),FALSE)</f>
        <v>133.77000000000001</v>
      </c>
      <c r="AB38">
        <f>VLOOKUP($A38,'UN Treasury'!$A$1:$BQ$224,_xlfn.XMATCH(AB$1,'UN Treasury'!$A$1:$BQ$1,-1,1),FALSE)</f>
        <v>134.25</v>
      </c>
      <c r="AC38">
        <f>VLOOKUP($A38,'UN Treasury'!$A$1:$BQ$224,_xlfn.XMATCH(AC$1,'UN Treasury'!$A$1:$BQ$1,-1,1),FALSE)</f>
        <v>134.04300000000001</v>
      </c>
      <c r="AD38">
        <f>VLOOKUP($A38,'UN Treasury'!$A$1:$BQ$224,_xlfn.XMATCH(AD$1,'UN Treasury'!$A$1:$BQ$1,-1,1),FALSE)</f>
        <v>134.35400000000001</v>
      </c>
      <c r="AE38">
        <f>VLOOKUP($A38,'UN Treasury'!$A$1:$BQ$224,_xlfn.XMATCH(AE$1,'UN Treasury'!$A$1:$BQ$1,-1,1),FALSE)</f>
        <v>134.14099999999999</v>
      </c>
      <c r="AF38">
        <f>VLOOKUP($A38,'UN Treasury'!$A$1:$BQ$224,_xlfn.XMATCH(AF$1,'UN Treasury'!$A$1:$BQ$1,-1,1),FALSE)</f>
        <v>134.13499999999999</v>
      </c>
      <c r="AG38">
        <f>VLOOKUP($A38,'UN Treasury'!$A$1:$BQ$224,_xlfn.XMATCH(AG$1,'UN Treasury'!$A$1:$BQ$1,-1,1),FALSE)</f>
        <v>134.07599999999999</v>
      </c>
      <c r="AH38">
        <f>VLOOKUP($A38,'UN Treasury'!$A$1:$BQ$224,_xlfn.XMATCH(AH$1,'UN Treasury'!$A$1:$BQ$1,-1,1),FALSE)</f>
        <v>134.173</v>
      </c>
      <c r="AI38">
        <f>VLOOKUP($A38,'UN Treasury'!$A$1:$BQ$224,_xlfn.XMATCH(AI$1,'UN Treasury'!$A$1:$BQ$1,-1,1),FALSE)</f>
        <v>134.46799999999999</v>
      </c>
      <c r="AJ38">
        <f>VLOOKUP($A38,'UN Treasury'!$A$1:$BQ$224,_xlfn.XMATCH(AJ$1,'UN Treasury'!$A$1:$BQ$1,-1,1),FALSE)</f>
        <v>136.756</v>
      </c>
      <c r="AK38">
        <f>VLOOKUP($A38,'UN Treasury'!$A$1:$BQ$224,_xlfn.XMATCH(AK$1,'UN Treasury'!$A$1:$BQ$1,-1,1),FALSE)</f>
        <v>136.59100000000001</v>
      </c>
      <c r="AL38">
        <f>VLOOKUP($A38,'UN Treasury'!$A$1:$BQ$224,_xlfn.XMATCH(AL$1,'UN Treasury'!$A$1:$BQ$1,-1,1),FALSE)</f>
        <v>135.32400000000001</v>
      </c>
      <c r="AM38">
        <f>VLOOKUP($A38,'UN Treasury'!$A$1:$BQ$224,_xlfn.XMATCH(AM$1,'UN Treasury'!$A$1:$BQ$1,-1,1),FALSE)</f>
        <v>134.434</v>
      </c>
      <c r="AN38">
        <f>VLOOKUP($A38,'UN Treasury'!$A$1:$BQ$224,_xlfn.XMATCH(AN$1,'UN Treasury'!$A$1:$BQ$1,-1,1),FALSE)</f>
        <v>135.625</v>
      </c>
      <c r="AO38">
        <f>VLOOKUP($A38,'UN Treasury'!$A$1:$BQ$224,_xlfn.XMATCH(AO$1,'UN Treasury'!$A$1:$BQ$1,-1,1),FALSE)</f>
        <v>135.227</v>
      </c>
      <c r="AP38">
        <f>VLOOKUP($A38,'UN Treasury'!$A$1:$BQ$224,_xlfn.XMATCH(AP$1,'UN Treasury'!$A$1:$BQ$1,-1,1),FALSE)</f>
        <v>135.053</v>
      </c>
      <c r="AQ38">
        <f>VLOOKUP($A38,'UN Treasury'!$A$1:$BQ$224,_xlfn.XMATCH(AQ$1,'UN Treasury'!$A$1:$BQ$1,-1,1),FALSE)</f>
        <v>135.911</v>
      </c>
      <c r="AR38">
        <f>VLOOKUP($A38,'UN Treasury'!$A$1:$BQ$224,_xlfn.XMATCH(AR$1,'UN Treasury'!$A$1:$BQ$1,-1,1),FALSE)</f>
        <v>136.30099999999999</v>
      </c>
      <c r="AS38">
        <f>VLOOKUP($A38,'UN Treasury'!$A$1:$BQ$224,_xlfn.XMATCH(AS$1,'UN Treasury'!$A$1:$BQ$1,-1,1),FALSE)</f>
        <v>136.41399999999999</v>
      </c>
      <c r="AT38">
        <f>VLOOKUP($A38,'UN Treasury'!$A$1:$BQ$224,_xlfn.XMATCH(AT$1,'UN Treasury'!$A$1:$BQ$1,-1,1),FALSE)</f>
        <v>137.04599999999999</v>
      </c>
      <c r="AU38">
        <f>VLOOKUP($A38,'UN Treasury'!$A$1:$BQ$224,_xlfn.XMATCH(AU$1,'UN Treasury'!$A$1:$BQ$1,-1,1),FALSE)</f>
        <v>138.584</v>
      </c>
      <c r="AV38">
        <f>VLOOKUP($A38,'UN Treasury'!$A$1:$BQ$224,_xlfn.XMATCH(AV$1,'UN Treasury'!$A$1:$BQ$1,-1,1),FALSE)</f>
        <v>139.99600000000001</v>
      </c>
      <c r="AW38">
        <f>VLOOKUP($A38,'UN Treasury'!$A$1:$BQ$224,_xlfn.XMATCH(AW$1,'UN Treasury'!$A$1:$BQ$1,-1,1),FALSE)</f>
        <v>140.35</v>
      </c>
      <c r="AX38">
        <f>VLOOKUP($A38,'UN Treasury'!$A$1:$BQ$224,_xlfn.XMATCH(AX$1,'UN Treasury'!$A$1:$BQ$1,-1,1),FALSE)</f>
        <v>142.40199999999999</v>
      </c>
      <c r="AY38">
        <f>VLOOKUP($A38,'UN Treasury'!$A$1:$BQ$224,_xlfn.XMATCH(AY$1,'UN Treasury'!$A$1:$BQ$1,-1,1),FALSE)</f>
        <v>146.512</v>
      </c>
      <c r="AZ38">
        <f>VLOOKUP($A38,'UN Treasury'!$A$1:$BQ$224,_xlfn.XMATCH(AZ$1,'UN Treasury'!$A$1:$BQ$1,-1,1),FALSE)</f>
        <v>145.98099999999999</v>
      </c>
      <c r="BA38">
        <f>VLOOKUP($A38,'UN Treasury'!$A$1:$BQ$224,_xlfn.XMATCH(BA$1,'UN Treasury'!$A$1:$BQ$1,-1,1),FALSE)</f>
        <v>144.97300000000001</v>
      </c>
      <c r="BB38">
        <f>VLOOKUP($A38,'UN Treasury'!$A$1:$BQ$224,_xlfn.XMATCH(BB$1,'UN Treasury'!$A$1:$BQ$1,-1,1),FALSE)</f>
        <v>142.81200000000001</v>
      </c>
      <c r="BC38">
        <f>VLOOKUP($A38,'UN Treasury'!$A$1:$BQ$224,_xlfn.XMATCH(BC$1,'UN Treasury'!$A$1:$BQ$1,-1,1),FALSE)</f>
        <v>142.39599999999999</v>
      </c>
      <c r="BD38">
        <f>VLOOKUP($A38,'UN Treasury'!$A$1:$BQ$224,_xlfn.XMATCH(BD$1,'UN Treasury'!$A$1:$BQ$1,-1,1),FALSE)</f>
        <v>140.11799999999999</v>
      </c>
      <c r="BE38">
        <f>VLOOKUP($A38,'UN Treasury'!$A$1:$BQ$224,_xlfn.XMATCH(BE$1,'UN Treasury'!$A$1:$BQ$1,-1,1),FALSE)</f>
        <v>138.733</v>
      </c>
      <c r="BF38">
        <f>VLOOKUP($A38,'UN Treasury'!$A$1:$BQ$224,_xlfn.XMATCH(BF$1,'UN Treasury'!$A$1:$BQ$1,-1,1),FALSE)</f>
        <v>138.43</v>
      </c>
      <c r="BG38">
        <f>VLOOKUP($A38,'UN Treasury'!$A$1:$BQ$224,_xlfn.XMATCH(BG$1,'UN Treasury'!$A$1:$BQ$1,-1,1),FALSE)</f>
        <v>136.447</v>
      </c>
      <c r="BH38">
        <f>VLOOKUP($A38,'UN Treasury'!$A$1:$BQ$224,_xlfn.XMATCH(BH$1,'UN Treasury'!$A$1:$BQ$1,-1,1),FALSE)</f>
        <v>136.37799999999999</v>
      </c>
      <c r="BI38">
        <f>VLOOKUP($A38,'UN Treasury'!$A$1:$BQ$224,_xlfn.XMATCH(BI$1,'UN Treasury'!$A$1:$BQ$1,-1,1),FALSE)</f>
        <v>134.77000000000001</v>
      </c>
      <c r="BJ38">
        <f>VLOOKUP($A38,'UN Treasury'!$A$1:$BQ$224,_xlfn.XMATCH(BJ$1,'UN Treasury'!$A$1:$BQ$1,-1,1),FALSE)</f>
        <v>134.137</v>
      </c>
      <c r="BK38">
        <f>VLOOKUP($A38,'UN Treasury'!$A$1:$BQ$224,_xlfn.XMATCH(BK$1,'UN Treasury'!$A$1:$BQ$1,-1,1),FALSE)</f>
        <v>133.999</v>
      </c>
      <c r="BL38">
        <f>VLOOKUP($A38,'UN Treasury'!$A$1:$BQ$224,_xlfn.XMATCH(BL$1,'UN Treasury'!$A$1:$BQ$1,-1,1),FALSE)</f>
        <v>132.977</v>
      </c>
      <c r="BM38">
        <f>VLOOKUP($A38,'UN Treasury'!$A$1:$BQ$224,_xlfn.XMATCH(BM$1,'UN Treasury'!$A$1:$BQ$1,-1,1),FALSE)</f>
        <v>133.01400000000001</v>
      </c>
      <c r="BN38">
        <f>VLOOKUP($A38,'UN Treasury'!$A$1:$BQ$224,_xlfn.XMATCH(BN$1,'UN Treasury'!$A$1:$BQ$1,-1,1),FALSE)</f>
        <v>133.76499999999999</v>
      </c>
      <c r="BO38">
        <f>VLOOKUP($A38,'UN Treasury'!$A$1:$BQ$224,_xlfn.XMATCH(BO$1,'UN Treasury'!$A$1:$BQ$1,-1,1),FALSE)</f>
        <v>131.78</v>
      </c>
      <c r="BP38">
        <f>VLOOKUP($A38,'UN Treasury'!$A$1:$BQ$224,_xlfn.XMATCH(BP$1,'UN Treasury'!$A$1:$BQ$1,-1,1),FALSE)</f>
        <v>132.41300000000001</v>
      </c>
      <c r="BQ38">
        <f>VLOOKUP($A38,'UN Treasury'!$A$1:$BQ$224,_xlfn.XMATCH(BQ$1,'UN Treasury'!$A$1:$BQ$1,-1,1),FALSE)</f>
        <v>131.672</v>
      </c>
    </row>
    <row r="39" spans="1:69" x14ac:dyDescent="0.25">
      <c r="A39" t="s">
        <v>109</v>
      </c>
      <c r="B39">
        <f>VLOOKUP($A39,'UN Treasury'!$A$1:$BQ$224,_xlfn.XMATCH(B$1,'UN Treasury'!$A$1:$BQ$1,-1,1),FALSE)</f>
        <v>50.23</v>
      </c>
      <c r="C39">
        <f>VLOOKUP($A39,'UN Treasury'!$A$1:$BQ$224,_xlfn.XMATCH(C$1,'UN Treasury'!$A$1:$BQ$1,-1,1),FALSE)</f>
        <v>50.17</v>
      </c>
      <c r="D39">
        <f>VLOOKUP($A39,'UN Treasury'!$A$1:$BQ$224,_xlfn.XMATCH(D$1,'UN Treasury'!$A$1:$BQ$1,-1,1),FALSE)</f>
        <v>51.93</v>
      </c>
      <c r="E39">
        <f>VLOOKUP($A39,'UN Treasury'!$A$1:$BQ$224,_xlfn.XMATCH(E$1,'UN Treasury'!$A$1:$BQ$1,-1,1),FALSE)</f>
        <v>52.866</v>
      </c>
      <c r="F39">
        <f>VLOOKUP($A39,'UN Treasury'!$A$1:$BQ$224,_xlfn.XMATCH(F$1,'UN Treasury'!$A$1:$BQ$1,-1,1),FALSE)</f>
        <v>53.11</v>
      </c>
      <c r="G39">
        <f>VLOOKUP($A39,'UN Treasury'!$A$1:$BQ$224,_xlfn.XMATCH(G$1,'UN Treasury'!$A$1:$BQ$1,-1,1),FALSE)</f>
        <v>52.402000000000001</v>
      </c>
      <c r="H39">
        <f>VLOOKUP($A39,'UN Treasury'!$A$1:$BQ$224,_xlfn.XMATCH(H$1,'UN Treasury'!$A$1:$BQ$1,-1,1),FALSE)</f>
        <v>46.79</v>
      </c>
      <c r="I39">
        <f>VLOOKUP($A39,'UN Treasury'!$A$1:$BQ$224,_xlfn.XMATCH(I$1,'UN Treasury'!$A$1:$BQ$1,-1,1),FALSE)</f>
        <v>47.095999999999997</v>
      </c>
      <c r="J39">
        <f>VLOOKUP($A39,'UN Treasury'!$A$1:$BQ$224,_xlfn.XMATCH(J$1,'UN Treasury'!$A$1:$BQ$1,-1,1),FALSE)</f>
        <v>47.485999999999997</v>
      </c>
      <c r="K39">
        <f>VLOOKUP($A39,'UN Treasury'!$A$1:$BQ$224,_xlfn.XMATCH(K$1,'UN Treasury'!$A$1:$BQ$1,-1,1),FALSE)</f>
        <v>47.167999999999999</v>
      </c>
      <c r="L39">
        <f>VLOOKUP($A39,'UN Treasury'!$A$1:$BQ$224,_xlfn.XMATCH(L$1,'UN Treasury'!$A$1:$BQ$1,-1,1),FALSE)</f>
        <v>47.652999999999999</v>
      </c>
      <c r="M39">
        <f>VLOOKUP($A39,'UN Treasury'!$A$1:$BQ$224,_xlfn.XMATCH(M$1,'UN Treasury'!$A$1:$BQ$1,-1,1),FALSE)</f>
        <v>48.15</v>
      </c>
      <c r="N39">
        <f>VLOOKUP($A39,'UN Treasury'!$A$1:$BQ$224,_xlfn.XMATCH(N$1,'UN Treasury'!$A$1:$BQ$1,-1,1),FALSE)</f>
        <v>48.3</v>
      </c>
      <c r="O39">
        <f>VLOOKUP($A39,'UN Treasury'!$A$1:$BQ$224,_xlfn.XMATCH(O$1,'UN Treasury'!$A$1:$BQ$1,-1,1),FALSE)</f>
        <v>49.475000000000001</v>
      </c>
      <c r="P39">
        <f>VLOOKUP($A39,'UN Treasury'!$A$1:$BQ$224,_xlfn.XMATCH(P$1,'UN Treasury'!$A$1:$BQ$1,-1,1),FALSE)</f>
        <v>49.457000000000001</v>
      </c>
      <c r="Q39">
        <f>VLOOKUP($A39,'UN Treasury'!$A$1:$BQ$224,_xlfn.XMATCH(Q$1,'UN Treasury'!$A$1:$BQ$1,-1,1),FALSE)</f>
        <v>50.4</v>
      </c>
      <c r="R39">
        <f>VLOOKUP($A39,'UN Treasury'!$A$1:$BQ$224,_xlfn.XMATCH(R$1,'UN Treasury'!$A$1:$BQ$1,-1,1),FALSE)</f>
        <v>51.287999999999997</v>
      </c>
      <c r="S39">
        <f>VLOOKUP($A39,'UN Treasury'!$A$1:$BQ$224,_xlfn.XMATCH(S$1,'UN Treasury'!$A$1:$BQ$1,-1,1),FALSE)</f>
        <v>50.628999999999998</v>
      </c>
      <c r="T39">
        <f>VLOOKUP($A39,'UN Treasury'!$A$1:$BQ$224,_xlfn.XMATCH(T$1,'UN Treasury'!$A$1:$BQ$1,-1,1),FALSE)</f>
        <v>50.57</v>
      </c>
      <c r="U39">
        <f>VLOOKUP($A39,'UN Treasury'!$A$1:$BQ$224,_xlfn.XMATCH(U$1,'UN Treasury'!$A$1:$BQ$1,-1,1),FALSE)</f>
        <v>50.46</v>
      </c>
      <c r="V39">
        <f>VLOOKUP($A39,'UN Treasury'!$A$1:$BQ$224,_xlfn.XMATCH(V$1,'UN Treasury'!$A$1:$BQ$1,-1,1),FALSE)</f>
        <v>50.6</v>
      </c>
      <c r="W39">
        <f>VLOOKUP($A39,'UN Treasury'!$A$1:$BQ$224,_xlfn.XMATCH(W$1,'UN Treasury'!$A$1:$BQ$1,-1,1),FALSE)</f>
        <v>49.26</v>
      </c>
      <c r="X39">
        <f>VLOOKUP($A39,'UN Treasury'!$A$1:$BQ$224,_xlfn.XMATCH(X$1,'UN Treasury'!$A$1:$BQ$1,-1,1),FALSE)</f>
        <v>48.533000000000001</v>
      </c>
      <c r="Y39">
        <f>VLOOKUP($A39,'UN Treasury'!$A$1:$BQ$224,_xlfn.XMATCH(Y$1,'UN Treasury'!$A$1:$BQ$1,-1,1),FALSE)</f>
        <v>48.33</v>
      </c>
      <c r="Z39">
        <f>VLOOKUP($A39,'UN Treasury'!$A$1:$BQ$224,_xlfn.XMATCH(Z$1,'UN Treasury'!$A$1:$BQ$1,-1,1),FALSE)</f>
        <v>49.305</v>
      </c>
      <c r="AA39">
        <f>VLOOKUP($A39,'UN Treasury'!$A$1:$BQ$224,_xlfn.XMATCH(AA$1,'UN Treasury'!$A$1:$BQ$1,-1,1),FALSE)</f>
        <v>47.95</v>
      </c>
      <c r="AB39">
        <f>VLOOKUP($A39,'UN Treasury'!$A$1:$BQ$224,_xlfn.XMATCH(AB$1,'UN Treasury'!$A$1:$BQ$1,-1,1),FALSE)</f>
        <v>47.643999999999998</v>
      </c>
      <c r="AC39">
        <f>VLOOKUP($A39,'UN Treasury'!$A$1:$BQ$224,_xlfn.XMATCH(AC$1,'UN Treasury'!$A$1:$BQ$1,-1,1),FALSE)</f>
        <v>47</v>
      </c>
      <c r="AD39">
        <f>VLOOKUP($A39,'UN Treasury'!$A$1:$BQ$224,_xlfn.XMATCH(AD$1,'UN Treasury'!$A$1:$BQ$1,-1,1),FALSE)</f>
        <v>47.512</v>
      </c>
      <c r="AE39">
        <f>VLOOKUP($A39,'UN Treasury'!$A$1:$BQ$224,_xlfn.XMATCH(AE$1,'UN Treasury'!$A$1:$BQ$1,-1,1),FALSE)</f>
        <v>48.4</v>
      </c>
      <c r="AF39">
        <f>VLOOKUP($A39,'UN Treasury'!$A$1:$BQ$224,_xlfn.XMATCH(AF$1,'UN Treasury'!$A$1:$BQ$1,-1,1),FALSE)</f>
        <v>30.789000000000001</v>
      </c>
      <c r="AG39">
        <f>VLOOKUP($A39,'UN Treasury'!$A$1:$BQ$224,_xlfn.XMATCH(AG$1,'UN Treasury'!$A$1:$BQ$1,-1,1),FALSE)</f>
        <v>30.85</v>
      </c>
      <c r="AH39">
        <f>VLOOKUP($A39,'UN Treasury'!$A$1:$BQ$224,_xlfn.XMATCH(AH$1,'UN Treasury'!$A$1:$BQ$1,-1,1),FALSE)</f>
        <v>30.85</v>
      </c>
      <c r="AI39">
        <f>VLOOKUP($A39,'UN Treasury'!$A$1:$BQ$224,_xlfn.XMATCH(AI$1,'UN Treasury'!$A$1:$BQ$1,-1,1),FALSE)</f>
        <v>30.85</v>
      </c>
      <c r="AJ39">
        <f>VLOOKUP($A39,'UN Treasury'!$A$1:$BQ$224,_xlfn.XMATCH(AJ$1,'UN Treasury'!$A$1:$BQ$1,-1,1),FALSE)</f>
        <v>30.85</v>
      </c>
      <c r="AK39">
        <f>VLOOKUP($A39,'UN Treasury'!$A$1:$BQ$224,_xlfn.XMATCH(AK$1,'UN Treasury'!$A$1:$BQ$1,-1,1),FALSE)</f>
        <v>30.843</v>
      </c>
      <c r="AL39">
        <f>VLOOKUP($A39,'UN Treasury'!$A$1:$BQ$224,_xlfn.XMATCH(AL$1,'UN Treasury'!$A$1:$BQ$1,-1,1),FALSE)</f>
        <v>30.863</v>
      </c>
      <c r="AM39">
        <f>VLOOKUP($A39,'UN Treasury'!$A$1:$BQ$224,_xlfn.XMATCH(AM$1,'UN Treasury'!$A$1:$BQ$1,-1,1),FALSE)</f>
        <v>30.899000000000001</v>
      </c>
      <c r="AN39">
        <f>VLOOKUP($A39,'UN Treasury'!$A$1:$BQ$224,_xlfn.XMATCH(AN$1,'UN Treasury'!$A$1:$BQ$1,-1,1),FALSE)</f>
        <v>30.861000000000001</v>
      </c>
      <c r="AO39">
        <f>VLOOKUP($A39,'UN Treasury'!$A$1:$BQ$224,_xlfn.XMATCH(AO$1,'UN Treasury'!$A$1:$BQ$1,-1,1),FALSE)</f>
        <v>30.875</v>
      </c>
      <c r="AP39">
        <f>VLOOKUP($A39,'UN Treasury'!$A$1:$BQ$224,_xlfn.XMATCH(AP$1,'UN Treasury'!$A$1:$BQ$1,-1,1),FALSE)</f>
        <v>30.861999999999998</v>
      </c>
      <c r="AQ39">
        <f>VLOOKUP($A39,'UN Treasury'!$A$1:$BQ$224,_xlfn.XMATCH(AQ$1,'UN Treasury'!$A$1:$BQ$1,-1,1),FALSE)</f>
        <v>30.86</v>
      </c>
      <c r="AR39">
        <f>VLOOKUP($A39,'UN Treasury'!$A$1:$BQ$224,_xlfn.XMATCH(AR$1,'UN Treasury'!$A$1:$BQ$1,-1,1),FALSE)</f>
        <v>30.4</v>
      </c>
      <c r="AS39">
        <f>VLOOKUP($A39,'UN Treasury'!$A$1:$BQ$224,_xlfn.XMATCH(AS$1,'UN Treasury'!$A$1:$BQ$1,-1,1),FALSE)</f>
        <v>29.75</v>
      </c>
      <c r="AT39">
        <f>VLOOKUP($A39,'UN Treasury'!$A$1:$BQ$224,_xlfn.XMATCH(AT$1,'UN Treasury'!$A$1:$BQ$1,-1,1),FALSE)</f>
        <v>24.591999999999999</v>
      </c>
      <c r="AU39">
        <f>VLOOKUP($A39,'UN Treasury'!$A$1:$BQ$224,_xlfn.XMATCH(AU$1,'UN Treasury'!$A$1:$BQ$1,-1,1),FALSE)</f>
        <v>24.347999999999999</v>
      </c>
      <c r="AV39">
        <f>VLOOKUP($A39,'UN Treasury'!$A$1:$BQ$224,_xlfn.XMATCH(AV$1,'UN Treasury'!$A$1:$BQ$1,-1,1),FALSE)</f>
        <v>19.640999999999998</v>
      </c>
      <c r="AW39">
        <f>VLOOKUP($A39,'UN Treasury'!$A$1:$BQ$224,_xlfn.XMATCH(AW$1,'UN Treasury'!$A$1:$BQ$1,-1,1),FALSE)</f>
        <v>19.306000000000001</v>
      </c>
      <c r="AX39">
        <f>VLOOKUP($A39,'UN Treasury'!$A$1:$BQ$224,_xlfn.XMATCH(AX$1,'UN Treasury'!$A$1:$BQ$1,-1,1),FALSE)</f>
        <v>19.09</v>
      </c>
      <c r="AY39">
        <f>VLOOKUP($A39,'UN Treasury'!$A$1:$BQ$224,_xlfn.XMATCH(AY$1,'UN Treasury'!$A$1:$BQ$1,-1,1),FALSE)</f>
        <v>18.844999999999999</v>
      </c>
      <c r="AZ39">
        <f>VLOOKUP($A39,'UN Treasury'!$A$1:$BQ$224,_xlfn.XMATCH(AZ$1,'UN Treasury'!$A$1:$BQ$1,-1,1),FALSE)</f>
        <v>18.672999999999998</v>
      </c>
      <c r="BA39">
        <f>VLOOKUP($A39,'UN Treasury'!$A$1:$BQ$224,_xlfn.XMATCH(BA$1,'UN Treasury'!$A$1:$BQ$1,-1,1),FALSE)</f>
        <v>18.361000000000001</v>
      </c>
      <c r="BB39">
        <f>VLOOKUP($A39,'UN Treasury'!$A$1:$BQ$224,_xlfn.XMATCH(BB$1,'UN Treasury'!$A$1:$BQ$1,-1,1),FALSE)</f>
        <v>18.457999999999998</v>
      </c>
      <c r="BC39">
        <f>VLOOKUP($A39,'UN Treasury'!$A$1:$BQ$224,_xlfn.XMATCH(BC$1,'UN Treasury'!$A$1:$BQ$1,-1,1),FALSE)</f>
        <v>15.657999999999999</v>
      </c>
      <c r="BD39">
        <f>VLOOKUP($A39,'UN Treasury'!$A$1:$BQ$224,_xlfn.XMATCH(BD$1,'UN Treasury'!$A$1:$BQ$1,-1,1),FALSE)</f>
        <v>15.67</v>
      </c>
      <c r="BE39">
        <f>VLOOKUP($A39,'UN Treasury'!$A$1:$BQ$224,_xlfn.XMATCH(BE$1,'UN Treasury'!$A$1:$BQ$1,-1,1),FALSE)</f>
        <v>15.688000000000001</v>
      </c>
      <c r="BF39">
        <f>VLOOKUP($A39,'UN Treasury'!$A$1:$BQ$224,_xlfn.XMATCH(BF$1,'UN Treasury'!$A$1:$BQ$1,-1,1),FALSE)</f>
        <v>15.669</v>
      </c>
      <c r="BG39">
        <f>VLOOKUP($A39,'UN Treasury'!$A$1:$BQ$224,_xlfn.XMATCH(BG$1,'UN Treasury'!$A$1:$BQ$1,-1,1),FALSE)</f>
        <v>15.664999999999999</v>
      </c>
      <c r="BH39">
        <f>VLOOKUP($A39,'UN Treasury'!$A$1:$BQ$224,_xlfn.XMATCH(BH$1,'UN Treasury'!$A$1:$BQ$1,-1,1),FALSE)</f>
        <v>15.664</v>
      </c>
      <c r="BI39">
        <f>VLOOKUP($A39,'UN Treasury'!$A$1:$BQ$224,_xlfn.XMATCH(BI$1,'UN Treasury'!$A$1:$BQ$1,-1,1),FALSE)</f>
        <v>15.651999999999999</v>
      </c>
      <c r="BJ39">
        <f>VLOOKUP($A39,'UN Treasury'!$A$1:$BQ$224,_xlfn.XMATCH(BJ$1,'UN Treasury'!$A$1:$BQ$1,-1,1),FALSE)</f>
        <v>15.702999999999999</v>
      </c>
      <c r="BK39">
        <f>VLOOKUP($A39,'UN Treasury'!$A$1:$BQ$224,_xlfn.XMATCH(BK$1,'UN Treasury'!$A$1:$BQ$1,-1,1),FALSE)</f>
        <v>15.628</v>
      </c>
      <c r="BL39">
        <f>VLOOKUP($A39,'UN Treasury'!$A$1:$BQ$224,_xlfn.XMATCH(BL$1,'UN Treasury'!$A$1:$BQ$1,-1,1),FALSE)</f>
        <v>15.629</v>
      </c>
      <c r="BM39">
        <f>VLOOKUP($A39,'UN Treasury'!$A$1:$BQ$224,_xlfn.XMATCH(BM$1,'UN Treasury'!$A$1:$BQ$1,-1,1),FALSE)</f>
        <v>15.625</v>
      </c>
      <c r="BN39">
        <f>VLOOKUP($A39,'UN Treasury'!$A$1:$BQ$224,_xlfn.XMATCH(BN$1,'UN Treasury'!$A$1:$BQ$1,-1,1),FALSE)</f>
        <v>15.696999999999999</v>
      </c>
      <c r="BO39">
        <f>VLOOKUP($A39,'UN Treasury'!$A$1:$BQ$224,_xlfn.XMATCH(BO$1,'UN Treasury'!$A$1:$BQ$1,-1,1),FALSE)</f>
        <v>15.648999999999999</v>
      </c>
      <c r="BP39">
        <f>VLOOKUP($A39,'UN Treasury'!$A$1:$BQ$224,_xlfn.XMATCH(BP$1,'UN Treasury'!$A$1:$BQ$1,-1,1),FALSE)</f>
        <v>15.675000000000001</v>
      </c>
      <c r="BQ39">
        <f>VLOOKUP($A39,'UN Treasury'!$A$1:$BQ$224,_xlfn.XMATCH(BQ$1,'UN Treasury'!$A$1:$BQ$1,-1,1),FALSE)</f>
        <v>15.72</v>
      </c>
    </row>
    <row r="40" spans="1:69" x14ac:dyDescent="0.25">
      <c r="A40" t="s">
        <v>110</v>
      </c>
      <c r="B40">
        <f>VLOOKUP($A40,'UN Treasury'!$A$1:$BQ$224,_xlfn.XMATCH(B$1,'UN Treasury'!$A$1:$BQ$1,-1,1),FALSE)</f>
        <v>15</v>
      </c>
      <c r="C40">
        <f>VLOOKUP($A40,'UN Treasury'!$A$1:$BQ$224,_xlfn.XMATCH(C$1,'UN Treasury'!$A$1:$BQ$1,-1,1),FALSE)</f>
        <v>15</v>
      </c>
      <c r="D40">
        <f>VLOOKUP($A40,'UN Treasury'!$A$1:$BQ$224,_xlfn.XMATCH(D$1,'UN Treasury'!$A$1:$BQ$1,-1,1),FALSE)</f>
        <v>15</v>
      </c>
      <c r="E40">
        <f>VLOOKUP($A40,'UN Treasury'!$A$1:$BQ$224,_xlfn.XMATCH(E$1,'UN Treasury'!$A$1:$BQ$1,-1,1),FALSE)</f>
        <v>15</v>
      </c>
      <c r="F40">
        <f>VLOOKUP($A40,'UN Treasury'!$A$1:$BQ$224,_xlfn.XMATCH(F$1,'UN Treasury'!$A$1:$BQ$1,-1,1),FALSE)</f>
        <v>15</v>
      </c>
      <c r="G40">
        <f>VLOOKUP($A40,'UN Treasury'!$A$1:$BQ$224,_xlfn.XMATCH(G$1,'UN Treasury'!$A$1:$BQ$1,-1,1),FALSE)</f>
        <v>15</v>
      </c>
      <c r="H40">
        <f>VLOOKUP($A40,'UN Treasury'!$A$1:$BQ$224,_xlfn.XMATCH(H$1,'UN Treasury'!$A$1:$BQ$1,-1,1),FALSE)</f>
        <v>15</v>
      </c>
      <c r="I40">
        <f>VLOOKUP($A40,'UN Treasury'!$A$1:$BQ$224,_xlfn.XMATCH(I$1,'UN Treasury'!$A$1:$BQ$1,-1,1),FALSE)</f>
        <v>15</v>
      </c>
      <c r="J40">
        <f>VLOOKUP($A40,'UN Treasury'!$A$1:$BQ$224,_xlfn.XMATCH(J$1,'UN Treasury'!$A$1:$BQ$1,-1,1),FALSE)</f>
        <v>15</v>
      </c>
      <c r="K40">
        <f>VLOOKUP($A40,'UN Treasury'!$A$1:$BQ$224,_xlfn.XMATCH(K$1,'UN Treasury'!$A$1:$BQ$1,-1,1),FALSE)</f>
        <v>15</v>
      </c>
      <c r="L40">
        <f>VLOOKUP($A40,'UN Treasury'!$A$1:$BQ$224,_xlfn.XMATCH(L$1,'UN Treasury'!$A$1:$BQ$1,-1,1),FALSE)</f>
        <v>15</v>
      </c>
      <c r="M40">
        <f>VLOOKUP($A40,'UN Treasury'!$A$1:$BQ$224,_xlfn.XMATCH(M$1,'UN Treasury'!$A$1:$BQ$1,-1,1),FALSE)</f>
        <v>15</v>
      </c>
      <c r="N40">
        <f>VLOOKUP($A40,'UN Treasury'!$A$1:$BQ$224,_xlfn.XMATCH(N$1,'UN Treasury'!$A$1:$BQ$1,-1,1),FALSE)</f>
        <v>15</v>
      </c>
      <c r="O40">
        <f>VLOOKUP($A40,'UN Treasury'!$A$1:$BQ$224,_xlfn.XMATCH(O$1,'UN Treasury'!$A$1:$BQ$1,-1,1),FALSE)</f>
        <v>15</v>
      </c>
      <c r="P40">
        <f>VLOOKUP($A40,'UN Treasury'!$A$1:$BQ$224,_xlfn.XMATCH(P$1,'UN Treasury'!$A$1:$BQ$1,-1,1),FALSE)</f>
        <v>15</v>
      </c>
      <c r="Q40">
        <f>VLOOKUP($A40,'UN Treasury'!$A$1:$BQ$224,_xlfn.XMATCH(Q$1,'UN Treasury'!$A$1:$BQ$1,-1,1),FALSE)</f>
        <v>15</v>
      </c>
      <c r="R40">
        <f>VLOOKUP($A40,'UN Treasury'!$A$1:$BQ$224,_xlfn.XMATCH(R$1,'UN Treasury'!$A$1:$BQ$1,-1,1),FALSE)</f>
        <v>15</v>
      </c>
      <c r="S40">
        <f>VLOOKUP($A40,'UN Treasury'!$A$1:$BQ$224,_xlfn.XMATCH(S$1,'UN Treasury'!$A$1:$BQ$1,-1,1),FALSE)</f>
        <v>15</v>
      </c>
      <c r="T40">
        <f>VLOOKUP($A40,'UN Treasury'!$A$1:$BQ$224,_xlfn.XMATCH(T$1,'UN Treasury'!$A$1:$BQ$1,-1,1),FALSE)</f>
        <v>15</v>
      </c>
      <c r="U40">
        <f>VLOOKUP($A40,'UN Treasury'!$A$1:$BQ$224,_xlfn.XMATCH(U$1,'UN Treasury'!$A$1:$BQ$1,-1,1),FALSE)</f>
        <v>15</v>
      </c>
      <c r="V40">
        <f>VLOOKUP($A40,'UN Treasury'!$A$1:$BQ$224,_xlfn.XMATCH(V$1,'UN Treasury'!$A$1:$BQ$1,-1,1),FALSE)</f>
        <v>15</v>
      </c>
      <c r="W40">
        <f>VLOOKUP($A40,'UN Treasury'!$A$1:$BQ$224,_xlfn.XMATCH(W$1,'UN Treasury'!$A$1:$BQ$1,-1,1),FALSE)</f>
        <v>15</v>
      </c>
      <c r="X40">
        <f>VLOOKUP($A40,'UN Treasury'!$A$1:$BQ$224,_xlfn.XMATCH(X$1,'UN Treasury'!$A$1:$BQ$1,-1,1),FALSE)</f>
        <v>15</v>
      </c>
      <c r="Y40">
        <f>VLOOKUP($A40,'UN Treasury'!$A$1:$BQ$224,_xlfn.XMATCH(Y$1,'UN Treasury'!$A$1:$BQ$1,-1,1),FALSE)</f>
        <v>15</v>
      </c>
      <c r="Z40">
        <f>VLOOKUP($A40,'UN Treasury'!$A$1:$BQ$224,_xlfn.XMATCH(Z$1,'UN Treasury'!$A$1:$BQ$1,-1,1),FALSE)</f>
        <v>15</v>
      </c>
      <c r="AA40">
        <f>VLOOKUP($A40,'UN Treasury'!$A$1:$BQ$224,_xlfn.XMATCH(AA$1,'UN Treasury'!$A$1:$BQ$1,-1,1),FALSE)</f>
        <v>15</v>
      </c>
      <c r="AB40">
        <f>VLOOKUP($A40,'UN Treasury'!$A$1:$BQ$224,_xlfn.XMATCH(AB$1,'UN Treasury'!$A$1:$BQ$1,-1,1),FALSE)</f>
        <v>15</v>
      </c>
      <c r="AC40">
        <f>VLOOKUP($A40,'UN Treasury'!$A$1:$BQ$224,_xlfn.XMATCH(AC$1,'UN Treasury'!$A$1:$BQ$1,-1,1),FALSE)</f>
        <v>15</v>
      </c>
      <c r="AD40">
        <f>VLOOKUP($A40,'UN Treasury'!$A$1:$BQ$224,_xlfn.XMATCH(AD$1,'UN Treasury'!$A$1:$BQ$1,-1,1),FALSE)</f>
        <v>15</v>
      </c>
      <c r="AE40">
        <f>VLOOKUP($A40,'UN Treasury'!$A$1:$BQ$224,_xlfn.XMATCH(AE$1,'UN Treasury'!$A$1:$BQ$1,-1,1),FALSE)</f>
        <v>15</v>
      </c>
      <c r="AF40">
        <f>VLOOKUP($A40,'UN Treasury'!$A$1:$BQ$224,_xlfn.XMATCH(AF$1,'UN Treasury'!$A$1:$BQ$1,-1,1),FALSE)</f>
        <v>15</v>
      </c>
      <c r="AG40">
        <f>VLOOKUP($A40,'UN Treasury'!$A$1:$BQ$224,_xlfn.XMATCH(AG$1,'UN Treasury'!$A$1:$BQ$1,-1,1),FALSE)</f>
        <v>15</v>
      </c>
      <c r="AH40">
        <f>VLOOKUP($A40,'UN Treasury'!$A$1:$BQ$224,_xlfn.XMATCH(AH$1,'UN Treasury'!$A$1:$BQ$1,-1,1),FALSE)</f>
        <v>15</v>
      </c>
      <c r="AI40">
        <f>VLOOKUP($A40,'UN Treasury'!$A$1:$BQ$224,_xlfn.XMATCH(AI$1,'UN Treasury'!$A$1:$BQ$1,-1,1),FALSE)</f>
        <v>15</v>
      </c>
      <c r="AJ40">
        <f>VLOOKUP($A40,'UN Treasury'!$A$1:$BQ$224,_xlfn.XMATCH(AJ$1,'UN Treasury'!$A$1:$BQ$1,-1,1),FALSE)</f>
        <v>15</v>
      </c>
      <c r="AK40">
        <f>VLOOKUP($A40,'UN Treasury'!$A$1:$BQ$224,_xlfn.XMATCH(AK$1,'UN Treasury'!$A$1:$BQ$1,-1,1),FALSE)</f>
        <v>15</v>
      </c>
      <c r="AL40">
        <f>VLOOKUP($A40,'UN Treasury'!$A$1:$BQ$224,_xlfn.XMATCH(AL$1,'UN Treasury'!$A$1:$BQ$1,-1,1),FALSE)</f>
        <v>15</v>
      </c>
      <c r="AM40">
        <f>VLOOKUP($A40,'UN Treasury'!$A$1:$BQ$224,_xlfn.XMATCH(AM$1,'UN Treasury'!$A$1:$BQ$1,-1,1),FALSE)</f>
        <v>15</v>
      </c>
      <c r="AN40">
        <f>VLOOKUP($A40,'UN Treasury'!$A$1:$BQ$224,_xlfn.XMATCH(AN$1,'UN Treasury'!$A$1:$BQ$1,-1,1),FALSE)</f>
        <v>15</v>
      </c>
      <c r="AO40">
        <f>VLOOKUP($A40,'UN Treasury'!$A$1:$BQ$224,_xlfn.XMATCH(AO$1,'UN Treasury'!$A$1:$BQ$1,-1,1),FALSE)</f>
        <v>15</v>
      </c>
      <c r="AP40">
        <f>VLOOKUP($A40,'UN Treasury'!$A$1:$BQ$224,_xlfn.XMATCH(AP$1,'UN Treasury'!$A$1:$BQ$1,-1,1),FALSE)</f>
        <v>15</v>
      </c>
      <c r="AQ40">
        <f>VLOOKUP($A40,'UN Treasury'!$A$1:$BQ$224,_xlfn.XMATCH(AQ$1,'UN Treasury'!$A$1:$BQ$1,-1,1),FALSE)</f>
        <v>15</v>
      </c>
      <c r="AR40">
        <f>VLOOKUP($A40,'UN Treasury'!$A$1:$BQ$224,_xlfn.XMATCH(AR$1,'UN Treasury'!$A$1:$BQ$1,-1,1),FALSE)</f>
        <v>15</v>
      </c>
      <c r="AS40">
        <f>VLOOKUP($A40,'UN Treasury'!$A$1:$BQ$224,_xlfn.XMATCH(AS$1,'UN Treasury'!$A$1:$BQ$1,-1,1),FALSE)</f>
        <v>15</v>
      </c>
      <c r="AT40">
        <f>VLOOKUP($A40,'UN Treasury'!$A$1:$BQ$224,_xlfn.XMATCH(AT$1,'UN Treasury'!$A$1:$BQ$1,-1,1),FALSE)</f>
        <v>15</v>
      </c>
      <c r="AU40">
        <f>VLOOKUP($A40,'UN Treasury'!$A$1:$BQ$224,_xlfn.XMATCH(AU$1,'UN Treasury'!$A$1:$BQ$1,-1,1),FALSE)</f>
        <v>15</v>
      </c>
      <c r="AV40">
        <f>VLOOKUP($A40,'UN Treasury'!$A$1:$BQ$224,_xlfn.XMATCH(AV$1,'UN Treasury'!$A$1:$BQ$1,-1,1),FALSE)</f>
        <v>15</v>
      </c>
      <c r="AW40">
        <f>VLOOKUP($A40,'UN Treasury'!$A$1:$BQ$224,_xlfn.XMATCH(AW$1,'UN Treasury'!$A$1:$BQ$1,-1,1),FALSE)</f>
        <v>15</v>
      </c>
      <c r="AX40">
        <f>VLOOKUP($A40,'UN Treasury'!$A$1:$BQ$224,_xlfn.XMATCH(AX$1,'UN Treasury'!$A$1:$BQ$1,-1,1),FALSE)</f>
        <v>15</v>
      </c>
      <c r="AY40">
        <f>VLOOKUP($A40,'UN Treasury'!$A$1:$BQ$224,_xlfn.XMATCH(AY$1,'UN Treasury'!$A$1:$BQ$1,-1,1),FALSE)</f>
        <v>15</v>
      </c>
      <c r="AZ40">
        <f>VLOOKUP($A40,'UN Treasury'!$A$1:$BQ$224,_xlfn.XMATCH(AZ$1,'UN Treasury'!$A$1:$BQ$1,-1,1),FALSE)</f>
        <v>15</v>
      </c>
      <c r="BA40">
        <f>VLOOKUP($A40,'UN Treasury'!$A$1:$BQ$224,_xlfn.XMATCH(BA$1,'UN Treasury'!$A$1:$BQ$1,-1,1),FALSE)</f>
        <v>15</v>
      </c>
      <c r="BB40">
        <f>VLOOKUP($A40,'UN Treasury'!$A$1:$BQ$224,_xlfn.XMATCH(BB$1,'UN Treasury'!$A$1:$BQ$1,-1,1),FALSE)</f>
        <v>15</v>
      </c>
      <c r="BC40">
        <f>VLOOKUP($A40,'UN Treasury'!$A$1:$BQ$224,_xlfn.XMATCH(BC$1,'UN Treasury'!$A$1:$BQ$1,-1,1),FALSE)</f>
        <v>15</v>
      </c>
      <c r="BD40">
        <f>VLOOKUP($A40,'UN Treasury'!$A$1:$BQ$224,_xlfn.XMATCH(BD$1,'UN Treasury'!$A$1:$BQ$1,-1,1),FALSE)</f>
        <v>15</v>
      </c>
      <c r="BE40">
        <f>VLOOKUP($A40,'UN Treasury'!$A$1:$BQ$224,_xlfn.XMATCH(BE$1,'UN Treasury'!$A$1:$BQ$1,-1,1),FALSE)</f>
        <v>15</v>
      </c>
      <c r="BF40">
        <f>VLOOKUP($A40,'UN Treasury'!$A$1:$BQ$224,_xlfn.XMATCH(BF$1,'UN Treasury'!$A$1:$BQ$1,-1,1),FALSE)</f>
        <v>15</v>
      </c>
      <c r="BG40">
        <f>VLOOKUP($A40,'UN Treasury'!$A$1:$BQ$224,_xlfn.XMATCH(BG$1,'UN Treasury'!$A$1:$BQ$1,-1,1),FALSE)</f>
        <v>15</v>
      </c>
      <c r="BH40">
        <f>VLOOKUP($A40,'UN Treasury'!$A$1:$BQ$224,_xlfn.XMATCH(BH$1,'UN Treasury'!$A$1:$BQ$1,-1,1),FALSE)</f>
        <v>15</v>
      </c>
      <c r="BI40">
        <f>VLOOKUP($A40,'UN Treasury'!$A$1:$BQ$224,_xlfn.XMATCH(BI$1,'UN Treasury'!$A$1:$BQ$1,-1,1),FALSE)</f>
        <v>15</v>
      </c>
      <c r="BJ40">
        <f>VLOOKUP($A40,'UN Treasury'!$A$1:$BQ$224,_xlfn.XMATCH(BJ$1,'UN Treasury'!$A$1:$BQ$1,-1,1),FALSE)</f>
        <v>15</v>
      </c>
      <c r="BK40">
        <f>VLOOKUP($A40,'UN Treasury'!$A$1:$BQ$224,_xlfn.XMATCH(BK$1,'UN Treasury'!$A$1:$BQ$1,-1,1),FALSE)</f>
        <v>15</v>
      </c>
      <c r="BL40">
        <f>VLOOKUP($A40,'UN Treasury'!$A$1:$BQ$224,_xlfn.XMATCH(BL$1,'UN Treasury'!$A$1:$BQ$1,-1,1),FALSE)</f>
        <v>15</v>
      </c>
      <c r="BM40">
        <f>VLOOKUP($A40,'UN Treasury'!$A$1:$BQ$224,_xlfn.XMATCH(BM$1,'UN Treasury'!$A$1:$BQ$1,-1,1),FALSE)</f>
        <v>15</v>
      </c>
      <c r="BN40">
        <f>VLOOKUP($A40,'UN Treasury'!$A$1:$BQ$224,_xlfn.XMATCH(BN$1,'UN Treasury'!$A$1:$BQ$1,-1,1),FALSE)</f>
        <v>15</v>
      </c>
      <c r="BO40">
        <f>VLOOKUP($A40,'UN Treasury'!$A$1:$BQ$224,_xlfn.XMATCH(BO$1,'UN Treasury'!$A$1:$BQ$1,-1,1),FALSE)</f>
        <v>15</v>
      </c>
      <c r="BP40">
        <f>VLOOKUP($A40,'UN Treasury'!$A$1:$BQ$224,_xlfn.XMATCH(BP$1,'UN Treasury'!$A$1:$BQ$1,-1,1),FALSE)</f>
        <v>15</v>
      </c>
      <c r="BQ40">
        <f>VLOOKUP($A40,'UN Treasury'!$A$1:$BQ$224,_xlfn.XMATCH(BQ$1,'UN Treasury'!$A$1:$BQ$1,-1,1),FALSE)</f>
        <v>15</v>
      </c>
    </row>
    <row r="41" spans="1:69" x14ac:dyDescent="0.25">
      <c r="A41" t="s">
        <v>112</v>
      </c>
      <c r="B41">
        <f>VLOOKUP($A41,'UN Treasury'!$A$1:$BQ$224,_xlfn.XMATCH(B$1,'UN Treasury'!$A$1:$BQ$1,-1,1),FALSE)</f>
        <v>159.98400000000001</v>
      </c>
      <c r="C41">
        <f>VLOOKUP($A41,'UN Treasury'!$A$1:$BQ$224,_xlfn.XMATCH(C$1,'UN Treasury'!$A$1:$BQ$1,-1,1),FALSE)</f>
        <v>158.91200000000001</v>
      </c>
      <c r="D41">
        <f>VLOOKUP($A41,'UN Treasury'!$A$1:$BQ$224,_xlfn.XMATCH(D$1,'UN Treasury'!$A$1:$BQ$1,-1,1),FALSE)</f>
        <v>158.44800000000001</v>
      </c>
      <c r="E41">
        <f>VLOOKUP($A41,'UN Treasury'!$A$1:$BQ$224,_xlfn.XMATCH(E$1,'UN Treasury'!$A$1:$BQ$1,-1,1),FALSE)</f>
        <v>156.62</v>
      </c>
      <c r="F41">
        <f>VLOOKUP($A41,'UN Treasury'!$A$1:$BQ$224,_xlfn.XMATCH(F$1,'UN Treasury'!$A$1:$BQ$1,-1,1),FALSE)</f>
        <v>156.476</v>
      </c>
      <c r="G41">
        <f>VLOOKUP($A41,'UN Treasury'!$A$1:$BQ$224,_xlfn.XMATCH(G$1,'UN Treasury'!$A$1:$BQ$1,-1,1),FALSE)</f>
        <v>155.66499999999999</v>
      </c>
      <c r="H41">
        <f>VLOOKUP($A41,'UN Treasury'!$A$1:$BQ$224,_xlfn.XMATCH(H$1,'UN Treasury'!$A$1:$BQ$1,-1,1),FALSE)</f>
        <v>155.15799999999999</v>
      </c>
      <c r="I41">
        <f>VLOOKUP($A41,'UN Treasury'!$A$1:$BQ$224,_xlfn.XMATCH(I$1,'UN Treasury'!$A$1:$BQ$1,-1,1),FALSE)</f>
        <v>154.83799999999999</v>
      </c>
      <c r="J41">
        <f>VLOOKUP($A41,'UN Treasury'!$A$1:$BQ$224,_xlfn.XMATCH(J$1,'UN Treasury'!$A$1:$BQ$1,-1,1),FALSE)</f>
        <v>153.767</v>
      </c>
      <c r="K41">
        <f>VLOOKUP($A41,'UN Treasury'!$A$1:$BQ$224,_xlfn.XMATCH(K$1,'UN Treasury'!$A$1:$BQ$1,-1,1),FALSE)</f>
        <v>151.92400000000001</v>
      </c>
      <c r="L41">
        <f>VLOOKUP($A41,'UN Treasury'!$A$1:$BQ$224,_xlfn.XMATCH(L$1,'UN Treasury'!$A$1:$BQ$1,-1,1),FALSE)</f>
        <v>146.41999999999999</v>
      </c>
      <c r="M41">
        <f>VLOOKUP($A41,'UN Treasury'!$A$1:$BQ$224,_xlfn.XMATCH(M$1,'UN Treasury'!$A$1:$BQ$1,-1,1),FALSE)</f>
        <v>141.95099999999999</v>
      </c>
      <c r="N41">
        <f>VLOOKUP($A41,'UN Treasury'!$A$1:$BQ$224,_xlfn.XMATCH(N$1,'UN Treasury'!$A$1:$BQ$1,-1,1),FALSE)</f>
        <v>138.58699999999999</v>
      </c>
      <c r="O41">
        <f>VLOOKUP($A41,'UN Treasury'!$A$1:$BQ$224,_xlfn.XMATCH(O$1,'UN Treasury'!$A$1:$BQ$1,-1,1),FALSE)</f>
        <v>135.935</v>
      </c>
      <c r="P41">
        <f>VLOOKUP($A41,'UN Treasury'!$A$1:$BQ$224,_xlfn.XMATCH(P$1,'UN Treasury'!$A$1:$BQ$1,-1,1),FALSE)</f>
        <v>134.42400000000001</v>
      </c>
      <c r="Q41">
        <f>VLOOKUP($A41,'UN Treasury'!$A$1:$BQ$224,_xlfn.XMATCH(Q$1,'UN Treasury'!$A$1:$BQ$1,-1,1),FALSE)</f>
        <v>131.25299999999999</v>
      </c>
      <c r="R41">
        <f>VLOOKUP($A41,'UN Treasury'!$A$1:$BQ$224,_xlfn.XMATCH(R$1,'UN Treasury'!$A$1:$BQ$1,-1,1),FALSE)</f>
        <v>129.43600000000001</v>
      </c>
      <c r="S41">
        <f>VLOOKUP($A41,'UN Treasury'!$A$1:$BQ$224,_xlfn.XMATCH(S$1,'UN Treasury'!$A$1:$BQ$1,-1,1),FALSE)</f>
        <v>128.15199999999999</v>
      </c>
      <c r="T41">
        <f>VLOOKUP($A41,'UN Treasury'!$A$1:$BQ$224,_xlfn.XMATCH(T$1,'UN Treasury'!$A$1:$BQ$1,-1,1),FALSE)</f>
        <v>126.491</v>
      </c>
      <c r="U41">
        <f>VLOOKUP($A41,'UN Treasury'!$A$1:$BQ$224,_xlfn.XMATCH(U$1,'UN Treasury'!$A$1:$BQ$1,-1,1),FALSE)</f>
        <v>126.23</v>
      </c>
      <c r="V41">
        <f>VLOOKUP($A41,'UN Treasury'!$A$1:$BQ$224,_xlfn.XMATCH(V$1,'UN Treasury'!$A$1:$BQ$1,-1,1),FALSE)</f>
        <v>125.002</v>
      </c>
      <c r="W41">
        <f>VLOOKUP($A41,'UN Treasury'!$A$1:$BQ$224,_xlfn.XMATCH(W$1,'UN Treasury'!$A$1:$BQ$1,-1,1),FALSE)</f>
        <v>121.1</v>
      </c>
      <c r="X41">
        <f>VLOOKUP($A41,'UN Treasury'!$A$1:$BQ$224,_xlfn.XMATCH(X$1,'UN Treasury'!$A$1:$BQ$1,-1,1),FALSE)</f>
        <v>116.723</v>
      </c>
      <c r="Y41">
        <f>VLOOKUP($A41,'UN Treasury'!$A$1:$BQ$224,_xlfn.XMATCH(Y$1,'UN Treasury'!$A$1:$BQ$1,-1,1),FALSE)</f>
        <v>109.749</v>
      </c>
      <c r="Z41">
        <f>VLOOKUP($A41,'UN Treasury'!$A$1:$BQ$224,_xlfn.XMATCH(Z$1,'UN Treasury'!$A$1:$BQ$1,-1,1),FALSE)</f>
        <v>101.20099999999999</v>
      </c>
      <c r="AA41">
        <f>VLOOKUP($A41,'UN Treasury'!$A$1:$BQ$224,_xlfn.XMATCH(AA$1,'UN Treasury'!$A$1:$BQ$1,-1,1),FALSE)</f>
        <v>57.402000000000001</v>
      </c>
      <c r="AB41">
        <f>VLOOKUP($A41,'UN Treasury'!$A$1:$BQ$224,_xlfn.XMATCH(AB$1,'UN Treasury'!$A$1:$BQ$1,-1,1),FALSE)</f>
        <v>57.164999999999999</v>
      </c>
      <c r="AC41">
        <f>VLOOKUP($A41,'UN Treasury'!$A$1:$BQ$224,_xlfn.XMATCH(AC$1,'UN Treasury'!$A$1:$BQ$1,-1,1),FALSE)</f>
        <v>56.963000000000001</v>
      </c>
      <c r="AD41">
        <f>VLOOKUP($A41,'UN Treasury'!$A$1:$BQ$224,_xlfn.XMATCH(AD$1,'UN Treasury'!$A$1:$BQ$1,-1,1),FALSE)</f>
        <v>56.823</v>
      </c>
      <c r="AE41">
        <f>VLOOKUP($A41,'UN Treasury'!$A$1:$BQ$224,_xlfn.XMATCH(AE$1,'UN Treasury'!$A$1:$BQ$1,-1,1),FALSE)</f>
        <v>56.531999999999996</v>
      </c>
      <c r="AF41">
        <f>VLOOKUP($A41,'UN Treasury'!$A$1:$BQ$224,_xlfn.XMATCH(AF$1,'UN Treasury'!$A$1:$BQ$1,-1,1),FALSE)</f>
        <v>56.292000000000002</v>
      </c>
      <c r="AG41">
        <f>VLOOKUP($A41,'UN Treasury'!$A$1:$BQ$224,_xlfn.XMATCH(AG$1,'UN Treasury'!$A$1:$BQ$1,-1,1),FALSE)</f>
        <v>56.008000000000003</v>
      </c>
      <c r="AH41">
        <f>VLOOKUP($A41,'UN Treasury'!$A$1:$BQ$224,_xlfn.XMATCH(AH$1,'UN Treasury'!$A$1:$BQ$1,-1,1),FALSE)</f>
        <v>55.777000000000001</v>
      </c>
      <c r="AI41">
        <f>VLOOKUP($A41,'UN Treasury'!$A$1:$BQ$224,_xlfn.XMATCH(AI$1,'UN Treasury'!$A$1:$BQ$1,-1,1),FALSE)</f>
        <v>55.606999999999999</v>
      </c>
      <c r="AJ41">
        <f>VLOOKUP($A41,'UN Treasury'!$A$1:$BQ$224,_xlfn.XMATCH(AJ$1,'UN Treasury'!$A$1:$BQ$1,-1,1),FALSE)</f>
        <v>55.293999999999997</v>
      </c>
      <c r="AK41">
        <f>VLOOKUP($A41,'UN Treasury'!$A$1:$BQ$224,_xlfn.XMATCH(AK$1,'UN Treasury'!$A$1:$BQ$1,-1,1),FALSE)</f>
        <v>55.088000000000001</v>
      </c>
      <c r="AL41">
        <f>VLOOKUP($A41,'UN Treasury'!$A$1:$BQ$224,_xlfn.XMATCH(AL$1,'UN Treasury'!$A$1:$BQ$1,-1,1),FALSE)</f>
        <v>54.877000000000002</v>
      </c>
      <c r="AM41">
        <f>VLOOKUP($A41,'UN Treasury'!$A$1:$BQ$224,_xlfn.XMATCH(AM$1,'UN Treasury'!$A$1:$BQ$1,-1,1),FALSE)</f>
        <v>54.66</v>
      </c>
      <c r="AN41">
        <f>VLOOKUP($A41,'UN Treasury'!$A$1:$BQ$224,_xlfn.XMATCH(AN$1,'UN Treasury'!$A$1:$BQ$1,-1,1),FALSE)</f>
        <v>54.457999999999998</v>
      </c>
      <c r="AO41">
        <f>VLOOKUP($A41,'UN Treasury'!$A$1:$BQ$224,_xlfn.XMATCH(AO$1,'UN Treasury'!$A$1:$BQ$1,-1,1),FALSE)</f>
        <v>54.134</v>
      </c>
      <c r="AP41">
        <f>VLOOKUP($A41,'UN Treasury'!$A$1:$BQ$224,_xlfn.XMATCH(AP$1,'UN Treasury'!$A$1:$BQ$1,-1,1),FALSE)</f>
        <v>53.96</v>
      </c>
      <c r="AQ41">
        <f>VLOOKUP($A41,'UN Treasury'!$A$1:$BQ$224,_xlfn.XMATCH(AQ$1,'UN Treasury'!$A$1:$BQ$1,-1,1),FALSE)</f>
        <v>53.726999999999997</v>
      </c>
      <c r="AR41">
        <f>VLOOKUP($A41,'UN Treasury'!$A$1:$BQ$224,_xlfn.XMATCH(AR$1,'UN Treasury'!$A$1:$BQ$1,-1,1),FALSE)</f>
        <v>53.514000000000003</v>
      </c>
      <c r="AS41">
        <f>VLOOKUP($A41,'UN Treasury'!$A$1:$BQ$224,_xlfn.XMATCH(AS$1,'UN Treasury'!$A$1:$BQ$1,-1,1),FALSE)</f>
        <v>53.335000000000001</v>
      </c>
      <c r="AT41">
        <f>VLOOKUP($A41,'UN Treasury'!$A$1:$BQ$224,_xlfn.XMATCH(AT$1,'UN Treasury'!$A$1:$BQ$1,-1,1),FALSE)</f>
        <v>53.173999999999999</v>
      </c>
      <c r="AU41">
        <f>VLOOKUP($A41,'UN Treasury'!$A$1:$BQ$224,_xlfn.XMATCH(AU$1,'UN Treasury'!$A$1:$BQ$1,-1,1),FALSE)</f>
        <v>52.917000000000002</v>
      </c>
      <c r="AV41">
        <f>VLOOKUP($A41,'UN Treasury'!$A$1:$BQ$224,_xlfn.XMATCH(AV$1,'UN Treasury'!$A$1:$BQ$1,-1,1),FALSE)</f>
        <v>52.673999999999999</v>
      </c>
      <c r="AW41">
        <f>VLOOKUP($A41,'UN Treasury'!$A$1:$BQ$224,_xlfn.XMATCH(AW$1,'UN Treasury'!$A$1:$BQ$1,-1,1),FALSE)</f>
        <v>52.517000000000003</v>
      </c>
      <c r="AX41">
        <f>VLOOKUP($A41,'UN Treasury'!$A$1:$BQ$224,_xlfn.XMATCH(AX$1,'UN Treasury'!$A$1:$BQ$1,-1,1),FALSE)</f>
        <v>52.216000000000001</v>
      </c>
      <c r="AY41">
        <f>VLOOKUP($A41,'UN Treasury'!$A$1:$BQ$224,_xlfn.XMATCH(AY$1,'UN Treasury'!$A$1:$BQ$1,-1,1),FALSE)</f>
        <v>51.999000000000002</v>
      </c>
      <c r="AZ41">
        <f>VLOOKUP($A41,'UN Treasury'!$A$1:$BQ$224,_xlfn.XMATCH(AZ$1,'UN Treasury'!$A$1:$BQ$1,-1,1),FALSE)</f>
        <v>51.694000000000003</v>
      </c>
      <c r="BA41">
        <f>VLOOKUP($A41,'UN Treasury'!$A$1:$BQ$224,_xlfn.XMATCH(BA$1,'UN Treasury'!$A$1:$BQ$1,-1,1),FALSE)</f>
        <v>51.457000000000001</v>
      </c>
      <c r="BB41">
        <f>VLOOKUP($A41,'UN Treasury'!$A$1:$BQ$224,_xlfn.XMATCH(BB$1,'UN Treasury'!$A$1:$BQ$1,-1,1),FALSE)</f>
        <v>51.095999999999997</v>
      </c>
      <c r="BC41">
        <f>VLOOKUP($A41,'UN Treasury'!$A$1:$BQ$224,_xlfn.XMATCH(BC$1,'UN Treasury'!$A$1:$BQ$1,-1,1),FALSE)</f>
        <v>50.828000000000003</v>
      </c>
      <c r="BD41">
        <f>VLOOKUP($A41,'UN Treasury'!$A$1:$BQ$224,_xlfn.XMATCH(BD$1,'UN Treasury'!$A$1:$BQ$1,-1,1),FALSE)</f>
        <v>50.262</v>
      </c>
      <c r="BE41">
        <f>VLOOKUP($A41,'UN Treasury'!$A$1:$BQ$224,_xlfn.XMATCH(BE$1,'UN Treasury'!$A$1:$BQ$1,-1,1),FALSE)</f>
        <v>49.359000000000002</v>
      </c>
      <c r="BF41">
        <f>VLOOKUP($A41,'UN Treasury'!$A$1:$BQ$224,_xlfn.XMATCH(BF$1,'UN Treasury'!$A$1:$BQ$1,-1,1),FALSE)</f>
        <v>47.478999999999999</v>
      </c>
      <c r="BG41">
        <f>VLOOKUP($A41,'UN Treasury'!$A$1:$BQ$224,_xlfn.XMATCH(BG$1,'UN Treasury'!$A$1:$BQ$1,-1,1),FALSE)</f>
        <v>46.505000000000003</v>
      </c>
      <c r="BH41">
        <f>VLOOKUP($A41,'UN Treasury'!$A$1:$BQ$224,_xlfn.XMATCH(BH$1,'UN Treasury'!$A$1:$BQ$1,-1,1),FALSE)</f>
        <v>45.981999999999999</v>
      </c>
      <c r="BI41">
        <f>VLOOKUP($A41,'UN Treasury'!$A$1:$BQ$224,_xlfn.XMATCH(BI$1,'UN Treasury'!$A$1:$BQ$1,-1,1),FALSE)</f>
        <v>45.332000000000001</v>
      </c>
      <c r="BJ41">
        <f>VLOOKUP($A41,'UN Treasury'!$A$1:$BQ$224,_xlfn.XMATCH(BJ$1,'UN Treasury'!$A$1:$BQ$1,-1,1),FALSE)</f>
        <v>44.183999999999997</v>
      </c>
      <c r="BK41">
        <f>VLOOKUP($A41,'UN Treasury'!$A$1:$BQ$224,_xlfn.XMATCH(BK$1,'UN Treasury'!$A$1:$BQ$1,-1,1),FALSE)</f>
        <v>43.597000000000001</v>
      </c>
      <c r="BL41">
        <f>VLOOKUP($A41,'UN Treasury'!$A$1:$BQ$224,_xlfn.XMATCH(BL$1,'UN Treasury'!$A$1:$BQ$1,-1,1),FALSE)</f>
        <v>43.173999999999999</v>
      </c>
      <c r="BM41">
        <f>VLOOKUP($A41,'UN Treasury'!$A$1:$BQ$224,_xlfn.XMATCH(BM$1,'UN Treasury'!$A$1:$BQ$1,-1,1),FALSE)</f>
        <v>41.914999999999999</v>
      </c>
      <c r="BN41">
        <f>VLOOKUP($A41,'UN Treasury'!$A$1:$BQ$224,_xlfn.XMATCH(BN$1,'UN Treasury'!$A$1:$BQ$1,-1,1),FALSE)</f>
        <v>40.832999999999998</v>
      </c>
      <c r="BO41">
        <f>VLOOKUP($A41,'UN Treasury'!$A$1:$BQ$224,_xlfn.XMATCH(BO$1,'UN Treasury'!$A$1:$BQ$1,-1,1),FALSE)</f>
        <v>39.950000000000003</v>
      </c>
      <c r="BP41">
        <f>VLOOKUP($A41,'UN Treasury'!$A$1:$BQ$224,_xlfn.XMATCH(BP$1,'UN Treasury'!$A$1:$BQ$1,-1,1),FALSE)</f>
        <v>39.347000000000001</v>
      </c>
      <c r="BQ41">
        <f>VLOOKUP($A41,'UN Treasury'!$A$1:$BQ$224,_xlfn.XMATCH(BQ$1,'UN Treasury'!$A$1:$BQ$1,-1,1),FALSE)</f>
        <v>39.091999999999999</v>
      </c>
    </row>
    <row r="42" spans="1:69" x14ac:dyDescent="0.25">
      <c r="A42" t="s">
        <v>45</v>
      </c>
      <c r="B42">
        <f>VLOOKUP($A42,'UN Treasury'!$A$1:$BQ$224,_xlfn.XMATCH(B$1,'UN Treasury'!$A$1:$BQ$1,-1,1),FALSE)</f>
        <v>0.86699999999999999</v>
      </c>
      <c r="C42">
        <f>VLOOKUP($A42,'UN Treasury'!$A$1:$BQ$224,_xlfn.XMATCH(C$1,'UN Treasury'!$A$1:$BQ$1,-1,1),FALSE)</f>
        <v>0.875</v>
      </c>
      <c r="D42">
        <f>VLOOKUP($A42,'UN Treasury'!$A$1:$BQ$224,_xlfn.XMATCH(D$1,'UN Treasury'!$A$1:$BQ$1,-1,1),FALSE)</f>
        <v>0.86799999999999999</v>
      </c>
      <c r="E42">
        <f>VLOOKUP($A42,'UN Treasury'!$A$1:$BQ$224,_xlfn.XMATCH(E$1,'UN Treasury'!$A$1:$BQ$1,-1,1),FALSE)</f>
        <v>0.85399999999999998</v>
      </c>
      <c r="F42">
        <f>VLOOKUP($A42,'UN Treasury'!$A$1:$BQ$224,_xlfn.XMATCH(F$1,'UN Treasury'!$A$1:$BQ$1,-1,1),FALSE)</f>
        <v>0.85399999999999998</v>
      </c>
      <c r="G42">
        <f>VLOOKUP($A42,'UN Treasury'!$A$1:$BQ$224,_xlfn.XMATCH(G$1,'UN Treasury'!$A$1:$BQ$1,-1,1),FALSE)</f>
        <v>0.86699999999999999</v>
      </c>
      <c r="H42">
        <f>VLOOKUP($A42,'UN Treasury'!$A$1:$BQ$224,_xlfn.XMATCH(H$1,'UN Treasury'!$A$1:$BQ$1,-1,1),FALSE)</f>
        <v>0.84099999999999997</v>
      </c>
      <c r="I42">
        <f>VLOOKUP($A42,'UN Treasury'!$A$1:$BQ$224,_xlfn.XMATCH(I$1,'UN Treasury'!$A$1:$BQ$1,-1,1),FALSE)</f>
        <v>0.85799999999999998</v>
      </c>
      <c r="J42">
        <f>VLOOKUP($A42,'UN Treasury'!$A$1:$BQ$224,_xlfn.XMATCH(J$1,'UN Treasury'!$A$1:$BQ$1,-1,1),FALSE)</f>
        <v>0.85199999999999998</v>
      </c>
      <c r="K42">
        <f>VLOOKUP($A42,'UN Treasury'!$A$1:$BQ$224,_xlfn.XMATCH(K$1,'UN Treasury'!$A$1:$BQ$1,-1,1),FALSE)</f>
        <v>0.86499999999999999</v>
      </c>
      <c r="L42">
        <f>VLOOKUP($A42,'UN Treasury'!$A$1:$BQ$224,_xlfn.XMATCH(L$1,'UN Treasury'!$A$1:$BQ$1,-1,1),FALSE)</f>
        <v>0.86499999999999999</v>
      </c>
      <c r="M42">
        <f>VLOOKUP($A42,'UN Treasury'!$A$1:$BQ$224,_xlfn.XMATCH(M$1,'UN Treasury'!$A$1:$BQ$1,-1,1),FALSE)</f>
        <v>0.85299999999999998</v>
      </c>
      <c r="N42">
        <f>VLOOKUP($A42,'UN Treasury'!$A$1:$BQ$224,_xlfn.XMATCH(N$1,'UN Treasury'!$A$1:$BQ$1,-1,1),FALSE)</f>
        <v>0.85499999999999998</v>
      </c>
      <c r="O42">
        <f>VLOOKUP($A42,'UN Treasury'!$A$1:$BQ$224,_xlfn.XMATCH(O$1,'UN Treasury'!$A$1:$BQ$1,-1,1),FALSE)</f>
        <v>0.85599999999999998</v>
      </c>
      <c r="P42">
        <f>VLOOKUP($A42,'UN Treasury'!$A$1:$BQ$224,_xlfn.XMATCH(P$1,'UN Treasury'!$A$1:$BQ$1,-1,1),FALSE)</f>
        <v>0.872</v>
      </c>
      <c r="Q42">
        <f>VLOOKUP($A42,'UN Treasury'!$A$1:$BQ$224,_xlfn.XMATCH(Q$1,'UN Treasury'!$A$1:$BQ$1,-1,1),FALSE)</f>
        <v>0.89700000000000002</v>
      </c>
      <c r="R42">
        <f>VLOOKUP($A42,'UN Treasury'!$A$1:$BQ$224,_xlfn.XMATCH(R$1,'UN Treasury'!$A$1:$BQ$1,-1,1),FALSE)</f>
        <v>0.88</v>
      </c>
      <c r="S42">
        <f>VLOOKUP($A42,'UN Treasury'!$A$1:$BQ$224,_xlfn.XMATCH(S$1,'UN Treasury'!$A$1:$BQ$1,-1,1),FALSE)</f>
        <v>0.91800000000000004</v>
      </c>
      <c r="T42">
        <f>VLOOKUP($A42,'UN Treasury'!$A$1:$BQ$224,_xlfn.XMATCH(T$1,'UN Treasury'!$A$1:$BQ$1,-1,1),FALSE)</f>
        <v>0.96699999999999997</v>
      </c>
      <c r="U42">
        <f>VLOOKUP($A42,'UN Treasury'!$A$1:$BQ$224,_xlfn.XMATCH(U$1,'UN Treasury'!$A$1:$BQ$1,-1,1),FALSE)</f>
        <v>0.98</v>
      </c>
      <c r="V42">
        <f>VLOOKUP($A42,'UN Treasury'!$A$1:$BQ$224,_xlfn.XMATCH(V$1,'UN Treasury'!$A$1:$BQ$1,-1,1),FALSE)</f>
        <v>0.95299999999999996</v>
      </c>
      <c r="W42">
        <f>VLOOKUP($A42,'UN Treasury'!$A$1:$BQ$224,_xlfn.XMATCH(W$1,'UN Treasury'!$A$1:$BQ$1,-1,1),FALSE)</f>
        <v>0.94299999999999995</v>
      </c>
      <c r="X42">
        <f>VLOOKUP($A42,'UN Treasury'!$A$1:$BQ$224,_xlfn.XMATCH(X$1,'UN Treasury'!$A$1:$BQ$1,-1,1),FALSE)</f>
        <v>0.91400000000000003</v>
      </c>
      <c r="Y42">
        <f>VLOOKUP($A42,'UN Treasury'!$A$1:$BQ$224,_xlfn.XMATCH(Y$1,'UN Treasury'!$A$1:$BQ$1,-1,1),FALSE)</f>
        <v>0.90800000000000003</v>
      </c>
      <c r="Z42">
        <f>VLOOKUP($A42,'UN Treasury'!$A$1:$BQ$224,_xlfn.XMATCH(Z$1,'UN Treasury'!$A$1:$BQ$1,-1,1),FALSE)</f>
        <v>0.91300000000000003</v>
      </c>
      <c r="AA42">
        <f>VLOOKUP($A42,'UN Treasury'!$A$1:$BQ$224,_xlfn.XMATCH(AA$1,'UN Treasury'!$A$1:$BQ$1,-1,1),FALSE)</f>
        <v>0.91800000000000004</v>
      </c>
      <c r="AB42">
        <f>VLOOKUP($A42,'UN Treasury'!$A$1:$BQ$224,_xlfn.XMATCH(AB$1,'UN Treasury'!$A$1:$BQ$1,-1,1),FALSE)</f>
        <v>0.92300000000000004</v>
      </c>
      <c r="AC42">
        <f>VLOOKUP($A42,'UN Treasury'!$A$1:$BQ$224,_xlfn.XMATCH(AC$1,'UN Treasury'!$A$1:$BQ$1,-1,1),FALSE)</f>
        <v>0.92600000000000005</v>
      </c>
      <c r="AD42">
        <f>VLOOKUP($A42,'UN Treasury'!$A$1:$BQ$224,_xlfn.XMATCH(AD$1,'UN Treasury'!$A$1:$BQ$1,-1,1),FALSE)</f>
        <v>0.93200000000000005</v>
      </c>
      <c r="AE42">
        <f>VLOOKUP($A42,'UN Treasury'!$A$1:$BQ$224,_xlfn.XMATCH(AE$1,'UN Treasury'!$A$1:$BQ$1,-1,1),FALSE)</f>
        <v>0.91400000000000003</v>
      </c>
      <c r="AF42">
        <f>VLOOKUP($A42,'UN Treasury'!$A$1:$BQ$224,_xlfn.XMATCH(AF$1,'UN Treasury'!$A$1:$BQ$1,-1,1),FALSE)</f>
        <v>0.93300000000000005</v>
      </c>
      <c r="AG42">
        <f>VLOOKUP($A42,'UN Treasury'!$A$1:$BQ$224,_xlfn.XMATCH(AG$1,'UN Treasury'!$A$1:$BQ$1,-1,1),FALSE)</f>
        <v>0.91300000000000003</v>
      </c>
      <c r="AH42">
        <f>VLOOKUP($A42,'UN Treasury'!$A$1:$BQ$224,_xlfn.XMATCH(AH$1,'UN Treasury'!$A$1:$BQ$1,-1,1),FALSE)</f>
        <v>0.92700000000000005</v>
      </c>
      <c r="AI42">
        <f>VLOOKUP($A42,'UN Treasury'!$A$1:$BQ$224,_xlfn.XMATCH(AI$1,'UN Treasury'!$A$1:$BQ$1,-1,1),FALSE)</f>
        <v>0.93700000000000006</v>
      </c>
      <c r="AJ42">
        <f>VLOOKUP($A42,'UN Treasury'!$A$1:$BQ$224,_xlfn.XMATCH(AJ$1,'UN Treasury'!$A$1:$BQ$1,-1,1),FALSE)</f>
        <v>0.94099999999999995</v>
      </c>
      <c r="AK42">
        <f>VLOOKUP($A42,'UN Treasury'!$A$1:$BQ$224,_xlfn.XMATCH(AK$1,'UN Treasury'!$A$1:$BQ$1,-1,1),FALSE)</f>
        <v>0.93100000000000005</v>
      </c>
      <c r="AL42">
        <f>VLOOKUP($A42,'UN Treasury'!$A$1:$BQ$224,_xlfn.XMATCH(AL$1,'UN Treasury'!$A$1:$BQ$1,-1,1),FALSE)</f>
        <v>0.91300000000000003</v>
      </c>
      <c r="AM42">
        <f>VLOOKUP($A42,'UN Treasury'!$A$1:$BQ$224,_xlfn.XMATCH(AM$1,'UN Treasury'!$A$1:$BQ$1,-1,1),FALSE)</f>
        <v>0.90200000000000002</v>
      </c>
      <c r="AN42">
        <f>VLOOKUP($A42,'UN Treasury'!$A$1:$BQ$224,_xlfn.XMATCH(AN$1,'UN Treasury'!$A$1:$BQ$1,-1,1),FALSE)</f>
        <v>0.92700000000000005</v>
      </c>
      <c r="AO42">
        <f>VLOOKUP($A42,'UN Treasury'!$A$1:$BQ$224,_xlfn.XMATCH(AO$1,'UN Treasury'!$A$1:$BQ$1,-1,1),FALSE)</f>
        <v>0.91700000000000004</v>
      </c>
      <c r="AP42">
        <f>VLOOKUP($A42,'UN Treasury'!$A$1:$BQ$224,_xlfn.XMATCH(AP$1,'UN Treasury'!$A$1:$BQ$1,-1,1),FALSE)</f>
        <v>0.91100000000000003</v>
      </c>
      <c r="AQ42">
        <f>VLOOKUP($A42,'UN Treasury'!$A$1:$BQ$224,_xlfn.XMATCH(AQ$1,'UN Treasury'!$A$1:$BQ$1,-1,1),FALSE)</f>
        <v>0.93400000000000005</v>
      </c>
      <c r="AR42">
        <f>VLOOKUP($A42,'UN Treasury'!$A$1:$BQ$224,_xlfn.XMATCH(AR$1,'UN Treasury'!$A$1:$BQ$1,-1,1),FALSE)</f>
        <v>0.93300000000000005</v>
      </c>
      <c r="AS42">
        <f>VLOOKUP($A42,'UN Treasury'!$A$1:$BQ$224,_xlfn.XMATCH(AS$1,'UN Treasury'!$A$1:$BQ$1,-1,1),FALSE)</f>
        <v>0.92900000000000005</v>
      </c>
      <c r="AT42">
        <f>VLOOKUP($A42,'UN Treasury'!$A$1:$BQ$224,_xlfn.XMATCH(AT$1,'UN Treasury'!$A$1:$BQ$1,-1,1),FALSE)</f>
        <v>0.93799999999999994</v>
      </c>
      <c r="AU42">
        <f>VLOOKUP($A42,'UN Treasury'!$A$1:$BQ$224,_xlfn.XMATCH(AU$1,'UN Treasury'!$A$1:$BQ$1,-1,1),FALSE)</f>
        <v>0.97199999999999998</v>
      </c>
      <c r="AV42">
        <f>VLOOKUP($A42,'UN Treasury'!$A$1:$BQ$224,_xlfn.XMATCH(AV$1,'UN Treasury'!$A$1:$BQ$1,-1,1),FALSE)</f>
        <v>1.032</v>
      </c>
      <c r="AW42">
        <f>VLOOKUP($A42,'UN Treasury'!$A$1:$BQ$224,_xlfn.XMATCH(AW$1,'UN Treasury'!$A$1:$BQ$1,-1,1),FALSE)</f>
        <v>0.997</v>
      </c>
      <c r="AX42">
        <f>VLOOKUP($A42,'UN Treasury'!$A$1:$BQ$224,_xlfn.XMATCH(AX$1,'UN Treasury'!$A$1:$BQ$1,-1,1),FALSE)</f>
        <v>0.96499999999999997</v>
      </c>
      <c r="AY42">
        <f>VLOOKUP($A42,'UN Treasury'!$A$1:$BQ$224,_xlfn.XMATCH(AY$1,'UN Treasury'!$A$1:$BQ$1,-1,1),FALSE)</f>
        <v>0.996</v>
      </c>
      <c r="AZ42">
        <f>VLOOKUP($A42,'UN Treasury'!$A$1:$BQ$224,_xlfn.XMATCH(AZ$1,'UN Treasury'!$A$1:$BQ$1,-1,1),FALSE)</f>
        <v>0.95799999999999996</v>
      </c>
      <c r="BA42">
        <f>VLOOKUP($A42,'UN Treasury'!$A$1:$BQ$224,_xlfn.XMATCH(BA$1,'UN Treasury'!$A$1:$BQ$1,-1,1),FALSE)</f>
        <v>0.94699999999999995</v>
      </c>
      <c r="BB42">
        <f>VLOOKUP($A42,'UN Treasury'!$A$1:$BQ$224,_xlfn.XMATCH(BB$1,'UN Treasury'!$A$1:$BQ$1,-1,1),FALSE)</f>
        <v>0.92</v>
      </c>
      <c r="BC42">
        <f>VLOOKUP($A42,'UN Treasury'!$A$1:$BQ$224,_xlfn.XMATCH(BC$1,'UN Treasury'!$A$1:$BQ$1,-1,1),FALSE)</f>
        <v>0.91300000000000003</v>
      </c>
      <c r="BD42">
        <f>VLOOKUP($A42,'UN Treasury'!$A$1:$BQ$224,_xlfn.XMATCH(BD$1,'UN Treasury'!$A$1:$BQ$1,-1,1),FALSE)</f>
        <v>0.878</v>
      </c>
      <c r="BE42">
        <f>VLOOKUP($A42,'UN Treasury'!$A$1:$BQ$224,_xlfn.XMATCH(BE$1,'UN Treasury'!$A$1:$BQ$1,-1,1),FALSE)</f>
        <v>0.876</v>
      </c>
      <c r="BF42">
        <f>VLOOKUP($A42,'UN Treasury'!$A$1:$BQ$224,_xlfn.XMATCH(BF$1,'UN Treasury'!$A$1:$BQ$1,-1,1),FALSE)</f>
        <v>0.88800000000000001</v>
      </c>
      <c r="BG42">
        <f>VLOOKUP($A42,'UN Treasury'!$A$1:$BQ$224,_xlfn.XMATCH(BG$1,'UN Treasury'!$A$1:$BQ$1,-1,1),FALSE)</f>
        <v>0.872</v>
      </c>
      <c r="BH42">
        <f>VLOOKUP($A42,'UN Treasury'!$A$1:$BQ$224,_xlfn.XMATCH(BH$1,'UN Treasury'!$A$1:$BQ$1,-1,1),FALSE)</f>
        <v>0.86</v>
      </c>
      <c r="BI42">
        <f>VLOOKUP($A42,'UN Treasury'!$A$1:$BQ$224,_xlfn.XMATCH(BI$1,'UN Treasury'!$A$1:$BQ$1,-1,1),FALSE)</f>
        <v>0.84699999999999998</v>
      </c>
      <c r="BJ42">
        <f>VLOOKUP($A42,'UN Treasury'!$A$1:$BQ$224,_xlfn.XMATCH(BJ$1,'UN Treasury'!$A$1:$BQ$1,-1,1),FALSE)</f>
        <v>0.84099999999999997</v>
      </c>
      <c r="BK42">
        <f>VLOOKUP($A42,'UN Treasury'!$A$1:$BQ$224,_xlfn.XMATCH(BK$1,'UN Treasury'!$A$1:$BQ$1,-1,1),FALSE)</f>
        <v>0.83799999999999997</v>
      </c>
      <c r="BL42">
        <f>VLOOKUP($A42,'UN Treasury'!$A$1:$BQ$224,_xlfn.XMATCH(BL$1,'UN Treasury'!$A$1:$BQ$1,-1,1),FALSE)</f>
        <v>0.82</v>
      </c>
      <c r="BM42">
        <f>VLOOKUP($A42,'UN Treasury'!$A$1:$BQ$224,_xlfn.XMATCH(BM$1,'UN Treasury'!$A$1:$BQ$1,-1,1),FALSE)</f>
        <v>0.82599999999999996</v>
      </c>
      <c r="BN42">
        <f>VLOOKUP($A42,'UN Treasury'!$A$1:$BQ$224,_xlfn.XMATCH(BN$1,'UN Treasury'!$A$1:$BQ$1,-1,1),FALSE)</f>
        <v>0.85299999999999998</v>
      </c>
      <c r="BO42">
        <f>VLOOKUP($A42,'UN Treasury'!$A$1:$BQ$224,_xlfn.XMATCH(BO$1,'UN Treasury'!$A$1:$BQ$1,-1,1),FALSE)</f>
        <v>0.83699999999999997</v>
      </c>
      <c r="BP42">
        <f>VLOOKUP($A42,'UN Treasury'!$A$1:$BQ$224,_xlfn.XMATCH(BP$1,'UN Treasury'!$A$1:$BQ$1,-1,1),FALSE)</f>
        <v>0.82399999999999995</v>
      </c>
      <c r="BQ42">
        <f>VLOOKUP($A42,'UN Treasury'!$A$1:$BQ$224,_xlfn.XMATCH(BQ$1,'UN Treasury'!$A$1:$BQ$1,-1,1),FALSE)</f>
        <v>0.82199999999999995</v>
      </c>
    </row>
    <row r="43" spans="1:69" x14ac:dyDescent="0.25">
      <c r="A43" t="s">
        <v>115</v>
      </c>
      <c r="B43">
        <f>VLOOKUP($A43,'UN Treasury'!$A$1:$BQ$224,_xlfn.XMATCH(B$1,'UN Treasury'!$A$1:$BQ$1,-1,1),FALSE)</f>
        <v>2.2160000000000002</v>
      </c>
      <c r="C43">
        <f>VLOOKUP($A43,'UN Treasury'!$A$1:$BQ$224,_xlfn.XMATCH(C$1,'UN Treasury'!$A$1:$BQ$1,-1,1),FALSE)</f>
        <v>2.2330000000000001</v>
      </c>
      <c r="D43">
        <f>VLOOKUP($A43,'UN Treasury'!$A$1:$BQ$224,_xlfn.XMATCH(D$1,'UN Treasury'!$A$1:$BQ$1,-1,1),FALSE)</f>
        <v>2.2080000000000002</v>
      </c>
      <c r="E43">
        <f>VLOOKUP($A43,'UN Treasury'!$A$1:$BQ$224,_xlfn.XMATCH(E$1,'UN Treasury'!$A$1:$BQ$1,-1,1),FALSE)</f>
        <v>2.1840000000000002</v>
      </c>
      <c r="F43">
        <f>VLOOKUP($A43,'UN Treasury'!$A$1:$BQ$224,_xlfn.XMATCH(F$1,'UN Treasury'!$A$1:$BQ$1,-1,1),FALSE)</f>
        <v>2.2120000000000002</v>
      </c>
      <c r="G43">
        <f>VLOOKUP($A43,'UN Treasury'!$A$1:$BQ$224,_xlfn.XMATCH(G$1,'UN Treasury'!$A$1:$BQ$1,-1,1),FALSE)</f>
        <v>2.1949999999999998</v>
      </c>
      <c r="H43">
        <f>VLOOKUP($A43,'UN Treasury'!$A$1:$BQ$224,_xlfn.XMATCH(H$1,'UN Treasury'!$A$1:$BQ$1,-1,1),FALSE)</f>
        <v>2.1949999999999998</v>
      </c>
      <c r="I43">
        <f>VLOOKUP($A43,'UN Treasury'!$A$1:$BQ$224,_xlfn.XMATCH(I$1,'UN Treasury'!$A$1:$BQ$1,-1,1),FALSE)</f>
        <v>2.2570000000000001</v>
      </c>
      <c r="J43">
        <f>VLOOKUP($A43,'UN Treasury'!$A$1:$BQ$224,_xlfn.XMATCH(J$1,'UN Treasury'!$A$1:$BQ$1,-1,1),FALSE)</f>
        <v>2.2589999999999999</v>
      </c>
      <c r="K43">
        <f>VLOOKUP($A43,'UN Treasury'!$A$1:$BQ$224,_xlfn.XMATCH(K$1,'UN Treasury'!$A$1:$BQ$1,-1,1),FALSE)</f>
        <v>2.27</v>
      </c>
      <c r="L43">
        <f>VLOOKUP($A43,'UN Treasury'!$A$1:$BQ$224,_xlfn.XMATCH(L$1,'UN Treasury'!$A$1:$BQ$1,-1,1),FALSE)</f>
        <v>2.25</v>
      </c>
      <c r="M43">
        <f>VLOOKUP($A43,'UN Treasury'!$A$1:$BQ$224,_xlfn.XMATCH(M$1,'UN Treasury'!$A$1:$BQ$1,-1,1),FALSE)</f>
        <v>2.2400000000000002</v>
      </c>
      <c r="N43">
        <f>VLOOKUP($A43,'UN Treasury'!$A$1:$BQ$224,_xlfn.XMATCH(N$1,'UN Treasury'!$A$1:$BQ$1,-1,1),FALSE)</f>
        <v>2.2400000000000002</v>
      </c>
      <c r="O43">
        <f>VLOOKUP($A43,'UN Treasury'!$A$1:$BQ$224,_xlfn.XMATCH(O$1,'UN Treasury'!$A$1:$BQ$1,-1,1),FALSE)</f>
        <v>2.23</v>
      </c>
      <c r="P43">
        <f>VLOOKUP($A43,'UN Treasury'!$A$1:$BQ$224,_xlfn.XMATCH(P$1,'UN Treasury'!$A$1:$BQ$1,-1,1),FALSE)</f>
        <v>2.2400000000000002</v>
      </c>
      <c r="Q43">
        <f>VLOOKUP($A43,'UN Treasury'!$A$1:$BQ$224,_xlfn.XMATCH(Q$1,'UN Treasury'!$A$1:$BQ$1,-1,1),FALSE)</f>
        <v>2.2599999999999998</v>
      </c>
      <c r="R43">
        <f>VLOOKUP($A43,'UN Treasury'!$A$1:$BQ$224,_xlfn.XMATCH(R$1,'UN Treasury'!$A$1:$BQ$1,-1,1),FALSE)</f>
        <v>2.31</v>
      </c>
      <c r="S43">
        <f>VLOOKUP($A43,'UN Treasury'!$A$1:$BQ$224,_xlfn.XMATCH(S$1,'UN Treasury'!$A$1:$BQ$1,-1,1),FALSE)</f>
        <v>2.29</v>
      </c>
      <c r="T43">
        <f>VLOOKUP($A43,'UN Treasury'!$A$1:$BQ$224,_xlfn.XMATCH(T$1,'UN Treasury'!$A$1:$BQ$1,-1,1),FALSE)</f>
        <v>2.3199999999999998</v>
      </c>
      <c r="U43">
        <f>VLOOKUP($A43,'UN Treasury'!$A$1:$BQ$224,_xlfn.XMATCH(U$1,'UN Treasury'!$A$1:$BQ$1,-1,1),FALSE)</f>
        <v>2.33</v>
      </c>
      <c r="V43">
        <f>VLOOKUP($A43,'UN Treasury'!$A$1:$BQ$224,_xlfn.XMATCH(V$1,'UN Treasury'!$A$1:$BQ$1,-1,1),FALSE)</f>
        <v>2.25</v>
      </c>
      <c r="W43">
        <f>VLOOKUP($A43,'UN Treasury'!$A$1:$BQ$224,_xlfn.XMATCH(W$1,'UN Treasury'!$A$1:$BQ$1,-1,1),FALSE)</f>
        <v>2.23</v>
      </c>
      <c r="X43">
        <f>VLOOKUP($A43,'UN Treasury'!$A$1:$BQ$224,_xlfn.XMATCH(X$1,'UN Treasury'!$A$1:$BQ$1,-1,1),FALSE)</f>
        <v>2.2000000000000002</v>
      </c>
      <c r="Y43">
        <f>VLOOKUP($A43,'UN Treasury'!$A$1:$BQ$224,_xlfn.XMATCH(Y$1,'UN Treasury'!$A$1:$BQ$1,-1,1),FALSE)</f>
        <v>2.2200000000000002</v>
      </c>
      <c r="Z43">
        <f>VLOOKUP($A43,'UN Treasury'!$A$1:$BQ$224,_xlfn.XMATCH(Z$1,'UN Treasury'!$A$1:$BQ$1,-1,1),FALSE)</f>
        <v>2.2599999999999998</v>
      </c>
      <c r="AA43">
        <f>VLOOKUP($A43,'UN Treasury'!$A$1:$BQ$224,_xlfn.XMATCH(AA$1,'UN Treasury'!$A$1:$BQ$1,-1,1),FALSE)</f>
        <v>2.2400000000000002</v>
      </c>
      <c r="AB43">
        <f>VLOOKUP($A43,'UN Treasury'!$A$1:$BQ$224,_xlfn.XMATCH(AB$1,'UN Treasury'!$A$1:$BQ$1,-1,1),FALSE)</f>
        <v>2.2400000000000002</v>
      </c>
      <c r="AC43">
        <f>VLOOKUP($A43,'UN Treasury'!$A$1:$BQ$224,_xlfn.XMATCH(AC$1,'UN Treasury'!$A$1:$BQ$1,-1,1),FALSE)</f>
        <v>2.2599999999999998</v>
      </c>
      <c r="AD43">
        <f>VLOOKUP($A43,'UN Treasury'!$A$1:$BQ$224,_xlfn.XMATCH(AD$1,'UN Treasury'!$A$1:$BQ$1,-1,1),FALSE)</f>
        <v>2.2599999999999998</v>
      </c>
      <c r="AE43">
        <f>VLOOKUP($A43,'UN Treasury'!$A$1:$BQ$224,_xlfn.XMATCH(AE$1,'UN Treasury'!$A$1:$BQ$1,-1,1),FALSE)</f>
        <v>2.2400000000000002</v>
      </c>
      <c r="AF43">
        <f>VLOOKUP($A43,'UN Treasury'!$A$1:$BQ$224,_xlfn.XMATCH(AF$1,'UN Treasury'!$A$1:$BQ$1,-1,1),FALSE)</f>
        <v>2.2599999999999998</v>
      </c>
      <c r="AG43">
        <f>VLOOKUP($A43,'UN Treasury'!$A$1:$BQ$224,_xlfn.XMATCH(AG$1,'UN Treasury'!$A$1:$BQ$1,-1,1),FALSE)</f>
        <v>2.2000000000000002</v>
      </c>
      <c r="AH43">
        <f>VLOOKUP($A43,'UN Treasury'!$A$1:$BQ$224,_xlfn.XMATCH(AH$1,'UN Treasury'!$A$1:$BQ$1,-1,1),FALSE)</f>
        <v>2.2400000000000002</v>
      </c>
      <c r="AI43">
        <f>VLOOKUP($A43,'UN Treasury'!$A$1:$BQ$224,_xlfn.XMATCH(AI$1,'UN Treasury'!$A$1:$BQ$1,-1,1),FALSE)</f>
        <v>2.27</v>
      </c>
      <c r="AJ43">
        <f>VLOOKUP($A43,'UN Treasury'!$A$1:$BQ$224,_xlfn.XMATCH(AJ$1,'UN Treasury'!$A$1:$BQ$1,-1,1),FALSE)</f>
        <v>2.2799999999999998</v>
      </c>
      <c r="AK43">
        <f>VLOOKUP($A43,'UN Treasury'!$A$1:$BQ$224,_xlfn.XMATCH(AK$1,'UN Treasury'!$A$1:$BQ$1,-1,1),FALSE)</f>
        <v>2.27</v>
      </c>
      <c r="AL43">
        <f>VLOOKUP($A43,'UN Treasury'!$A$1:$BQ$224,_xlfn.XMATCH(AL$1,'UN Treasury'!$A$1:$BQ$1,-1,1),FALSE)</f>
        <v>2.23</v>
      </c>
      <c r="AM43">
        <f>VLOOKUP($A43,'UN Treasury'!$A$1:$BQ$224,_xlfn.XMATCH(AM$1,'UN Treasury'!$A$1:$BQ$1,-1,1),FALSE)</f>
        <v>2.2200000000000002</v>
      </c>
      <c r="AN43">
        <f>VLOOKUP($A43,'UN Treasury'!$A$1:$BQ$224,_xlfn.XMATCH(AN$1,'UN Treasury'!$A$1:$BQ$1,-1,1),FALSE)</f>
        <v>2.2400000000000002</v>
      </c>
      <c r="AO43">
        <f>VLOOKUP($A43,'UN Treasury'!$A$1:$BQ$224,_xlfn.XMATCH(AO$1,'UN Treasury'!$A$1:$BQ$1,-1,1),FALSE)</f>
        <v>2.19</v>
      </c>
      <c r="AP43">
        <f>VLOOKUP($A43,'UN Treasury'!$A$1:$BQ$224,_xlfn.XMATCH(AP$1,'UN Treasury'!$A$1:$BQ$1,-1,1),FALSE)</f>
        <v>2.19</v>
      </c>
      <c r="AQ43">
        <f>VLOOKUP($A43,'UN Treasury'!$A$1:$BQ$224,_xlfn.XMATCH(AQ$1,'UN Treasury'!$A$1:$BQ$1,-1,1),FALSE)</f>
        <v>2.2200000000000002</v>
      </c>
      <c r="AR43">
        <f>VLOOKUP($A43,'UN Treasury'!$A$1:$BQ$224,_xlfn.XMATCH(AR$1,'UN Treasury'!$A$1:$BQ$1,-1,1),FALSE)</f>
        <v>2.13</v>
      </c>
      <c r="AS43">
        <f>VLOOKUP($A43,'UN Treasury'!$A$1:$BQ$224,_xlfn.XMATCH(AS$1,'UN Treasury'!$A$1:$BQ$1,-1,1),FALSE)</f>
        <v>2.16</v>
      </c>
      <c r="AT43">
        <f>VLOOKUP($A43,'UN Treasury'!$A$1:$BQ$224,_xlfn.XMATCH(AT$1,'UN Treasury'!$A$1:$BQ$1,-1,1),FALSE)</f>
        <v>2.2000000000000002</v>
      </c>
      <c r="AU43">
        <f>VLOOKUP($A43,'UN Treasury'!$A$1:$BQ$224,_xlfn.XMATCH(AU$1,'UN Treasury'!$A$1:$BQ$1,-1,1),FALSE)</f>
        <v>2.2999999999999998</v>
      </c>
      <c r="AV43">
        <f>VLOOKUP($A43,'UN Treasury'!$A$1:$BQ$224,_xlfn.XMATCH(AV$1,'UN Treasury'!$A$1:$BQ$1,-1,1),FALSE)</f>
        <v>2.2999999999999998</v>
      </c>
      <c r="AW43">
        <f>VLOOKUP($A43,'UN Treasury'!$A$1:$BQ$224,_xlfn.XMATCH(AW$1,'UN Treasury'!$A$1:$BQ$1,-1,1),FALSE)</f>
        <v>2.23</v>
      </c>
      <c r="AX43">
        <f>VLOOKUP($A43,'UN Treasury'!$A$1:$BQ$224,_xlfn.XMATCH(AX$1,'UN Treasury'!$A$1:$BQ$1,-1,1),FALSE)</f>
        <v>2.1800000000000002</v>
      </c>
      <c r="AY43">
        <f>VLOOKUP($A43,'UN Treasury'!$A$1:$BQ$224,_xlfn.XMATCH(AY$1,'UN Treasury'!$A$1:$BQ$1,-1,1),FALSE)</f>
        <v>2.1800000000000002</v>
      </c>
      <c r="AZ43">
        <f>VLOOKUP($A43,'UN Treasury'!$A$1:$BQ$224,_xlfn.XMATCH(AZ$1,'UN Treasury'!$A$1:$BQ$1,-1,1),FALSE)</f>
        <v>2.14</v>
      </c>
      <c r="BA43">
        <f>VLOOKUP($A43,'UN Treasury'!$A$1:$BQ$224,_xlfn.XMATCH(BA$1,'UN Treasury'!$A$1:$BQ$1,-1,1),FALSE)</f>
        <v>2.16</v>
      </c>
      <c r="BB43">
        <f>VLOOKUP($A43,'UN Treasury'!$A$1:$BQ$224,_xlfn.XMATCH(BB$1,'UN Treasury'!$A$1:$BQ$1,-1,1),FALSE)</f>
        <v>2.1</v>
      </c>
      <c r="BC43">
        <f>VLOOKUP($A43,'UN Treasury'!$A$1:$BQ$224,_xlfn.XMATCH(BC$1,'UN Treasury'!$A$1:$BQ$1,-1,1),FALSE)</f>
        <v>2.1</v>
      </c>
      <c r="BD43">
        <f>VLOOKUP($A43,'UN Treasury'!$A$1:$BQ$224,_xlfn.XMATCH(BD$1,'UN Treasury'!$A$1:$BQ$1,-1,1),FALSE)</f>
        <v>2.13</v>
      </c>
      <c r="BE43">
        <f>VLOOKUP($A43,'UN Treasury'!$A$1:$BQ$224,_xlfn.XMATCH(BE$1,'UN Treasury'!$A$1:$BQ$1,-1,1),FALSE)</f>
        <v>2.1</v>
      </c>
      <c r="BF43">
        <f>VLOOKUP($A43,'UN Treasury'!$A$1:$BQ$224,_xlfn.XMATCH(BF$1,'UN Treasury'!$A$1:$BQ$1,-1,1),FALSE)</f>
        <v>2.08</v>
      </c>
      <c r="BG43">
        <f>VLOOKUP($A43,'UN Treasury'!$A$1:$BQ$224,_xlfn.XMATCH(BG$1,'UN Treasury'!$A$1:$BQ$1,-1,1),FALSE)</f>
        <v>2.06</v>
      </c>
      <c r="BH43">
        <f>VLOOKUP($A43,'UN Treasury'!$A$1:$BQ$224,_xlfn.XMATCH(BH$1,'UN Treasury'!$A$1:$BQ$1,-1,1),FALSE)</f>
        <v>2.09</v>
      </c>
      <c r="BI43">
        <f>VLOOKUP($A43,'UN Treasury'!$A$1:$BQ$224,_xlfn.XMATCH(BI$1,'UN Treasury'!$A$1:$BQ$1,-1,1),FALSE)</f>
        <v>2.1</v>
      </c>
      <c r="BJ43">
        <f>VLOOKUP($A43,'UN Treasury'!$A$1:$BQ$224,_xlfn.XMATCH(BJ$1,'UN Treasury'!$A$1:$BQ$1,-1,1),FALSE)</f>
        <v>2.06</v>
      </c>
      <c r="BK43">
        <f>VLOOKUP($A43,'UN Treasury'!$A$1:$BQ$224,_xlfn.XMATCH(BK$1,'UN Treasury'!$A$1:$BQ$1,-1,1),FALSE)</f>
        <v>2.0299999999999998</v>
      </c>
      <c r="BL43">
        <f>VLOOKUP($A43,'UN Treasury'!$A$1:$BQ$224,_xlfn.XMATCH(BL$1,'UN Treasury'!$A$1:$BQ$1,-1,1),FALSE)</f>
        <v>2.0299999999999998</v>
      </c>
      <c r="BM43">
        <f>VLOOKUP($A43,'UN Treasury'!$A$1:$BQ$224,_xlfn.XMATCH(BM$1,'UN Treasury'!$A$1:$BQ$1,-1,1),FALSE)</f>
        <v>2.0299999999999998</v>
      </c>
      <c r="BN43">
        <f>VLOOKUP($A43,'UN Treasury'!$A$1:$BQ$224,_xlfn.XMATCH(BN$1,'UN Treasury'!$A$1:$BQ$1,-1,1),FALSE)</f>
        <v>2.0499999999999998</v>
      </c>
      <c r="BO43">
        <f>VLOOKUP($A43,'UN Treasury'!$A$1:$BQ$224,_xlfn.XMATCH(BO$1,'UN Treasury'!$A$1:$BQ$1,-1,1),FALSE)</f>
        <v>2.02</v>
      </c>
      <c r="BP43">
        <f>VLOOKUP($A43,'UN Treasury'!$A$1:$BQ$224,_xlfn.XMATCH(BP$1,'UN Treasury'!$A$1:$BQ$1,-1,1),FALSE)</f>
        <v>2.04</v>
      </c>
      <c r="BQ43">
        <f>VLOOKUP($A43,'UN Treasury'!$A$1:$BQ$224,_xlfn.XMATCH(BQ$1,'UN Treasury'!$A$1:$BQ$1,-1,1),FALSE)</f>
        <v>2.04</v>
      </c>
    </row>
    <row r="44" spans="1:69" x14ac:dyDescent="0.25">
      <c r="A44" t="s">
        <v>116</v>
      </c>
      <c r="B44">
        <f>VLOOKUP($A44,'UN Treasury'!$A$1:$BQ$224,_xlfn.XMATCH(B$1,'UN Treasury'!$A$1:$BQ$1,-1,1),FALSE)</f>
        <v>0.74099999999999999</v>
      </c>
      <c r="C44">
        <f>VLOOKUP($A44,'UN Treasury'!$A$1:$BQ$224,_xlfn.XMATCH(C$1,'UN Treasury'!$A$1:$BQ$1,-1,1),FALSE)</f>
        <v>0.747</v>
      </c>
      <c r="D44">
        <f>VLOOKUP($A44,'UN Treasury'!$A$1:$BQ$224,_xlfn.XMATCH(D$1,'UN Treasury'!$A$1:$BQ$1,-1,1),FALSE)</f>
        <v>0.749</v>
      </c>
      <c r="E44">
        <f>VLOOKUP($A44,'UN Treasury'!$A$1:$BQ$224,_xlfn.XMATCH(E$1,'UN Treasury'!$A$1:$BQ$1,-1,1),FALSE)</f>
        <v>0.74</v>
      </c>
      <c r="F44">
        <f>VLOOKUP($A44,'UN Treasury'!$A$1:$BQ$224,_xlfn.XMATCH(F$1,'UN Treasury'!$A$1:$BQ$1,-1,1),FALSE)</f>
        <v>0.74299999999999999</v>
      </c>
      <c r="G44">
        <f>VLOOKUP($A44,'UN Treasury'!$A$1:$BQ$224,_xlfn.XMATCH(G$1,'UN Treasury'!$A$1:$BQ$1,-1,1),FALSE)</f>
        <v>0.748</v>
      </c>
      <c r="H44">
        <f>VLOOKUP($A44,'UN Treasury'!$A$1:$BQ$224,_xlfn.XMATCH(H$1,'UN Treasury'!$A$1:$BQ$1,-1,1),FALSE)</f>
        <v>0.73199999999999998</v>
      </c>
      <c r="I44">
        <f>VLOOKUP($A44,'UN Treasury'!$A$1:$BQ$224,_xlfn.XMATCH(I$1,'UN Treasury'!$A$1:$BQ$1,-1,1),FALSE)</f>
        <v>0.74399999999999999</v>
      </c>
      <c r="J44">
        <f>VLOOKUP($A44,'UN Treasury'!$A$1:$BQ$224,_xlfn.XMATCH(J$1,'UN Treasury'!$A$1:$BQ$1,-1,1),FALSE)</f>
        <v>0.745</v>
      </c>
      <c r="K44">
        <f>VLOOKUP($A44,'UN Treasury'!$A$1:$BQ$224,_xlfn.XMATCH(K$1,'UN Treasury'!$A$1:$BQ$1,-1,1),FALSE)</f>
        <v>0.76400000000000001</v>
      </c>
      <c r="L44">
        <f>VLOOKUP($A44,'UN Treasury'!$A$1:$BQ$224,_xlfn.XMATCH(L$1,'UN Treasury'!$A$1:$BQ$1,-1,1),FALSE)</f>
        <v>0.75</v>
      </c>
      <c r="M44">
        <f>VLOOKUP($A44,'UN Treasury'!$A$1:$BQ$224,_xlfn.XMATCH(M$1,'UN Treasury'!$A$1:$BQ$1,-1,1),FALSE)</f>
        <v>0.73799999999999999</v>
      </c>
      <c r="N44">
        <f>VLOOKUP($A44,'UN Treasury'!$A$1:$BQ$224,_xlfn.XMATCH(N$1,'UN Treasury'!$A$1:$BQ$1,-1,1),FALSE)</f>
        <v>0.73699999999999999</v>
      </c>
      <c r="O44">
        <f>VLOOKUP($A44,'UN Treasury'!$A$1:$BQ$224,_xlfn.XMATCH(O$1,'UN Treasury'!$A$1:$BQ$1,-1,1),FALSE)</f>
        <v>0.74</v>
      </c>
      <c r="P44">
        <f>VLOOKUP($A44,'UN Treasury'!$A$1:$BQ$224,_xlfn.XMATCH(P$1,'UN Treasury'!$A$1:$BQ$1,-1,1),FALSE)</f>
        <v>0.74</v>
      </c>
      <c r="Q44">
        <f>VLOOKUP($A44,'UN Treasury'!$A$1:$BQ$224,_xlfn.XMATCH(Q$1,'UN Treasury'!$A$1:$BQ$1,-1,1),FALSE)</f>
        <v>0.755</v>
      </c>
      <c r="R44">
        <f>VLOOKUP($A44,'UN Treasury'!$A$1:$BQ$224,_xlfn.XMATCH(R$1,'UN Treasury'!$A$1:$BQ$1,-1,1),FALSE)</f>
        <v>0.76400000000000001</v>
      </c>
      <c r="S44">
        <f>VLOOKUP($A44,'UN Treasury'!$A$1:$BQ$224,_xlfn.XMATCH(S$1,'UN Treasury'!$A$1:$BQ$1,-1,1),FALSE)</f>
        <v>0.77300000000000002</v>
      </c>
      <c r="T44">
        <f>VLOOKUP($A44,'UN Treasury'!$A$1:$BQ$224,_xlfn.XMATCH(T$1,'UN Treasury'!$A$1:$BQ$1,-1,1),FALSE)</f>
        <v>0.80700000000000005</v>
      </c>
      <c r="U44">
        <f>VLOOKUP($A44,'UN Treasury'!$A$1:$BQ$224,_xlfn.XMATCH(U$1,'UN Treasury'!$A$1:$BQ$1,-1,1),FALSE)</f>
        <v>0.82299999999999995</v>
      </c>
      <c r="V44">
        <f>VLOOKUP($A44,'UN Treasury'!$A$1:$BQ$224,_xlfn.XMATCH(V$1,'UN Treasury'!$A$1:$BQ$1,-1,1),FALSE)</f>
        <v>0.78400000000000003</v>
      </c>
      <c r="W44">
        <f>VLOOKUP($A44,'UN Treasury'!$A$1:$BQ$224,_xlfn.XMATCH(W$1,'UN Treasury'!$A$1:$BQ$1,-1,1),FALSE)</f>
        <v>0.78600000000000003</v>
      </c>
      <c r="X44">
        <f>VLOOKUP($A44,'UN Treasury'!$A$1:$BQ$224,_xlfn.XMATCH(X$1,'UN Treasury'!$A$1:$BQ$1,-1,1),FALSE)</f>
        <v>0.76500000000000001</v>
      </c>
      <c r="Y44">
        <f>VLOOKUP($A44,'UN Treasury'!$A$1:$BQ$224,_xlfn.XMATCH(Y$1,'UN Treasury'!$A$1:$BQ$1,-1,1),FALSE)</f>
        <v>0.76600000000000001</v>
      </c>
      <c r="Z44">
        <f>VLOOKUP($A44,'UN Treasury'!$A$1:$BQ$224,_xlfn.XMATCH(Z$1,'UN Treasury'!$A$1:$BQ$1,-1,1),FALSE)</f>
        <v>0.78</v>
      </c>
      <c r="AA44">
        <f>VLOOKUP($A44,'UN Treasury'!$A$1:$BQ$224,_xlfn.XMATCH(AA$1,'UN Treasury'!$A$1:$BQ$1,-1,1),FALSE)</f>
        <v>0.77300000000000002</v>
      </c>
      <c r="AB44">
        <f>VLOOKUP($A44,'UN Treasury'!$A$1:$BQ$224,_xlfn.XMATCH(AB$1,'UN Treasury'!$A$1:$BQ$1,-1,1),FALSE)</f>
        <v>0.77900000000000003</v>
      </c>
      <c r="AC44">
        <f>VLOOKUP($A44,'UN Treasury'!$A$1:$BQ$224,_xlfn.XMATCH(AC$1,'UN Treasury'!$A$1:$BQ$1,-1,1),FALSE)</f>
        <v>0.79600000000000004</v>
      </c>
      <c r="AD44">
        <f>VLOOKUP($A44,'UN Treasury'!$A$1:$BQ$224,_xlfn.XMATCH(AD$1,'UN Treasury'!$A$1:$BQ$1,-1,1),FALSE)</f>
        <v>0.79700000000000004</v>
      </c>
      <c r="AE44">
        <f>VLOOKUP($A44,'UN Treasury'!$A$1:$BQ$224,_xlfn.XMATCH(AE$1,'UN Treasury'!$A$1:$BQ$1,-1,1),FALSE)</f>
        <v>0.78100000000000003</v>
      </c>
      <c r="AF44">
        <f>VLOOKUP($A44,'UN Treasury'!$A$1:$BQ$224,_xlfn.XMATCH(AF$1,'UN Treasury'!$A$1:$BQ$1,-1,1),FALSE)</f>
        <v>0.79300000000000004</v>
      </c>
      <c r="AG44">
        <f>VLOOKUP($A44,'UN Treasury'!$A$1:$BQ$224,_xlfn.XMATCH(AG$1,'UN Treasury'!$A$1:$BQ$1,-1,1),FALSE)</f>
        <v>0.78600000000000003</v>
      </c>
      <c r="AH44">
        <f>VLOOKUP($A44,'UN Treasury'!$A$1:$BQ$224,_xlfn.XMATCH(AH$1,'UN Treasury'!$A$1:$BQ$1,-1,1),FALSE)</f>
        <v>0.79900000000000004</v>
      </c>
      <c r="AI44">
        <f>VLOOKUP($A44,'UN Treasury'!$A$1:$BQ$224,_xlfn.XMATCH(AI$1,'UN Treasury'!$A$1:$BQ$1,-1,1),FALSE)</f>
        <v>0.81699999999999995</v>
      </c>
      <c r="AJ44">
        <f>VLOOKUP($A44,'UN Treasury'!$A$1:$BQ$224,_xlfn.XMATCH(AJ$1,'UN Treasury'!$A$1:$BQ$1,-1,1),FALSE)</f>
        <v>0.81100000000000005</v>
      </c>
      <c r="AK44">
        <f>VLOOKUP($A44,'UN Treasury'!$A$1:$BQ$224,_xlfn.XMATCH(AK$1,'UN Treasury'!$A$1:$BQ$1,-1,1),FALSE)</f>
        <v>0.8</v>
      </c>
      <c r="AL44">
        <f>VLOOKUP($A44,'UN Treasury'!$A$1:$BQ$224,_xlfn.XMATCH(AL$1,'UN Treasury'!$A$1:$BQ$1,-1,1),FALSE)</f>
        <v>0.78800000000000003</v>
      </c>
      <c r="AM44">
        <f>VLOOKUP($A44,'UN Treasury'!$A$1:$BQ$224,_xlfn.XMATCH(AM$1,'UN Treasury'!$A$1:$BQ$1,-1,1),FALSE)</f>
        <v>0.77</v>
      </c>
      <c r="AN44">
        <f>VLOOKUP($A44,'UN Treasury'!$A$1:$BQ$224,_xlfn.XMATCH(AN$1,'UN Treasury'!$A$1:$BQ$1,-1,1),FALSE)</f>
        <v>0.79500000000000004</v>
      </c>
      <c r="AO44">
        <f>VLOOKUP($A44,'UN Treasury'!$A$1:$BQ$224,_xlfn.XMATCH(AO$1,'UN Treasury'!$A$1:$BQ$1,-1,1),FALSE)</f>
        <v>0.79900000000000004</v>
      </c>
      <c r="AP44">
        <f>VLOOKUP($A44,'UN Treasury'!$A$1:$BQ$224,_xlfn.XMATCH(AP$1,'UN Treasury'!$A$1:$BQ$1,-1,1),FALSE)</f>
        <v>0.80300000000000005</v>
      </c>
      <c r="AQ44">
        <f>VLOOKUP($A44,'UN Treasury'!$A$1:$BQ$224,_xlfn.XMATCH(AQ$1,'UN Treasury'!$A$1:$BQ$1,-1,1),FALSE)</f>
        <v>0.82599999999999996</v>
      </c>
      <c r="AR44">
        <f>VLOOKUP($A44,'UN Treasury'!$A$1:$BQ$224,_xlfn.XMATCH(AR$1,'UN Treasury'!$A$1:$BQ$1,-1,1),FALSE)</f>
        <v>0.82399999999999995</v>
      </c>
      <c r="AS44">
        <f>VLOOKUP($A44,'UN Treasury'!$A$1:$BQ$224,_xlfn.XMATCH(AS$1,'UN Treasury'!$A$1:$BQ$1,-1,1),FALSE)</f>
        <v>0.82399999999999995</v>
      </c>
      <c r="AT44">
        <f>VLOOKUP($A44,'UN Treasury'!$A$1:$BQ$224,_xlfn.XMATCH(AT$1,'UN Treasury'!$A$1:$BQ$1,-1,1),FALSE)</f>
        <v>0.80400000000000005</v>
      </c>
      <c r="AU44">
        <f>VLOOKUP($A44,'UN Treasury'!$A$1:$BQ$224,_xlfn.XMATCH(AU$1,'UN Treasury'!$A$1:$BQ$1,-1,1),FALSE)</f>
        <v>0.85199999999999998</v>
      </c>
      <c r="AV44">
        <f>VLOOKUP($A44,'UN Treasury'!$A$1:$BQ$224,_xlfn.XMATCH(AV$1,'UN Treasury'!$A$1:$BQ$1,-1,1),FALSE)</f>
        <v>0.90600000000000003</v>
      </c>
      <c r="AW44">
        <f>VLOOKUP($A44,'UN Treasury'!$A$1:$BQ$224,_xlfn.XMATCH(AW$1,'UN Treasury'!$A$1:$BQ$1,-1,1),FALSE)</f>
        <v>0.86599999999999999</v>
      </c>
      <c r="AX44">
        <f>VLOOKUP($A44,'UN Treasury'!$A$1:$BQ$224,_xlfn.XMATCH(AX$1,'UN Treasury'!$A$1:$BQ$1,-1,1),FALSE)</f>
        <v>0.81699999999999995</v>
      </c>
      <c r="AY44">
        <f>VLOOKUP($A44,'UN Treasury'!$A$1:$BQ$224,_xlfn.XMATCH(AY$1,'UN Treasury'!$A$1:$BQ$1,-1,1),FALSE)</f>
        <v>0.84199999999999997</v>
      </c>
      <c r="AZ44">
        <f>VLOOKUP($A44,'UN Treasury'!$A$1:$BQ$224,_xlfn.XMATCH(AZ$1,'UN Treasury'!$A$1:$BQ$1,-1,1),FALSE)</f>
        <v>0.82099999999999995</v>
      </c>
      <c r="BA44">
        <f>VLOOKUP($A44,'UN Treasury'!$A$1:$BQ$224,_xlfn.XMATCH(BA$1,'UN Treasury'!$A$1:$BQ$1,-1,1),FALSE)</f>
        <v>0.80800000000000005</v>
      </c>
      <c r="BB44">
        <f>VLOOKUP($A44,'UN Treasury'!$A$1:$BQ$224,_xlfn.XMATCH(BB$1,'UN Treasury'!$A$1:$BQ$1,-1,1),FALSE)</f>
        <v>0.76700000000000002</v>
      </c>
      <c r="BC44">
        <f>VLOOKUP($A44,'UN Treasury'!$A$1:$BQ$224,_xlfn.XMATCH(BC$1,'UN Treasury'!$A$1:$BQ$1,-1,1),FALSE)</f>
        <v>0.76400000000000001</v>
      </c>
      <c r="BD44">
        <f>VLOOKUP($A44,'UN Treasury'!$A$1:$BQ$224,_xlfn.XMATCH(BD$1,'UN Treasury'!$A$1:$BQ$1,-1,1),FALSE)</f>
        <v>0.73599999999999999</v>
      </c>
      <c r="BE44">
        <f>VLOOKUP($A44,'UN Treasury'!$A$1:$BQ$224,_xlfn.XMATCH(BE$1,'UN Treasury'!$A$1:$BQ$1,-1,1),FALSE)</f>
        <v>0.73099999999999998</v>
      </c>
      <c r="BF44">
        <f>VLOOKUP($A44,'UN Treasury'!$A$1:$BQ$224,_xlfn.XMATCH(BF$1,'UN Treasury'!$A$1:$BQ$1,-1,1),FALSE)</f>
        <v>0.752</v>
      </c>
      <c r="BG44">
        <f>VLOOKUP($A44,'UN Treasury'!$A$1:$BQ$224,_xlfn.XMATCH(BG$1,'UN Treasury'!$A$1:$BQ$1,-1,1),FALSE)</f>
        <v>0.747</v>
      </c>
      <c r="BH44">
        <f>VLOOKUP($A44,'UN Treasury'!$A$1:$BQ$224,_xlfn.XMATCH(BH$1,'UN Treasury'!$A$1:$BQ$1,-1,1),FALSE)</f>
        <v>0.74399999999999999</v>
      </c>
      <c r="BI44">
        <f>VLOOKUP($A44,'UN Treasury'!$A$1:$BQ$224,_xlfn.XMATCH(BI$1,'UN Treasury'!$A$1:$BQ$1,-1,1),FALSE)</f>
        <v>0.72299999999999998</v>
      </c>
      <c r="BJ44">
        <f>VLOOKUP($A44,'UN Treasury'!$A$1:$BQ$224,_xlfn.XMATCH(BJ$1,'UN Treasury'!$A$1:$BQ$1,-1,1),FALSE)</f>
        <v>0.71499999999999997</v>
      </c>
      <c r="BK44">
        <f>VLOOKUP($A44,'UN Treasury'!$A$1:$BQ$224,_xlfn.XMATCH(BK$1,'UN Treasury'!$A$1:$BQ$1,-1,1),FALSE)</f>
        <v>0.71899999999999997</v>
      </c>
      <c r="BL44">
        <f>VLOOKUP($A44,'UN Treasury'!$A$1:$BQ$224,_xlfn.XMATCH(BL$1,'UN Treasury'!$A$1:$BQ$1,-1,1),FALSE)</f>
        <v>0.70599999999999996</v>
      </c>
      <c r="BM44">
        <f>VLOOKUP($A44,'UN Treasury'!$A$1:$BQ$224,_xlfn.XMATCH(BM$1,'UN Treasury'!$A$1:$BQ$1,-1,1),FALSE)</f>
        <v>0.71699999999999997</v>
      </c>
      <c r="BN44">
        <f>VLOOKUP($A44,'UN Treasury'!$A$1:$BQ$224,_xlfn.XMATCH(BN$1,'UN Treasury'!$A$1:$BQ$1,-1,1),FALSE)</f>
        <v>0.72899999999999998</v>
      </c>
      <c r="BO44">
        <f>VLOOKUP($A44,'UN Treasury'!$A$1:$BQ$224,_xlfn.XMATCH(BO$1,'UN Treasury'!$A$1:$BQ$1,-1,1),FALSE)</f>
        <v>0.71599999999999997</v>
      </c>
      <c r="BP44">
        <f>VLOOKUP($A44,'UN Treasury'!$A$1:$BQ$224,_xlfn.XMATCH(BP$1,'UN Treasury'!$A$1:$BQ$1,-1,1),FALSE)</f>
        <v>0.72399999999999998</v>
      </c>
      <c r="BQ44">
        <f>VLOOKUP($A44,'UN Treasury'!$A$1:$BQ$224,_xlfn.XMATCH(BQ$1,'UN Treasury'!$A$1:$BQ$1,-1,1),FALSE)</f>
        <v>0.73299999999999998</v>
      </c>
    </row>
    <row r="45" spans="1:69" x14ac:dyDescent="0.25">
      <c r="A45" t="s">
        <v>118</v>
      </c>
      <c r="B45">
        <f>VLOOKUP($A45,'UN Treasury'!$A$1:$BQ$224,_xlfn.XMATCH(B$1,'UN Treasury'!$A$1:$BQ$1,-1,1),FALSE)</f>
        <v>2.5939999999999999</v>
      </c>
      <c r="C45">
        <f>VLOOKUP($A45,'UN Treasury'!$A$1:$BQ$224,_xlfn.XMATCH(C$1,'UN Treasury'!$A$1:$BQ$1,-1,1),FALSE)</f>
        <v>2.6150000000000002</v>
      </c>
      <c r="D45">
        <f>VLOOKUP($A45,'UN Treasury'!$A$1:$BQ$224,_xlfn.XMATCH(D$1,'UN Treasury'!$A$1:$BQ$1,-1,1),FALSE)</f>
        <v>2.63</v>
      </c>
      <c r="E45">
        <f>VLOOKUP($A45,'UN Treasury'!$A$1:$BQ$224,_xlfn.XMATCH(E$1,'UN Treasury'!$A$1:$BQ$1,-1,1),FALSE)</f>
        <v>2.66</v>
      </c>
      <c r="F45">
        <f>VLOOKUP($A45,'UN Treasury'!$A$1:$BQ$224,_xlfn.XMATCH(F$1,'UN Treasury'!$A$1:$BQ$1,-1,1),FALSE)</f>
        <v>2.677</v>
      </c>
      <c r="G45">
        <f>VLOOKUP($A45,'UN Treasury'!$A$1:$BQ$224,_xlfn.XMATCH(G$1,'UN Treasury'!$A$1:$BQ$1,-1,1),FALSE)</f>
        <v>2.7010000000000001</v>
      </c>
      <c r="H45">
        <f>VLOOKUP($A45,'UN Treasury'!$A$1:$BQ$224,_xlfn.XMATCH(H$1,'UN Treasury'!$A$1:$BQ$1,-1,1),FALSE)</f>
        <v>2.66</v>
      </c>
      <c r="I45">
        <f>VLOOKUP($A45,'UN Treasury'!$A$1:$BQ$224,_xlfn.XMATCH(I$1,'UN Treasury'!$A$1:$BQ$1,-1,1),FALSE)</f>
        <v>2.6749999999999998</v>
      </c>
      <c r="J45">
        <f>VLOOKUP($A45,'UN Treasury'!$A$1:$BQ$224,_xlfn.XMATCH(J$1,'UN Treasury'!$A$1:$BQ$1,-1,1),FALSE)</f>
        <v>2.6749999999999998</v>
      </c>
      <c r="K45">
        <f>VLOOKUP($A45,'UN Treasury'!$A$1:$BQ$224,_xlfn.XMATCH(K$1,'UN Treasury'!$A$1:$BQ$1,-1,1),FALSE)</f>
        <v>2.7069999999999999</v>
      </c>
      <c r="L45">
        <f>VLOOKUP($A45,'UN Treasury'!$A$1:$BQ$224,_xlfn.XMATCH(L$1,'UN Treasury'!$A$1:$BQ$1,-1,1),FALSE)</f>
        <v>2.7130000000000001</v>
      </c>
      <c r="M45">
        <f>VLOOKUP($A45,'UN Treasury'!$A$1:$BQ$224,_xlfn.XMATCH(M$1,'UN Treasury'!$A$1:$BQ$1,-1,1),FALSE)</f>
        <v>2.6930000000000001</v>
      </c>
      <c r="N45">
        <f>VLOOKUP($A45,'UN Treasury'!$A$1:$BQ$224,_xlfn.XMATCH(N$1,'UN Treasury'!$A$1:$BQ$1,-1,1),FALSE)</f>
        <v>2.6970000000000001</v>
      </c>
      <c r="O45">
        <f>VLOOKUP($A45,'UN Treasury'!$A$1:$BQ$224,_xlfn.XMATCH(O$1,'UN Treasury'!$A$1:$BQ$1,-1,1),FALSE)</f>
        <v>2.7189999999999999</v>
      </c>
      <c r="P45">
        <f>VLOOKUP($A45,'UN Treasury'!$A$1:$BQ$224,_xlfn.XMATCH(P$1,'UN Treasury'!$A$1:$BQ$1,-1,1),FALSE)</f>
        <v>2.7320000000000002</v>
      </c>
      <c r="Q45">
        <f>VLOOKUP($A45,'UN Treasury'!$A$1:$BQ$224,_xlfn.XMATCH(Q$1,'UN Treasury'!$A$1:$BQ$1,-1,1),FALSE)</f>
        <v>2.746</v>
      </c>
      <c r="R45">
        <f>VLOOKUP($A45,'UN Treasury'!$A$1:$BQ$224,_xlfn.XMATCH(R$1,'UN Treasury'!$A$1:$BQ$1,-1,1),FALSE)</f>
        <v>2.758</v>
      </c>
      <c r="S45">
        <f>VLOOKUP($A45,'UN Treasury'!$A$1:$BQ$224,_xlfn.XMATCH(S$1,'UN Treasury'!$A$1:$BQ$1,-1,1),FALSE)</f>
        <v>2.7829999999999999</v>
      </c>
      <c r="T45">
        <f>VLOOKUP($A45,'UN Treasury'!$A$1:$BQ$224,_xlfn.XMATCH(T$1,'UN Treasury'!$A$1:$BQ$1,-1,1),FALSE)</f>
        <v>2.81</v>
      </c>
      <c r="U45">
        <f>VLOOKUP($A45,'UN Treasury'!$A$1:$BQ$224,_xlfn.XMATCH(U$1,'UN Treasury'!$A$1:$BQ$1,-1,1),FALSE)</f>
        <v>2.84</v>
      </c>
      <c r="V45">
        <f>VLOOKUP($A45,'UN Treasury'!$A$1:$BQ$224,_xlfn.XMATCH(V$1,'UN Treasury'!$A$1:$BQ$1,-1,1),FALSE)</f>
        <v>2.827</v>
      </c>
      <c r="W45">
        <f>VLOOKUP($A45,'UN Treasury'!$A$1:$BQ$224,_xlfn.XMATCH(W$1,'UN Treasury'!$A$1:$BQ$1,-1,1),FALSE)</f>
        <v>2.7330000000000001</v>
      </c>
      <c r="X45">
        <f>VLOOKUP($A45,'UN Treasury'!$A$1:$BQ$224,_xlfn.XMATCH(X$1,'UN Treasury'!$A$1:$BQ$1,-1,1),FALSE)</f>
        <v>2.7450000000000001</v>
      </c>
      <c r="Y45">
        <f>VLOOKUP($A45,'UN Treasury'!$A$1:$BQ$224,_xlfn.XMATCH(Y$1,'UN Treasury'!$A$1:$BQ$1,-1,1),FALSE)</f>
        <v>2.6469999999999998</v>
      </c>
      <c r="Z45">
        <f>VLOOKUP($A45,'UN Treasury'!$A$1:$BQ$224,_xlfn.XMATCH(Z$1,'UN Treasury'!$A$1:$BQ$1,-1,1),FALSE)</f>
        <v>2.7010000000000001</v>
      </c>
      <c r="AA45">
        <f>VLOOKUP($A45,'UN Treasury'!$A$1:$BQ$224,_xlfn.XMATCH(AA$1,'UN Treasury'!$A$1:$BQ$1,-1,1),FALSE)</f>
        <v>2.7610000000000001</v>
      </c>
      <c r="AB45">
        <f>VLOOKUP($A45,'UN Treasury'!$A$1:$BQ$224,_xlfn.XMATCH(AB$1,'UN Treasury'!$A$1:$BQ$1,-1,1),FALSE)</f>
        <v>2.8490000000000002</v>
      </c>
      <c r="AC45">
        <f>VLOOKUP($A45,'UN Treasury'!$A$1:$BQ$224,_xlfn.XMATCH(AC$1,'UN Treasury'!$A$1:$BQ$1,-1,1),FALSE)</f>
        <v>2.68</v>
      </c>
      <c r="AD45">
        <f>VLOOKUP($A45,'UN Treasury'!$A$1:$BQ$224,_xlfn.XMATCH(AD$1,'UN Treasury'!$A$1:$BQ$1,-1,1),FALSE)</f>
        <v>2.6829999999999998</v>
      </c>
      <c r="AE45">
        <f>VLOOKUP($A45,'UN Treasury'!$A$1:$BQ$224,_xlfn.XMATCH(AE$1,'UN Treasury'!$A$1:$BQ$1,-1,1),FALSE)</f>
        <v>2.657</v>
      </c>
      <c r="AF45">
        <f>VLOOKUP($A45,'UN Treasury'!$A$1:$BQ$224,_xlfn.XMATCH(AF$1,'UN Treasury'!$A$1:$BQ$1,-1,1),FALSE)</f>
        <v>2.657</v>
      </c>
      <c r="AG45">
        <f>VLOOKUP($A45,'UN Treasury'!$A$1:$BQ$224,_xlfn.XMATCH(AG$1,'UN Treasury'!$A$1:$BQ$1,-1,1),FALSE)</f>
        <v>2.6880000000000002</v>
      </c>
      <c r="AH45">
        <f>VLOOKUP($A45,'UN Treasury'!$A$1:$BQ$224,_xlfn.XMATCH(AH$1,'UN Treasury'!$A$1:$BQ$1,-1,1),FALSE)</f>
        <v>2.67</v>
      </c>
      <c r="AI45">
        <f>VLOOKUP($A45,'UN Treasury'!$A$1:$BQ$224,_xlfn.XMATCH(AI$1,'UN Treasury'!$A$1:$BQ$1,-1,1),FALSE)</f>
        <v>2.7029999999999998</v>
      </c>
      <c r="AJ45">
        <f>VLOOKUP($A45,'UN Treasury'!$A$1:$BQ$224,_xlfn.XMATCH(AJ$1,'UN Treasury'!$A$1:$BQ$1,-1,1),FALSE)</f>
        <v>2.6720000000000002</v>
      </c>
      <c r="AK45">
        <f>VLOOKUP($A45,'UN Treasury'!$A$1:$BQ$224,_xlfn.XMATCH(AK$1,'UN Treasury'!$A$1:$BQ$1,-1,1),FALSE)</f>
        <v>2.625</v>
      </c>
      <c r="AL45">
        <f>VLOOKUP($A45,'UN Treasury'!$A$1:$BQ$224,_xlfn.XMATCH(AL$1,'UN Treasury'!$A$1:$BQ$1,-1,1),FALSE)</f>
        <v>2.6139999999999999</v>
      </c>
      <c r="AM45">
        <f>VLOOKUP($A45,'UN Treasury'!$A$1:$BQ$224,_xlfn.XMATCH(AM$1,'UN Treasury'!$A$1:$BQ$1,-1,1),FALSE)</f>
        <v>2.589</v>
      </c>
      <c r="AN45">
        <f>VLOOKUP($A45,'UN Treasury'!$A$1:$BQ$224,_xlfn.XMATCH(AN$1,'UN Treasury'!$A$1:$BQ$1,-1,1),FALSE)</f>
        <v>2.61</v>
      </c>
      <c r="AO45">
        <f>VLOOKUP($A45,'UN Treasury'!$A$1:$BQ$224,_xlfn.XMATCH(AO$1,'UN Treasury'!$A$1:$BQ$1,-1,1),FALSE)</f>
        <v>2.4830000000000001</v>
      </c>
      <c r="AP45">
        <f>VLOOKUP($A45,'UN Treasury'!$A$1:$BQ$224,_xlfn.XMATCH(AP$1,'UN Treasury'!$A$1:$BQ$1,-1,1),FALSE)</f>
        <v>2.5329999999999999</v>
      </c>
      <c r="AQ45">
        <f>VLOOKUP($A45,'UN Treasury'!$A$1:$BQ$224,_xlfn.XMATCH(AQ$1,'UN Treasury'!$A$1:$BQ$1,-1,1),FALSE)</f>
        <v>2.597</v>
      </c>
      <c r="AR45">
        <f>VLOOKUP($A45,'UN Treasury'!$A$1:$BQ$224,_xlfn.XMATCH(AR$1,'UN Treasury'!$A$1:$BQ$1,-1,1),FALSE)</f>
        <v>2.6560000000000001</v>
      </c>
      <c r="AS45">
        <f>VLOOKUP($A45,'UN Treasury'!$A$1:$BQ$224,_xlfn.XMATCH(AS$1,'UN Treasury'!$A$1:$BQ$1,-1,1),FALSE)</f>
        <v>2.6739999999999999</v>
      </c>
      <c r="AT45">
        <f>VLOOKUP($A45,'UN Treasury'!$A$1:$BQ$224,_xlfn.XMATCH(AT$1,'UN Treasury'!$A$1:$BQ$1,-1,1),FALSE)</f>
        <v>2.6850000000000001</v>
      </c>
      <c r="AU45">
        <f>VLOOKUP($A45,'UN Treasury'!$A$1:$BQ$224,_xlfn.XMATCH(AU$1,'UN Treasury'!$A$1:$BQ$1,-1,1),FALSE)</f>
        <v>2.734</v>
      </c>
      <c r="AV45">
        <f>VLOOKUP($A45,'UN Treasury'!$A$1:$BQ$224,_xlfn.XMATCH(AV$1,'UN Treasury'!$A$1:$BQ$1,-1,1),FALSE)</f>
        <v>2.8</v>
      </c>
      <c r="AW45">
        <f>VLOOKUP($A45,'UN Treasury'!$A$1:$BQ$224,_xlfn.XMATCH(AW$1,'UN Treasury'!$A$1:$BQ$1,-1,1),FALSE)</f>
        <v>2.8540000000000001</v>
      </c>
      <c r="AX45">
        <f>VLOOKUP($A45,'UN Treasury'!$A$1:$BQ$224,_xlfn.XMATCH(AX$1,'UN Treasury'!$A$1:$BQ$1,-1,1),FALSE)</f>
        <v>2.714</v>
      </c>
      <c r="AY45">
        <f>VLOOKUP($A45,'UN Treasury'!$A$1:$BQ$224,_xlfn.XMATCH(AY$1,'UN Treasury'!$A$1:$BQ$1,-1,1),FALSE)</f>
        <v>2.8650000000000002</v>
      </c>
      <c r="AZ45">
        <f>VLOOKUP($A45,'UN Treasury'!$A$1:$BQ$224,_xlfn.XMATCH(AZ$1,'UN Treasury'!$A$1:$BQ$1,-1,1),FALSE)</f>
        <v>2.9420000000000002</v>
      </c>
      <c r="BA45">
        <f>VLOOKUP($A45,'UN Treasury'!$A$1:$BQ$224,_xlfn.XMATCH(BA$1,'UN Treasury'!$A$1:$BQ$1,-1,1),FALSE)</f>
        <v>3.0369999999999999</v>
      </c>
      <c r="BB45">
        <f>VLOOKUP($A45,'UN Treasury'!$A$1:$BQ$224,_xlfn.XMATCH(BB$1,'UN Treasury'!$A$1:$BQ$1,-1,1),FALSE)</f>
        <v>3.0790000000000002</v>
      </c>
      <c r="BC45">
        <f>VLOOKUP($A45,'UN Treasury'!$A$1:$BQ$224,_xlfn.XMATCH(BC$1,'UN Treasury'!$A$1:$BQ$1,-1,1),FALSE)</f>
        <v>3.4</v>
      </c>
      <c r="BD45">
        <f>VLOOKUP($A45,'UN Treasury'!$A$1:$BQ$224,_xlfn.XMATCH(BD$1,'UN Treasury'!$A$1:$BQ$1,-1,1),FALSE)</f>
        <v>3.0720000000000001</v>
      </c>
      <c r="BE45">
        <f>VLOOKUP($A45,'UN Treasury'!$A$1:$BQ$224,_xlfn.XMATCH(BE$1,'UN Treasury'!$A$1:$BQ$1,-1,1),FALSE)</f>
        <v>3.077</v>
      </c>
      <c r="BF45">
        <f>VLOOKUP($A45,'UN Treasury'!$A$1:$BQ$224,_xlfn.XMATCH(BF$1,'UN Treasury'!$A$1:$BQ$1,-1,1),FALSE)</f>
        <v>3.113</v>
      </c>
      <c r="BG45">
        <f>VLOOKUP($A45,'UN Treasury'!$A$1:$BQ$224,_xlfn.XMATCH(BG$1,'UN Treasury'!$A$1:$BQ$1,-1,1),FALSE)</f>
        <v>3.14</v>
      </c>
      <c r="BH45">
        <f>VLOOKUP($A45,'UN Treasury'!$A$1:$BQ$224,_xlfn.XMATCH(BH$1,'UN Treasury'!$A$1:$BQ$1,-1,1),FALSE)</f>
        <v>3.1179999999999999</v>
      </c>
      <c r="BI45">
        <f>VLOOKUP($A45,'UN Treasury'!$A$1:$BQ$224,_xlfn.XMATCH(BI$1,'UN Treasury'!$A$1:$BQ$1,-1,1),FALSE)</f>
        <v>3.1190000000000002</v>
      </c>
      <c r="BJ45">
        <f>VLOOKUP($A45,'UN Treasury'!$A$1:$BQ$224,_xlfn.XMATCH(BJ$1,'UN Treasury'!$A$1:$BQ$1,-1,1),FALSE)</f>
        <v>3.1</v>
      </c>
      <c r="BK45">
        <f>VLOOKUP($A45,'UN Treasury'!$A$1:$BQ$224,_xlfn.XMATCH(BK$1,'UN Treasury'!$A$1:$BQ$1,-1,1),FALSE)</f>
        <v>3.165</v>
      </c>
      <c r="BL45">
        <f>VLOOKUP($A45,'UN Treasury'!$A$1:$BQ$224,_xlfn.XMATCH(BL$1,'UN Treasury'!$A$1:$BQ$1,-1,1),FALSE)</f>
        <v>3.306</v>
      </c>
      <c r="BM45">
        <f>VLOOKUP($A45,'UN Treasury'!$A$1:$BQ$224,_xlfn.XMATCH(BM$1,'UN Treasury'!$A$1:$BQ$1,-1,1),FALSE)</f>
        <v>3.4460000000000002</v>
      </c>
      <c r="BN45">
        <f>VLOOKUP($A45,'UN Treasury'!$A$1:$BQ$224,_xlfn.XMATCH(BN$1,'UN Treasury'!$A$1:$BQ$1,-1,1),FALSE)</f>
        <v>3.3330000000000002</v>
      </c>
      <c r="BO45">
        <f>VLOOKUP($A45,'UN Treasury'!$A$1:$BQ$224,_xlfn.XMATCH(BO$1,'UN Treasury'!$A$1:$BQ$1,-1,1),FALSE)</f>
        <v>3.3079999999999998</v>
      </c>
      <c r="BP45">
        <f>VLOOKUP($A45,'UN Treasury'!$A$1:$BQ$224,_xlfn.XMATCH(BP$1,'UN Treasury'!$A$1:$BQ$1,-1,1),FALSE)</f>
        <v>3.3039999999999998</v>
      </c>
      <c r="BQ45">
        <f>VLOOKUP($A45,'UN Treasury'!$A$1:$BQ$224,_xlfn.XMATCH(BQ$1,'UN Treasury'!$A$1:$BQ$1,-1,1),FALSE)</f>
        <v>3.2679999999999998</v>
      </c>
    </row>
    <row r="46" spans="1:69" x14ac:dyDescent="0.25">
      <c r="A46" t="s">
        <v>120</v>
      </c>
      <c r="B46">
        <f>VLOOKUP($A46,'UN Treasury'!$A$1:$BQ$224,_xlfn.XMATCH(B$1,'UN Treasury'!$A$1:$BQ$1,-1,1),FALSE)</f>
        <v>11.15</v>
      </c>
      <c r="C46">
        <f>VLOOKUP($A46,'UN Treasury'!$A$1:$BQ$224,_xlfn.XMATCH(C$1,'UN Treasury'!$A$1:$BQ$1,-1,1),FALSE)</f>
        <v>11.475</v>
      </c>
      <c r="D46">
        <f>VLOOKUP($A46,'UN Treasury'!$A$1:$BQ$224,_xlfn.XMATCH(D$1,'UN Treasury'!$A$1:$BQ$1,-1,1),FALSE)</f>
        <v>11.1</v>
      </c>
      <c r="E46">
        <f>VLOOKUP($A46,'UN Treasury'!$A$1:$BQ$224,_xlfn.XMATCH(E$1,'UN Treasury'!$A$1:$BQ$1,-1,1),FALSE)</f>
        <v>11.32</v>
      </c>
      <c r="F46">
        <f>VLOOKUP($A46,'UN Treasury'!$A$1:$BQ$224,_xlfn.XMATCH(F$1,'UN Treasury'!$A$1:$BQ$1,-1,1),FALSE)</f>
        <v>11.02</v>
      </c>
      <c r="G46">
        <f>VLOOKUP($A46,'UN Treasury'!$A$1:$BQ$224,_xlfn.XMATCH(G$1,'UN Treasury'!$A$1:$BQ$1,-1,1),FALSE)</f>
        <v>10.82</v>
      </c>
      <c r="H46">
        <f>VLOOKUP($A46,'UN Treasury'!$A$1:$BQ$224,_xlfn.XMATCH(H$1,'UN Treasury'!$A$1:$BQ$1,-1,1),FALSE)</f>
        <v>10.98</v>
      </c>
      <c r="I46">
        <f>VLOOKUP($A46,'UN Treasury'!$A$1:$BQ$224,_xlfn.XMATCH(I$1,'UN Treasury'!$A$1:$BQ$1,-1,1),FALSE)</f>
        <v>10.7</v>
      </c>
      <c r="J46">
        <f>VLOOKUP($A46,'UN Treasury'!$A$1:$BQ$224,_xlfn.XMATCH(J$1,'UN Treasury'!$A$1:$BQ$1,-1,1),FALSE)</f>
        <v>11.45</v>
      </c>
      <c r="K46">
        <f>VLOOKUP($A46,'UN Treasury'!$A$1:$BQ$224,_xlfn.XMATCH(K$1,'UN Treasury'!$A$1:$BQ$1,-1,1),FALSE)</f>
        <v>10.929</v>
      </c>
      <c r="L46">
        <f>VLOOKUP($A46,'UN Treasury'!$A$1:$BQ$224,_xlfn.XMATCH(L$1,'UN Treasury'!$A$1:$BQ$1,-1,1),FALSE)</f>
        <v>11.8</v>
      </c>
      <c r="M46">
        <f>VLOOKUP($A46,'UN Treasury'!$A$1:$BQ$224,_xlfn.XMATCH(M$1,'UN Treasury'!$A$1:$BQ$1,-1,1),FALSE)</f>
        <v>12.1</v>
      </c>
      <c r="N46">
        <f>VLOOKUP($A46,'UN Treasury'!$A$1:$BQ$224,_xlfn.XMATCH(N$1,'UN Treasury'!$A$1:$BQ$1,-1,1),FALSE)</f>
        <v>10.6</v>
      </c>
      <c r="O46">
        <f>VLOOKUP($A46,'UN Treasury'!$A$1:$BQ$224,_xlfn.XMATCH(O$1,'UN Treasury'!$A$1:$BQ$1,-1,1),FALSE)</f>
        <v>10.35</v>
      </c>
      <c r="P46">
        <f>VLOOKUP($A46,'UN Treasury'!$A$1:$BQ$224,_xlfn.XMATCH(P$1,'UN Treasury'!$A$1:$BQ$1,-1,1),FALSE)</f>
        <v>10.199999999999999</v>
      </c>
      <c r="Q46">
        <f>VLOOKUP($A46,'UN Treasury'!$A$1:$BQ$224,_xlfn.XMATCH(Q$1,'UN Treasury'!$A$1:$BQ$1,-1,1),FALSE)</f>
        <v>12.5</v>
      </c>
      <c r="R46">
        <f>VLOOKUP($A46,'UN Treasury'!$A$1:$BQ$224,_xlfn.XMATCH(R$1,'UN Treasury'!$A$1:$BQ$1,-1,1),FALSE)</f>
        <v>15.45</v>
      </c>
      <c r="S46">
        <f>VLOOKUP($A46,'UN Treasury'!$A$1:$BQ$224,_xlfn.XMATCH(S$1,'UN Treasury'!$A$1:$BQ$1,-1,1),FALSE)</f>
        <v>15.45</v>
      </c>
      <c r="T46">
        <f>VLOOKUP($A46,'UN Treasury'!$A$1:$BQ$224,_xlfn.XMATCH(T$1,'UN Treasury'!$A$1:$BQ$1,-1,1),FALSE)</f>
        <v>15.4</v>
      </c>
      <c r="U46">
        <f>VLOOKUP($A46,'UN Treasury'!$A$1:$BQ$224,_xlfn.XMATCH(U$1,'UN Treasury'!$A$1:$BQ$1,-1,1),FALSE)</f>
        <v>14.75</v>
      </c>
      <c r="V46">
        <f>VLOOKUP($A46,'UN Treasury'!$A$1:$BQ$224,_xlfn.XMATCH(V$1,'UN Treasury'!$A$1:$BQ$1,-1,1),FALSE)</f>
        <v>14.65</v>
      </c>
      <c r="W46">
        <f>VLOOKUP($A46,'UN Treasury'!$A$1:$BQ$224,_xlfn.XMATCH(W$1,'UN Treasury'!$A$1:$BQ$1,-1,1),FALSE)</f>
        <v>16.058</v>
      </c>
      <c r="X46">
        <f>VLOOKUP($A46,'UN Treasury'!$A$1:$BQ$224,_xlfn.XMATCH(X$1,'UN Treasury'!$A$1:$BQ$1,-1,1),FALSE)</f>
        <v>15.9</v>
      </c>
      <c r="Y46">
        <f>VLOOKUP($A46,'UN Treasury'!$A$1:$BQ$224,_xlfn.XMATCH(Y$1,'UN Treasury'!$A$1:$BQ$1,-1,1),FALSE)</f>
        <v>15.62</v>
      </c>
      <c r="Z46">
        <f>VLOOKUP($A46,'UN Treasury'!$A$1:$BQ$224,_xlfn.XMATCH(Z$1,'UN Treasury'!$A$1:$BQ$1,-1,1),FALSE)</f>
        <v>15.592000000000001</v>
      </c>
      <c r="AA46">
        <f>VLOOKUP($A46,'UN Treasury'!$A$1:$BQ$224,_xlfn.XMATCH(AA$1,'UN Treasury'!$A$1:$BQ$1,-1,1),FALSE)</f>
        <v>15.35</v>
      </c>
      <c r="AB46">
        <f>VLOOKUP($A46,'UN Treasury'!$A$1:$BQ$224,_xlfn.XMATCH(AB$1,'UN Treasury'!$A$1:$BQ$1,-1,1),FALSE)</f>
        <v>14.95</v>
      </c>
      <c r="AC46">
        <f>VLOOKUP($A46,'UN Treasury'!$A$1:$BQ$224,_xlfn.XMATCH(AC$1,'UN Treasury'!$A$1:$BQ$1,-1,1),FALSE)</f>
        <v>14</v>
      </c>
      <c r="AD46">
        <f>VLOOKUP($A46,'UN Treasury'!$A$1:$BQ$224,_xlfn.XMATCH(AD$1,'UN Treasury'!$A$1:$BQ$1,-1,1),FALSE)</f>
        <v>13.414</v>
      </c>
      <c r="AE46">
        <f>VLOOKUP($A46,'UN Treasury'!$A$1:$BQ$224,_xlfn.XMATCH(AE$1,'UN Treasury'!$A$1:$BQ$1,-1,1),FALSE)</f>
        <v>12.85</v>
      </c>
      <c r="AF46">
        <f>VLOOKUP($A46,'UN Treasury'!$A$1:$BQ$224,_xlfn.XMATCH(AF$1,'UN Treasury'!$A$1:$BQ$1,-1,1),FALSE)</f>
        <v>12.4</v>
      </c>
      <c r="AG46">
        <f>VLOOKUP($A46,'UN Treasury'!$A$1:$BQ$224,_xlfn.XMATCH(AG$1,'UN Treasury'!$A$1:$BQ$1,-1,1),FALSE)</f>
        <v>11.92</v>
      </c>
      <c r="AH46">
        <f>VLOOKUP($A46,'UN Treasury'!$A$1:$BQ$224,_xlfn.XMATCH(AH$1,'UN Treasury'!$A$1:$BQ$1,-1,1),FALSE)</f>
        <v>11.972</v>
      </c>
      <c r="AI46">
        <f>VLOOKUP($A46,'UN Treasury'!$A$1:$BQ$224,_xlfn.XMATCH(AI$1,'UN Treasury'!$A$1:$BQ$1,-1,1),FALSE)</f>
        <v>11.894</v>
      </c>
      <c r="AJ46">
        <f>VLOOKUP($A46,'UN Treasury'!$A$1:$BQ$224,_xlfn.XMATCH(AJ$1,'UN Treasury'!$A$1:$BQ$1,-1,1),FALSE)</f>
        <v>11.73</v>
      </c>
      <c r="AK46">
        <f>VLOOKUP($A46,'UN Treasury'!$A$1:$BQ$224,_xlfn.XMATCH(AK$1,'UN Treasury'!$A$1:$BQ$1,-1,1),FALSE)</f>
        <v>11.4</v>
      </c>
      <c r="AL46">
        <f>VLOOKUP($A46,'UN Treasury'!$A$1:$BQ$224,_xlfn.XMATCH(AL$1,'UN Treasury'!$A$1:$BQ$1,-1,1),FALSE)</f>
        <v>11</v>
      </c>
      <c r="AM46">
        <f>VLOOKUP($A46,'UN Treasury'!$A$1:$BQ$224,_xlfn.XMATCH(AM$1,'UN Treasury'!$A$1:$BQ$1,-1,1),FALSE)</f>
        <v>11</v>
      </c>
      <c r="AN46">
        <f>VLOOKUP($A46,'UN Treasury'!$A$1:$BQ$224,_xlfn.XMATCH(AN$1,'UN Treasury'!$A$1:$BQ$1,-1,1),FALSE)</f>
        <v>11</v>
      </c>
      <c r="AO46">
        <f>VLOOKUP($A46,'UN Treasury'!$A$1:$BQ$224,_xlfn.XMATCH(AO$1,'UN Treasury'!$A$1:$BQ$1,-1,1),FALSE)</f>
        <v>11.56</v>
      </c>
      <c r="AP46">
        <f>VLOOKUP($A46,'UN Treasury'!$A$1:$BQ$224,_xlfn.XMATCH(AP$1,'UN Treasury'!$A$1:$BQ$1,-1,1),FALSE)</f>
        <v>10.85</v>
      </c>
      <c r="AQ46">
        <f>VLOOKUP($A46,'UN Treasury'!$A$1:$BQ$224,_xlfn.XMATCH(AQ$1,'UN Treasury'!$A$1:$BQ$1,-1,1),FALSE)</f>
        <v>12</v>
      </c>
      <c r="AR46">
        <f>VLOOKUP($A46,'UN Treasury'!$A$1:$BQ$224,_xlfn.XMATCH(AR$1,'UN Treasury'!$A$1:$BQ$1,-1,1),FALSE)</f>
        <v>11.85</v>
      </c>
      <c r="AS46">
        <f>VLOOKUP($A46,'UN Treasury'!$A$1:$BQ$224,_xlfn.XMATCH(AS$1,'UN Treasury'!$A$1:$BQ$1,-1,1),FALSE)</f>
        <v>11</v>
      </c>
      <c r="AT46">
        <f>VLOOKUP($A46,'UN Treasury'!$A$1:$BQ$224,_xlfn.XMATCH(AT$1,'UN Treasury'!$A$1:$BQ$1,-1,1),FALSE)</f>
        <v>11</v>
      </c>
      <c r="AU46">
        <f>VLOOKUP($A46,'UN Treasury'!$A$1:$BQ$224,_xlfn.XMATCH(AU$1,'UN Treasury'!$A$1:$BQ$1,-1,1),FALSE)</f>
        <v>13.913</v>
      </c>
      <c r="AV46">
        <f>VLOOKUP($A46,'UN Treasury'!$A$1:$BQ$224,_xlfn.XMATCH(AV$1,'UN Treasury'!$A$1:$BQ$1,-1,1),FALSE)</f>
        <v>10.4</v>
      </c>
      <c r="AW46">
        <f>VLOOKUP($A46,'UN Treasury'!$A$1:$BQ$224,_xlfn.XMATCH(AW$1,'UN Treasury'!$A$1:$BQ$1,-1,1),FALSE)</f>
        <v>9.91</v>
      </c>
      <c r="AX46">
        <f>VLOOKUP($A46,'UN Treasury'!$A$1:$BQ$224,_xlfn.XMATCH(AX$1,'UN Treasury'!$A$1:$BQ$1,-1,1),FALSE)</f>
        <v>8.8420000000000005</v>
      </c>
      <c r="AY46">
        <f>VLOOKUP($A46,'UN Treasury'!$A$1:$BQ$224,_xlfn.XMATCH(AY$1,'UN Treasury'!$A$1:$BQ$1,-1,1),FALSE)</f>
        <v>7.96</v>
      </c>
      <c r="AZ46">
        <f>VLOOKUP($A46,'UN Treasury'!$A$1:$BQ$224,_xlfn.XMATCH(AZ$1,'UN Treasury'!$A$1:$BQ$1,-1,1),FALSE)</f>
        <v>7.7930000000000001</v>
      </c>
      <c r="BA46">
        <f>VLOOKUP($A46,'UN Treasury'!$A$1:$BQ$224,_xlfn.XMATCH(BA$1,'UN Treasury'!$A$1:$BQ$1,-1,1),FALSE)</f>
        <v>7.3840000000000003</v>
      </c>
      <c r="BB46">
        <f>VLOOKUP($A46,'UN Treasury'!$A$1:$BQ$224,_xlfn.XMATCH(BB$1,'UN Treasury'!$A$1:$BQ$1,-1,1),FALSE)</f>
        <v>7.3860000000000001</v>
      </c>
      <c r="BC46">
        <f>VLOOKUP($A46,'UN Treasury'!$A$1:$BQ$224,_xlfn.XMATCH(BC$1,'UN Treasury'!$A$1:$BQ$1,-1,1),FALSE)</f>
        <v>6.97</v>
      </c>
      <c r="BD46">
        <f>VLOOKUP($A46,'UN Treasury'!$A$1:$BQ$224,_xlfn.XMATCH(BD$1,'UN Treasury'!$A$1:$BQ$1,-1,1),FALSE)</f>
        <v>6.2539999999999996</v>
      </c>
      <c r="BE46">
        <f>VLOOKUP($A46,'UN Treasury'!$A$1:$BQ$224,_xlfn.XMATCH(BE$1,'UN Treasury'!$A$1:$BQ$1,-1,1),FALSE)</f>
        <v>6.05</v>
      </c>
      <c r="BF46">
        <f>VLOOKUP($A46,'UN Treasury'!$A$1:$BQ$224,_xlfn.XMATCH(BF$1,'UN Treasury'!$A$1:$BQ$1,-1,1),FALSE)</f>
        <v>6.0209999999999999</v>
      </c>
      <c r="BG46">
        <f>VLOOKUP($A46,'UN Treasury'!$A$1:$BQ$224,_xlfn.XMATCH(BG$1,'UN Treasury'!$A$1:$BQ$1,-1,1),FALSE)</f>
        <v>6</v>
      </c>
      <c r="BH46">
        <f>VLOOKUP($A46,'UN Treasury'!$A$1:$BQ$224,_xlfn.XMATCH(BH$1,'UN Treasury'!$A$1:$BQ$1,-1,1),FALSE)</f>
        <v>5.9550000000000001</v>
      </c>
      <c r="BI46">
        <f>VLOOKUP($A46,'UN Treasury'!$A$1:$BQ$224,_xlfn.XMATCH(BI$1,'UN Treasury'!$A$1:$BQ$1,-1,1),FALSE)</f>
        <v>5.976</v>
      </c>
      <c r="BJ46">
        <f>VLOOKUP($A46,'UN Treasury'!$A$1:$BQ$224,_xlfn.XMATCH(BJ$1,'UN Treasury'!$A$1:$BQ$1,-1,1),FALSE)</f>
        <v>5.9279999999999999</v>
      </c>
      <c r="BK46">
        <f>VLOOKUP($A46,'UN Treasury'!$A$1:$BQ$224,_xlfn.XMATCH(BK$1,'UN Treasury'!$A$1:$BQ$1,-1,1),FALSE)</f>
        <v>5.8179999999999996</v>
      </c>
      <c r="BL46">
        <f>VLOOKUP($A46,'UN Treasury'!$A$1:$BQ$224,_xlfn.XMATCH(BL$1,'UN Treasury'!$A$1:$BQ$1,-1,1),FALSE)</f>
        <v>5.766</v>
      </c>
      <c r="BM46">
        <f>VLOOKUP($A46,'UN Treasury'!$A$1:$BQ$224,_xlfn.XMATCH(BM$1,'UN Treasury'!$A$1:$BQ$1,-1,1),FALSE)</f>
        <v>5.76</v>
      </c>
      <c r="BN46">
        <f>VLOOKUP($A46,'UN Treasury'!$A$1:$BQ$224,_xlfn.XMATCH(BN$1,'UN Treasury'!$A$1:$BQ$1,-1,1),FALSE)</f>
        <v>5.75</v>
      </c>
      <c r="BO46">
        <f>VLOOKUP($A46,'UN Treasury'!$A$1:$BQ$224,_xlfn.XMATCH(BO$1,'UN Treasury'!$A$1:$BQ$1,-1,1),FALSE)</f>
        <v>5.7629999999999999</v>
      </c>
      <c r="BP46">
        <f>VLOOKUP($A46,'UN Treasury'!$A$1:$BQ$224,_xlfn.XMATCH(BP$1,'UN Treasury'!$A$1:$BQ$1,-1,1),FALSE)</f>
        <v>5.8070000000000004</v>
      </c>
      <c r="BQ46">
        <f>VLOOKUP($A46,'UN Treasury'!$A$1:$BQ$224,_xlfn.XMATCH(BQ$1,'UN Treasury'!$A$1:$BQ$1,-1,1),FALSE)</f>
        <v>5.8239999999999998</v>
      </c>
    </row>
    <row r="47" spans="1:69" x14ac:dyDescent="0.25">
      <c r="A47" t="s">
        <v>338</v>
      </c>
      <c r="B47">
        <f>VLOOKUP($A47,'UN Treasury'!$A$1:$BQ$224,_xlfn.XMATCH(B$1,'UN Treasury'!$A$1:$BQ$1,-1,1),FALSE)</f>
        <v>0.74099999999999999</v>
      </c>
      <c r="C47">
        <f>VLOOKUP($A47,'UN Treasury'!$A$1:$BQ$224,_xlfn.XMATCH(C$1,'UN Treasury'!$A$1:$BQ$1,-1,1),FALSE)</f>
        <v>0.747</v>
      </c>
      <c r="D47">
        <f>VLOOKUP($A47,'UN Treasury'!$A$1:$BQ$224,_xlfn.XMATCH(D$1,'UN Treasury'!$A$1:$BQ$1,-1,1),FALSE)</f>
        <v>0.749</v>
      </c>
      <c r="E47">
        <f>VLOOKUP($A47,'UN Treasury'!$A$1:$BQ$224,_xlfn.XMATCH(E$1,'UN Treasury'!$A$1:$BQ$1,-1,1),FALSE)</f>
        <v>0.74</v>
      </c>
      <c r="F47">
        <f>VLOOKUP($A47,'UN Treasury'!$A$1:$BQ$224,_xlfn.XMATCH(F$1,'UN Treasury'!$A$1:$BQ$1,-1,1),FALSE)</f>
        <v>0.74299999999999999</v>
      </c>
      <c r="G47">
        <f>VLOOKUP($A47,'UN Treasury'!$A$1:$BQ$224,_xlfn.XMATCH(G$1,'UN Treasury'!$A$1:$BQ$1,-1,1),FALSE)</f>
        <v>0.748</v>
      </c>
      <c r="H47">
        <f>VLOOKUP($A47,'UN Treasury'!$A$1:$BQ$224,_xlfn.XMATCH(H$1,'UN Treasury'!$A$1:$BQ$1,-1,1),FALSE)</f>
        <v>0.73199999999999998</v>
      </c>
      <c r="I47">
        <f>VLOOKUP($A47,'UN Treasury'!$A$1:$BQ$224,_xlfn.XMATCH(I$1,'UN Treasury'!$A$1:$BQ$1,-1,1),FALSE)</f>
        <v>0.74399999999999999</v>
      </c>
      <c r="J47">
        <f>VLOOKUP($A47,'UN Treasury'!$A$1:$BQ$224,_xlfn.XMATCH(J$1,'UN Treasury'!$A$1:$BQ$1,-1,1),FALSE)</f>
        <v>0.745</v>
      </c>
      <c r="K47">
        <f>VLOOKUP($A47,'UN Treasury'!$A$1:$BQ$224,_xlfn.XMATCH(K$1,'UN Treasury'!$A$1:$BQ$1,-1,1),FALSE)</f>
        <v>0.76400000000000001</v>
      </c>
      <c r="L47">
        <f>VLOOKUP($A47,'UN Treasury'!$A$1:$BQ$224,_xlfn.XMATCH(L$1,'UN Treasury'!$A$1:$BQ$1,-1,1),FALSE)</f>
        <v>0.75</v>
      </c>
      <c r="M47">
        <f>VLOOKUP($A47,'UN Treasury'!$A$1:$BQ$224,_xlfn.XMATCH(M$1,'UN Treasury'!$A$1:$BQ$1,-1,1),FALSE)</f>
        <v>0.73799999999999999</v>
      </c>
      <c r="N47">
        <f>VLOOKUP($A47,'UN Treasury'!$A$1:$BQ$224,_xlfn.XMATCH(N$1,'UN Treasury'!$A$1:$BQ$1,-1,1),FALSE)</f>
        <v>0.73699999999999999</v>
      </c>
      <c r="O47">
        <f>VLOOKUP($A47,'UN Treasury'!$A$1:$BQ$224,_xlfn.XMATCH(O$1,'UN Treasury'!$A$1:$BQ$1,-1,1),FALSE)</f>
        <v>0.74</v>
      </c>
      <c r="P47">
        <f>VLOOKUP($A47,'UN Treasury'!$A$1:$BQ$224,_xlfn.XMATCH(P$1,'UN Treasury'!$A$1:$BQ$1,-1,1),FALSE)</f>
        <v>0.74</v>
      </c>
      <c r="Q47">
        <f>VLOOKUP($A47,'UN Treasury'!$A$1:$BQ$224,_xlfn.XMATCH(Q$1,'UN Treasury'!$A$1:$BQ$1,-1,1),FALSE)</f>
        <v>0.755</v>
      </c>
      <c r="R47">
        <f>VLOOKUP($A47,'UN Treasury'!$A$1:$BQ$224,_xlfn.XMATCH(R$1,'UN Treasury'!$A$1:$BQ$1,-1,1),FALSE)</f>
        <v>0.76400000000000001</v>
      </c>
      <c r="S47">
        <f>VLOOKUP($A47,'UN Treasury'!$A$1:$BQ$224,_xlfn.XMATCH(S$1,'UN Treasury'!$A$1:$BQ$1,-1,1),FALSE)</f>
        <v>0.77300000000000002</v>
      </c>
      <c r="T47">
        <f>VLOOKUP($A47,'UN Treasury'!$A$1:$BQ$224,_xlfn.XMATCH(T$1,'UN Treasury'!$A$1:$BQ$1,-1,1),FALSE)</f>
        <v>0.80700000000000005</v>
      </c>
      <c r="U47">
        <f>VLOOKUP($A47,'UN Treasury'!$A$1:$BQ$224,_xlfn.XMATCH(U$1,'UN Treasury'!$A$1:$BQ$1,-1,1),FALSE)</f>
        <v>0.82299999999999995</v>
      </c>
      <c r="V47">
        <f>VLOOKUP($A47,'UN Treasury'!$A$1:$BQ$224,_xlfn.XMATCH(V$1,'UN Treasury'!$A$1:$BQ$1,-1,1),FALSE)</f>
        <v>0.78400000000000003</v>
      </c>
      <c r="W47">
        <f>VLOOKUP($A47,'UN Treasury'!$A$1:$BQ$224,_xlfn.XMATCH(W$1,'UN Treasury'!$A$1:$BQ$1,-1,1),FALSE)</f>
        <v>0.78600000000000003</v>
      </c>
      <c r="X47">
        <f>VLOOKUP($A47,'UN Treasury'!$A$1:$BQ$224,_xlfn.XMATCH(X$1,'UN Treasury'!$A$1:$BQ$1,-1,1),FALSE)</f>
        <v>0.76500000000000001</v>
      </c>
      <c r="Y47">
        <f>VLOOKUP($A47,'UN Treasury'!$A$1:$BQ$224,_xlfn.XMATCH(Y$1,'UN Treasury'!$A$1:$BQ$1,-1,1),FALSE)</f>
        <v>0.76600000000000001</v>
      </c>
      <c r="Z47">
        <f>VLOOKUP($A47,'UN Treasury'!$A$1:$BQ$224,_xlfn.XMATCH(Z$1,'UN Treasury'!$A$1:$BQ$1,-1,1),FALSE)</f>
        <v>0.78</v>
      </c>
      <c r="AA47">
        <f>VLOOKUP($A47,'UN Treasury'!$A$1:$BQ$224,_xlfn.XMATCH(AA$1,'UN Treasury'!$A$1:$BQ$1,-1,1),FALSE)</f>
        <v>0.77300000000000002</v>
      </c>
      <c r="AB47">
        <f>VLOOKUP($A47,'UN Treasury'!$A$1:$BQ$224,_xlfn.XMATCH(AB$1,'UN Treasury'!$A$1:$BQ$1,-1,1),FALSE)</f>
        <v>0.77900000000000003</v>
      </c>
      <c r="AC47">
        <f>VLOOKUP($A47,'UN Treasury'!$A$1:$BQ$224,_xlfn.XMATCH(AC$1,'UN Treasury'!$A$1:$BQ$1,-1,1),FALSE)</f>
        <v>0.79600000000000004</v>
      </c>
      <c r="AD47">
        <f>VLOOKUP($A47,'UN Treasury'!$A$1:$BQ$224,_xlfn.XMATCH(AD$1,'UN Treasury'!$A$1:$BQ$1,-1,1),FALSE)</f>
        <v>0.79700000000000004</v>
      </c>
      <c r="AE47">
        <f>VLOOKUP($A47,'UN Treasury'!$A$1:$BQ$224,_xlfn.XMATCH(AE$1,'UN Treasury'!$A$1:$BQ$1,-1,1),FALSE)</f>
        <v>0.78100000000000003</v>
      </c>
      <c r="AF47">
        <f>VLOOKUP($A47,'UN Treasury'!$A$1:$BQ$224,_xlfn.XMATCH(AF$1,'UN Treasury'!$A$1:$BQ$1,-1,1),FALSE)</f>
        <v>0.79300000000000004</v>
      </c>
      <c r="AG47">
        <f>VLOOKUP($A47,'UN Treasury'!$A$1:$BQ$224,_xlfn.XMATCH(AG$1,'UN Treasury'!$A$1:$BQ$1,-1,1),FALSE)</f>
        <v>0.78600000000000003</v>
      </c>
      <c r="AH47">
        <f>VLOOKUP($A47,'UN Treasury'!$A$1:$BQ$224,_xlfn.XMATCH(AH$1,'UN Treasury'!$A$1:$BQ$1,-1,1),FALSE)</f>
        <v>0.79900000000000004</v>
      </c>
      <c r="AI47">
        <f>VLOOKUP($A47,'UN Treasury'!$A$1:$BQ$224,_xlfn.XMATCH(AI$1,'UN Treasury'!$A$1:$BQ$1,-1,1),FALSE)</f>
        <v>0.81699999999999995</v>
      </c>
      <c r="AJ47">
        <f>VLOOKUP($A47,'UN Treasury'!$A$1:$BQ$224,_xlfn.XMATCH(AJ$1,'UN Treasury'!$A$1:$BQ$1,-1,1),FALSE)</f>
        <v>0.81100000000000005</v>
      </c>
      <c r="AK47">
        <f>VLOOKUP($A47,'UN Treasury'!$A$1:$BQ$224,_xlfn.XMATCH(AK$1,'UN Treasury'!$A$1:$BQ$1,-1,1),FALSE)</f>
        <v>0.8</v>
      </c>
      <c r="AL47">
        <f>VLOOKUP($A47,'UN Treasury'!$A$1:$BQ$224,_xlfn.XMATCH(AL$1,'UN Treasury'!$A$1:$BQ$1,-1,1),FALSE)</f>
        <v>0.78800000000000003</v>
      </c>
      <c r="AM47">
        <f>VLOOKUP($A47,'UN Treasury'!$A$1:$BQ$224,_xlfn.XMATCH(AM$1,'UN Treasury'!$A$1:$BQ$1,-1,1),FALSE)</f>
        <v>0.77</v>
      </c>
      <c r="AN47">
        <f>VLOOKUP($A47,'UN Treasury'!$A$1:$BQ$224,_xlfn.XMATCH(AN$1,'UN Treasury'!$A$1:$BQ$1,-1,1),FALSE)</f>
        <v>0.79500000000000004</v>
      </c>
      <c r="AO47">
        <f>VLOOKUP($A47,'UN Treasury'!$A$1:$BQ$224,_xlfn.XMATCH(AO$1,'UN Treasury'!$A$1:$BQ$1,-1,1),FALSE)</f>
        <v>0.79900000000000004</v>
      </c>
      <c r="AP47">
        <f>VLOOKUP($A47,'UN Treasury'!$A$1:$BQ$224,_xlfn.XMATCH(AP$1,'UN Treasury'!$A$1:$BQ$1,-1,1),FALSE)</f>
        <v>0.80300000000000005</v>
      </c>
      <c r="AQ47">
        <f>VLOOKUP($A47,'UN Treasury'!$A$1:$BQ$224,_xlfn.XMATCH(AQ$1,'UN Treasury'!$A$1:$BQ$1,-1,1),FALSE)</f>
        <v>0.82599999999999996</v>
      </c>
      <c r="AR47">
        <f>VLOOKUP($A47,'UN Treasury'!$A$1:$BQ$224,_xlfn.XMATCH(AR$1,'UN Treasury'!$A$1:$BQ$1,-1,1),FALSE)</f>
        <v>0.82399999999999995</v>
      </c>
      <c r="AS47">
        <f>VLOOKUP($A47,'UN Treasury'!$A$1:$BQ$224,_xlfn.XMATCH(AS$1,'UN Treasury'!$A$1:$BQ$1,-1,1),FALSE)</f>
        <v>0.82399999999999995</v>
      </c>
      <c r="AT47">
        <f>VLOOKUP($A47,'UN Treasury'!$A$1:$BQ$224,_xlfn.XMATCH(AT$1,'UN Treasury'!$A$1:$BQ$1,-1,1),FALSE)</f>
        <v>0.80400000000000005</v>
      </c>
      <c r="AU47">
        <f>VLOOKUP($A47,'UN Treasury'!$A$1:$BQ$224,_xlfn.XMATCH(AU$1,'UN Treasury'!$A$1:$BQ$1,-1,1),FALSE)</f>
        <v>0.85199999999999998</v>
      </c>
      <c r="AV47">
        <f>VLOOKUP($A47,'UN Treasury'!$A$1:$BQ$224,_xlfn.XMATCH(AV$1,'UN Treasury'!$A$1:$BQ$1,-1,1),FALSE)</f>
        <v>0.90600000000000003</v>
      </c>
      <c r="AW47">
        <f>VLOOKUP($A47,'UN Treasury'!$A$1:$BQ$224,_xlfn.XMATCH(AW$1,'UN Treasury'!$A$1:$BQ$1,-1,1),FALSE)</f>
        <v>0.86599999999999999</v>
      </c>
      <c r="AX47">
        <f>VLOOKUP($A47,'UN Treasury'!$A$1:$BQ$224,_xlfn.XMATCH(AX$1,'UN Treasury'!$A$1:$BQ$1,-1,1),FALSE)</f>
        <v>0.81699999999999995</v>
      </c>
      <c r="AY47">
        <f>VLOOKUP($A47,'UN Treasury'!$A$1:$BQ$224,_xlfn.XMATCH(AY$1,'UN Treasury'!$A$1:$BQ$1,-1,1),FALSE)</f>
        <v>0.84199999999999997</v>
      </c>
      <c r="AZ47">
        <f>VLOOKUP($A47,'UN Treasury'!$A$1:$BQ$224,_xlfn.XMATCH(AZ$1,'UN Treasury'!$A$1:$BQ$1,-1,1),FALSE)</f>
        <v>0.82099999999999995</v>
      </c>
      <c r="BA47">
        <f>VLOOKUP($A47,'UN Treasury'!$A$1:$BQ$224,_xlfn.XMATCH(BA$1,'UN Treasury'!$A$1:$BQ$1,-1,1),FALSE)</f>
        <v>0.80800000000000005</v>
      </c>
      <c r="BB47">
        <f>VLOOKUP($A47,'UN Treasury'!$A$1:$BQ$224,_xlfn.XMATCH(BB$1,'UN Treasury'!$A$1:$BQ$1,-1,1),FALSE)</f>
        <v>0.76700000000000002</v>
      </c>
      <c r="BC47">
        <f>VLOOKUP($A47,'UN Treasury'!$A$1:$BQ$224,_xlfn.XMATCH(BC$1,'UN Treasury'!$A$1:$BQ$1,-1,1),FALSE)</f>
        <v>0.76400000000000001</v>
      </c>
      <c r="BD47">
        <f>VLOOKUP($A47,'UN Treasury'!$A$1:$BQ$224,_xlfn.XMATCH(BD$1,'UN Treasury'!$A$1:$BQ$1,-1,1),FALSE)</f>
        <v>0.73599999999999999</v>
      </c>
      <c r="BE47">
        <f>VLOOKUP($A47,'UN Treasury'!$A$1:$BQ$224,_xlfn.XMATCH(BE$1,'UN Treasury'!$A$1:$BQ$1,-1,1),FALSE)</f>
        <v>0.73099999999999998</v>
      </c>
      <c r="BF47">
        <f>VLOOKUP($A47,'UN Treasury'!$A$1:$BQ$224,_xlfn.XMATCH(BF$1,'UN Treasury'!$A$1:$BQ$1,-1,1),FALSE)</f>
        <v>0.752</v>
      </c>
      <c r="BG47">
        <f>VLOOKUP($A47,'UN Treasury'!$A$1:$BQ$224,_xlfn.XMATCH(BG$1,'UN Treasury'!$A$1:$BQ$1,-1,1),FALSE)</f>
        <v>0.747</v>
      </c>
      <c r="BH47">
        <f>VLOOKUP($A47,'UN Treasury'!$A$1:$BQ$224,_xlfn.XMATCH(BH$1,'UN Treasury'!$A$1:$BQ$1,-1,1),FALSE)</f>
        <v>0.74399999999999999</v>
      </c>
      <c r="BI47">
        <f>VLOOKUP($A47,'UN Treasury'!$A$1:$BQ$224,_xlfn.XMATCH(BI$1,'UN Treasury'!$A$1:$BQ$1,-1,1),FALSE)</f>
        <v>0.72299999999999998</v>
      </c>
      <c r="BJ47">
        <f>VLOOKUP($A47,'UN Treasury'!$A$1:$BQ$224,_xlfn.XMATCH(BJ$1,'UN Treasury'!$A$1:$BQ$1,-1,1),FALSE)</f>
        <v>0.71499999999999997</v>
      </c>
      <c r="BK47">
        <f>VLOOKUP($A47,'UN Treasury'!$A$1:$BQ$224,_xlfn.XMATCH(BK$1,'UN Treasury'!$A$1:$BQ$1,-1,1),FALSE)</f>
        <v>0.71899999999999997</v>
      </c>
      <c r="BL47">
        <f>VLOOKUP($A47,'UN Treasury'!$A$1:$BQ$224,_xlfn.XMATCH(BL$1,'UN Treasury'!$A$1:$BQ$1,-1,1),FALSE)</f>
        <v>0.70599999999999996</v>
      </c>
      <c r="BM47">
        <f>VLOOKUP($A47,'UN Treasury'!$A$1:$BQ$224,_xlfn.XMATCH(BM$1,'UN Treasury'!$A$1:$BQ$1,-1,1),FALSE)</f>
        <v>0.71699999999999997</v>
      </c>
      <c r="BN47">
        <f>VLOOKUP($A47,'UN Treasury'!$A$1:$BQ$224,_xlfn.XMATCH(BN$1,'UN Treasury'!$A$1:$BQ$1,-1,1),FALSE)</f>
        <v>0.72899999999999998</v>
      </c>
      <c r="BO47">
        <f>VLOOKUP($A47,'UN Treasury'!$A$1:$BQ$224,_xlfn.XMATCH(BO$1,'UN Treasury'!$A$1:$BQ$1,-1,1),FALSE)</f>
        <v>0.71599999999999997</v>
      </c>
      <c r="BP47">
        <f>VLOOKUP($A47,'UN Treasury'!$A$1:$BQ$224,_xlfn.XMATCH(BP$1,'UN Treasury'!$A$1:$BQ$1,-1,1),FALSE)</f>
        <v>0.72399999999999998</v>
      </c>
      <c r="BQ47">
        <f>VLOOKUP($A47,'UN Treasury'!$A$1:$BQ$224,_xlfn.XMATCH(BQ$1,'UN Treasury'!$A$1:$BQ$1,-1,1),FALSE)</f>
        <v>0.73299999999999998</v>
      </c>
    </row>
    <row r="48" spans="1:69" x14ac:dyDescent="0.25">
      <c r="A48" t="s">
        <v>122</v>
      </c>
      <c r="B48">
        <f>VLOOKUP($A48,'UN Treasury'!$A$1:$BQ$224,_xlfn.XMATCH(B$1,'UN Treasury'!$A$1:$BQ$1,-1,1),FALSE)</f>
        <v>73.652000000000001</v>
      </c>
      <c r="C48">
        <f>VLOOKUP($A48,'UN Treasury'!$A$1:$BQ$224,_xlfn.XMATCH(C$1,'UN Treasury'!$A$1:$BQ$1,-1,1),FALSE)</f>
        <v>72.736000000000004</v>
      </c>
      <c r="D48">
        <f>VLOOKUP($A48,'UN Treasury'!$A$1:$BQ$224,_xlfn.XMATCH(D$1,'UN Treasury'!$A$1:$BQ$1,-1,1),FALSE)</f>
        <v>72.436999999999998</v>
      </c>
      <c r="E48">
        <f>VLOOKUP($A48,'UN Treasury'!$A$1:$BQ$224,_xlfn.XMATCH(E$1,'UN Treasury'!$A$1:$BQ$1,-1,1),FALSE)</f>
        <v>72.924999999999997</v>
      </c>
      <c r="F48">
        <f>VLOOKUP($A48,'UN Treasury'!$A$1:$BQ$224,_xlfn.XMATCH(F$1,'UN Treasury'!$A$1:$BQ$1,-1,1),FALSE)</f>
        <v>72.924999999999997</v>
      </c>
      <c r="G48">
        <f>VLOOKUP($A48,'UN Treasury'!$A$1:$BQ$224,_xlfn.XMATCH(G$1,'UN Treasury'!$A$1:$BQ$1,-1,1),FALSE)</f>
        <v>72.375</v>
      </c>
      <c r="H48">
        <f>VLOOKUP($A48,'UN Treasury'!$A$1:$BQ$224,_xlfn.XMATCH(H$1,'UN Treasury'!$A$1:$BQ$1,-1,1),FALSE)</f>
        <v>72.375</v>
      </c>
      <c r="I48">
        <f>VLOOKUP($A48,'UN Treasury'!$A$1:$BQ$224,_xlfn.XMATCH(I$1,'UN Treasury'!$A$1:$BQ$1,-1,1),FALSE)</f>
        <v>72.7</v>
      </c>
      <c r="J48">
        <f>VLOOKUP($A48,'UN Treasury'!$A$1:$BQ$224,_xlfn.XMATCH(J$1,'UN Treasury'!$A$1:$BQ$1,-1,1),FALSE)</f>
        <v>72.77</v>
      </c>
      <c r="K48">
        <f>VLOOKUP($A48,'UN Treasury'!$A$1:$BQ$224,_xlfn.XMATCH(K$1,'UN Treasury'!$A$1:$BQ$1,-1,1),FALSE)</f>
        <v>72.819999999999993</v>
      </c>
      <c r="L48">
        <f>VLOOKUP($A48,'UN Treasury'!$A$1:$BQ$224,_xlfn.XMATCH(L$1,'UN Treasury'!$A$1:$BQ$1,-1,1),FALSE)</f>
        <v>72.63</v>
      </c>
      <c r="M48">
        <f>VLOOKUP($A48,'UN Treasury'!$A$1:$BQ$224,_xlfn.XMATCH(M$1,'UN Treasury'!$A$1:$BQ$1,-1,1),FALSE)</f>
        <v>72.05</v>
      </c>
      <c r="N48">
        <f>VLOOKUP($A48,'UN Treasury'!$A$1:$BQ$224,_xlfn.XMATCH(N$1,'UN Treasury'!$A$1:$BQ$1,-1,1),FALSE)</f>
        <v>72</v>
      </c>
      <c r="O48">
        <f>VLOOKUP($A48,'UN Treasury'!$A$1:$BQ$224,_xlfn.XMATCH(O$1,'UN Treasury'!$A$1:$BQ$1,-1,1),FALSE)</f>
        <v>72.11</v>
      </c>
      <c r="P48">
        <f>VLOOKUP($A48,'UN Treasury'!$A$1:$BQ$224,_xlfn.XMATCH(P$1,'UN Treasury'!$A$1:$BQ$1,-1,1),FALSE)</f>
        <v>71.84</v>
      </c>
      <c r="Q48">
        <f>VLOOKUP($A48,'UN Treasury'!$A$1:$BQ$224,_xlfn.XMATCH(Q$1,'UN Treasury'!$A$1:$BQ$1,-1,1),FALSE)</f>
        <v>71.14</v>
      </c>
      <c r="R48">
        <f>VLOOKUP($A48,'UN Treasury'!$A$1:$BQ$224,_xlfn.XMATCH(R$1,'UN Treasury'!$A$1:$BQ$1,-1,1),FALSE)</f>
        <v>71.11</v>
      </c>
      <c r="S48">
        <f>VLOOKUP($A48,'UN Treasury'!$A$1:$BQ$224,_xlfn.XMATCH(S$1,'UN Treasury'!$A$1:$BQ$1,-1,1),FALSE)</f>
        <v>70.87</v>
      </c>
      <c r="T48">
        <f>VLOOKUP($A48,'UN Treasury'!$A$1:$BQ$224,_xlfn.XMATCH(T$1,'UN Treasury'!$A$1:$BQ$1,-1,1),FALSE)</f>
        <v>70.959999999999994</v>
      </c>
      <c r="U48">
        <f>VLOOKUP($A48,'UN Treasury'!$A$1:$BQ$224,_xlfn.XMATCH(U$1,'UN Treasury'!$A$1:$BQ$1,-1,1),FALSE)</f>
        <v>71.260000000000005</v>
      </c>
      <c r="V48">
        <f>VLOOKUP($A48,'UN Treasury'!$A$1:$BQ$224,_xlfn.XMATCH(V$1,'UN Treasury'!$A$1:$BQ$1,-1,1),FALSE)</f>
        <v>71.19</v>
      </c>
      <c r="W48">
        <f>VLOOKUP($A48,'UN Treasury'!$A$1:$BQ$224,_xlfn.XMATCH(W$1,'UN Treasury'!$A$1:$BQ$1,-1,1),FALSE)</f>
        <v>70.316000000000003</v>
      </c>
      <c r="X48">
        <f>VLOOKUP($A48,'UN Treasury'!$A$1:$BQ$224,_xlfn.XMATCH(X$1,'UN Treasury'!$A$1:$BQ$1,-1,1),FALSE)</f>
        <v>69.849999999999994</v>
      </c>
      <c r="Y48">
        <f>VLOOKUP($A48,'UN Treasury'!$A$1:$BQ$224,_xlfn.XMATCH(Y$1,'UN Treasury'!$A$1:$BQ$1,-1,1),FALSE)</f>
        <v>69.86</v>
      </c>
      <c r="Z48">
        <f>VLOOKUP($A48,'UN Treasury'!$A$1:$BQ$224,_xlfn.XMATCH(Z$1,'UN Treasury'!$A$1:$BQ$1,-1,1),FALSE)</f>
        <v>68.39</v>
      </c>
      <c r="AA48">
        <f>VLOOKUP($A48,'UN Treasury'!$A$1:$BQ$224,_xlfn.XMATCH(AA$1,'UN Treasury'!$A$1:$BQ$1,-1,1),FALSE)</f>
        <v>67.75</v>
      </c>
      <c r="AB48">
        <f>VLOOKUP($A48,'UN Treasury'!$A$1:$BQ$224,_xlfn.XMATCH(AB$1,'UN Treasury'!$A$1:$BQ$1,-1,1),FALSE)</f>
        <v>67.8</v>
      </c>
      <c r="AC48">
        <f>VLOOKUP($A48,'UN Treasury'!$A$1:$BQ$224,_xlfn.XMATCH(AC$1,'UN Treasury'!$A$1:$BQ$1,-1,1),FALSE)</f>
        <v>67.7</v>
      </c>
      <c r="AD48">
        <f>VLOOKUP($A48,'UN Treasury'!$A$1:$BQ$224,_xlfn.XMATCH(AD$1,'UN Treasury'!$A$1:$BQ$1,-1,1),FALSE)</f>
        <v>67.650000000000006</v>
      </c>
      <c r="AE48">
        <f>VLOOKUP($A48,'UN Treasury'!$A$1:$BQ$224,_xlfn.XMATCH(AE$1,'UN Treasury'!$A$1:$BQ$1,-1,1),FALSE)</f>
        <v>67.97</v>
      </c>
      <c r="AF48">
        <f>VLOOKUP($A48,'UN Treasury'!$A$1:$BQ$224,_xlfn.XMATCH(AF$1,'UN Treasury'!$A$1:$BQ$1,-1,1),FALSE)</f>
        <v>67.400000000000006</v>
      </c>
      <c r="AG48">
        <f>VLOOKUP($A48,'UN Treasury'!$A$1:$BQ$224,_xlfn.XMATCH(AG$1,'UN Treasury'!$A$1:$BQ$1,-1,1),FALSE)</f>
        <v>65.2</v>
      </c>
      <c r="AH48">
        <f>VLOOKUP($A48,'UN Treasury'!$A$1:$BQ$224,_xlfn.XMATCH(AH$1,'UN Treasury'!$A$1:$BQ$1,-1,1),FALSE)</f>
        <v>63.54</v>
      </c>
      <c r="AI48">
        <f>VLOOKUP($A48,'UN Treasury'!$A$1:$BQ$224,_xlfn.XMATCH(AI$1,'UN Treasury'!$A$1:$BQ$1,-1,1),FALSE)</f>
        <v>62.28</v>
      </c>
      <c r="AJ48">
        <f>VLOOKUP($A48,'UN Treasury'!$A$1:$BQ$224,_xlfn.XMATCH(AJ$1,'UN Treasury'!$A$1:$BQ$1,-1,1),FALSE)</f>
        <v>61.7</v>
      </c>
      <c r="AK48">
        <f>VLOOKUP($A48,'UN Treasury'!$A$1:$BQ$224,_xlfn.XMATCH(AK$1,'UN Treasury'!$A$1:$BQ$1,-1,1),FALSE)</f>
        <v>60.43</v>
      </c>
      <c r="AL48">
        <f>VLOOKUP($A48,'UN Treasury'!$A$1:$BQ$224,_xlfn.XMATCH(AL$1,'UN Treasury'!$A$1:$BQ$1,-1,1),FALSE)</f>
        <v>60.35</v>
      </c>
      <c r="AM48">
        <f>VLOOKUP($A48,'UN Treasury'!$A$1:$BQ$224,_xlfn.XMATCH(AM$1,'UN Treasury'!$A$1:$BQ$1,-1,1),FALSE)</f>
        <v>61.15</v>
      </c>
      <c r="AN48">
        <f>VLOOKUP($A48,'UN Treasury'!$A$1:$BQ$224,_xlfn.XMATCH(AN$1,'UN Treasury'!$A$1:$BQ$1,-1,1),FALSE)</f>
        <v>59.24</v>
      </c>
      <c r="AO48">
        <f>VLOOKUP($A48,'UN Treasury'!$A$1:$BQ$224,_xlfn.XMATCH(AO$1,'UN Treasury'!$A$1:$BQ$1,-1,1),FALSE)</f>
        <v>59.61</v>
      </c>
      <c r="AP48">
        <f>VLOOKUP($A48,'UN Treasury'!$A$1:$BQ$224,_xlfn.XMATCH(AP$1,'UN Treasury'!$A$1:$BQ$1,-1,1),FALSE)</f>
        <v>61.9</v>
      </c>
      <c r="AQ48">
        <f>VLOOKUP($A48,'UN Treasury'!$A$1:$BQ$224,_xlfn.XMATCH(AQ$1,'UN Treasury'!$A$1:$BQ$1,-1,1),FALSE)</f>
        <v>61.11</v>
      </c>
      <c r="AR48">
        <f>VLOOKUP($A48,'UN Treasury'!$A$1:$BQ$224,_xlfn.XMATCH(AR$1,'UN Treasury'!$A$1:$BQ$1,-1,1),FALSE)</f>
        <v>60.87</v>
      </c>
      <c r="AS48">
        <f>VLOOKUP($A48,'UN Treasury'!$A$1:$BQ$224,_xlfn.XMATCH(AS$1,'UN Treasury'!$A$1:$BQ$1,-1,1),FALSE)</f>
        <v>61</v>
      </c>
      <c r="AT48">
        <f>VLOOKUP($A48,'UN Treasury'!$A$1:$BQ$224,_xlfn.XMATCH(AT$1,'UN Treasury'!$A$1:$BQ$1,-1,1),FALSE)</f>
        <v>61.14</v>
      </c>
      <c r="AU48">
        <f>VLOOKUP($A48,'UN Treasury'!$A$1:$BQ$224,_xlfn.XMATCH(AU$1,'UN Treasury'!$A$1:$BQ$1,-1,1),FALSE)</f>
        <v>58.97</v>
      </c>
      <c r="AV48">
        <f>VLOOKUP($A48,'UN Treasury'!$A$1:$BQ$224,_xlfn.XMATCH(AV$1,'UN Treasury'!$A$1:$BQ$1,-1,1),FALSE)</f>
        <v>56.787999999999997</v>
      </c>
      <c r="AW48">
        <f>VLOOKUP($A48,'UN Treasury'!$A$1:$BQ$224,_xlfn.XMATCH(AW$1,'UN Treasury'!$A$1:$BQ$1,-1,1),FALSE)</f>
        <v>54.49</v>
      </c>
      <c r="AX48">
        <f>VLOOKUP($A48,'UN Treasury'!$A$1:$BQ$224,_xlfn.XMATCH(AX$1,'UN Treasury'!$A$1:$BQ$1,-1,1),FALSE)</f>
        <v>53.86</v>
      </c>
      <c r="AY48">
        <f>VLOOKUP($A48,'UN Treasury'!$A$1:$BQ$224,_xlfn.XMATCH(AY$1,'UN Treasury'!$A$1:$BQ$1,-1,1),FALSE)</f>
        <v>53.85</v>
      </c>
      <c r="AZ48">
        <f>VLOOKUP($A48,'UN Treasury'!$A$1:$BQ$224,_xlfn.XMATCH(AZ$1,'UN Treasury'!$A$1:$BQ$1,-1,1),FALSE)</f>
        <v>53.6</v>
      </c>
      <c r="BA48">
        <f>VLOOKUP($A48,'UN Treasury'!$A$1:$BQ$224,_xlfn.XMATCH(BA$1,'UN Treasury'!$A$1:$BQ$1,-1,1),FALSE)</f>
        <v>53.08</v>
      </c>
      <c r="BB48">
        <f>VLOOKUP($A48,'UN Treasury'!$A$1:$BQ$224,_xlfn.XMATCH(BB$1,'UN Treasury'!$A$1:$BQ$1,-1,1),FALSE)</f>
        <v>53.18</v>
      </c>
      <c r="BC48">
        <f>VLOOKUP($A48,'UN Treasury'!$A$1:$BQ$224,_xlfn.XMATCH(BC$1,'UN Treasury'!$A$1:$BQ$1,-1,1),FALSE)</f>
        <v>53.93</v>
      </c>
      <c r="BD48">
        <f>VLOOKUP($A48,'UN Treasury'!$A$1:$BQ$224,_xlfn.XMATCH(BD$1,'UN Treasury'!$A$1:$BQ$1,-1,1),FALSE)</f>
        <v>53.55</v>
      </c>
      <c r="BE48">
        <f>VLOOKUP($A48,'UN Treasury'!$A$1:$BQ$224,_xlfn.XMATCH(BE$1,'UN Treasury'!$A$1:$BQ$1,-1,1),FALSE)</f>
        <v>53.05</v>
      </c>
      <c r="BF48">
        <f>VLOOKUP($A48,'UN Treasury'!$A$1:$BQ$224,_xlfn.XMATCH(BF$1,'UN Treasury'!$A$1:$BQ$1,-1,1),FALSE)</f>
        <v>52.88</v>
      </c>
      <c r="BG48">
        <f>VLOOKUP($A48,'UN Treasury'!$A$1:$BQ$224,_xlfn.XMATCH(BG$1,'UN Treasury'!$A$1:$BQ$1,-1,1),FALSE)</f>
        <v>52.28</v>
      </c>
      <c r="BH48">
        <f>VLOOKUP($A48,'UN Treasury'!$A$1:$BQ$224,_xlfn.XMATCH(BH$1,'UN Treasury'!$A$1:$BQ$1,-1,1),FALSE)</f>
        <v>51.84</v>
      </c>
      <c r="BI48">
        <f>VLOOKUP($A48,'UN Treasury'!$A$1:$BQ$224,_xlfn.XMATCH(BI$1,'UN Treasury'!$A$1:$BQ$1,-1,1),FALSE)</f>
        <v>51.46</v>
      </c>
      <c r="BJ48">
        <f>VLOOKUP($A48,'UN Treasury'!$A$1:$BQ$224,_xlfn.XMATCH(BJ$1,'UN Treasury'!$A$1:$BQ$1,-1,1),FALSE)</f>
        <v>51.16</v>
      </c>
      <c r="BK48">
        <f>VLOOKUP($A48,'UN Treasury'!$A$1:$BQ$224,_xlfn.XMATCH(BK$1,'UN Treasury'!$A$1:$BQ$1,-1,1),FALSE)</f>
        <v>51.15</v>
      </c>
      <c r="BL48">
        <f>VLOOKUP($A48,'UN Treasury'!$A$1:$BQ$224,_xlfn.XMATCH(BL$1,'UN Treasury'!$A$1:$BQ$1,-1,1),FALSE)</f>
        <v>51.16</v>
      </c>
      <c r="BM48">
        <f>VLOOKUP($A48,'UN Treasury'!$A$1:$BQ$224,_xlfn.XMATCH(BM$1,'UN Treasury'!$A$1:$BQ$1,-1,1),FALSE)</f>
        <v>51.07</v>
      </c>
      <c r="BN48">
        <f>VLOOKUP($A48,'UN Treasury'!$A$1:$BQ$224,_xlfn.XMATCH(BN$1,'UN Treasury'!$A$1:$BQ$1,-1,1),FALSE)</f>
        <v>51.07</v>
      </c>
      <c r="BO48">
        <f>VLOOKUP($A48,'UN Treasury'!$A$1:$BQ$224,_xlfn.XMATCH(BO$1,'UN Treasury'!$A$1:$BQ$1,-1,1),FALSE)</f>
        <v>51.21</v>
      </c>
      <c r="BP48">
        <f>VLOOKUP($A48,'UN Treasury'!$A$1:$BQ$224,_xlfn.XMATCH(BP$1,'UN Treasury'!$A$1:$BQ$1,-1,1),FALSE)</f>
        <v>51.35</v>
      </c>
      <c r="BQ48">
        <f>VLOOKUP($A48,'UN Treasury'!$A$1:$BQ$224,_xlfn.XMATCH(BQ$1,'UN Treasury'!$A$1:$BQ$1,-1,1),FALSE)</f>
        <v>51</v>
      </c>
    </row>
    <row r="49" spans="1:69" x14ac:dyDescent="0.25">
      <c r="A49" t="s">
        <v>125</v>
      </c>
      <c r="B49">
        <f>VLOOKUP($A49,'UN Treasury'!$A$1:$BQ$224,_xlfn.XMATCH(B$1,'UN Treasury'!$A$1:$BQ$1,-1,1),FALSE)</f>
        <v>8760.0400000000009</v>
      </c>
      <c r="C49">
        <f>VLOOKUP($A49,'UN Treasury'!$A$1:$BQ$224,_xlfn.XMATCH(C$1,'UN Treasury'!$A$1:$BQ$1,-1,1),FALSE)</f>
        <v>8717.19</v>
      </c>
      <c r="D49">
        <f>VLOOKUP($A49,'UN Treasury'!$A$1:$BQ$224,_xlfn.XMATCH(D$1,'UN Treasury'!$A$1:$BQ$1,-1,1),FALSE)</f>
        <v>8717.19</v>
      </c>
      <c r="E49">
        <f>VLOOKUP($A49,'UN Treasury'!$A$1:$BQ$224,_xlfn.XMATCH(E$1,'UN Treasury'!$A$1:$BQ$1,-1,1),FALSE)</f>
        <v>8742.27</v>
      </c>
      <c r="F49">
        <f>VLOOKUP($A49,'UN Treasury'!$A$1:$BQ$224,_xlfn.XMATCH(F$1,'UN Treasury'!$A$1:$BQ$1,-1,1),FALSE)</f>
        <v>8730</v>
      </c>
      <c r="G49">
        <f>VLOOKUP($A49,'UN Treasury'!$A$1:$BQ$224,_xlfn.XMATCH(G$1,'UN Treasury'!$A$1:$BQ$1,-1,1),FALSE)</f>
        <v>8730</v>
      </c>
      <c r="H49">
        <f>VLOOKUP($A49,'UN Treasury'!$A$1:$BQ$224,_xlfn.XMATCH(H$1,'UN Treasury'!$A$1:$BQ$1,-1,1),FALSE)</f>
        <v>8730</v>
      </c>
      <c r="I49">
        <f>VLOOKUP($A49,'UN Treasury'!$A$1:$BQ$224,_xlfn.XMATCH(I$1,'UN Treasury'!$A$1:$BQ$1,-1,1),FALSE)</f>
        <v>8692</v>
      </c>
      <c r="J49">
        <f>VLOOKUP($A49,'UN Treasury'!$A$1:$BQ$224,_xlfn.XMATCH(J$1,'UN Treasury'!$A$1:$BQ$1,-1,1),FALSE)</f>
        <v>8657</v>
      </c>
      <c r="K49">
        <f>VLOOKUP($A49,'UN Treasury'!$A$1:$BQ$224,_xlfn.XMATCH(K$1,'UN Treasury'!$A$1:$BQ$1,-1,1),FALSE)</f>
        <v>8633</v>
      </c>
      <c r="L49">
        <f>VLOOKUP($A49,'UN Treasury'!$A$1:$BQ$224,_xlfn.XMATCH(L$1,'UN Treasury'!$A$1:$BQ$1,-1,1),FALSE)</f>
        <v>8630.75</v>
      </c>
      <c r="M49">
        <f>VLOOKUP($A49,'UN Treasury'!$A$1:$BQ$224,_xlfn.XMATCH(M$1,'UN Treasury'!$A$1:$BQ$1,-1,1),FALSE)</f>
        <v>8630.75</v>
      </c>
      <c r="N49">
        <f>VLOOKUP($A49,'UN Treasury'!$A$1:$BQ$224,_xlfn.XMATCH(N$1,'UN Treasury'!$A$1:$BQ$1,-1,1),FALSE)</f>
        <v>8625</v>
      </c>
      <c r="O49">
        <f>VLOOKUP($A49,'UN Treasury'!$A$1:$BQ$224,_xlfn.XMATCH(O$1,'UN Treasury'!$A$1:$BQ$1,-1,1),FALSE)</f>
        <v>8625</v>
      </c>
      <c r="P49">
        <f>VLOOKUP($A49,'UN Treasury'!$A$1:$BQ$224,_xlfn.XMATCH(P$1,'UN Treasury'!$A$1:$BQ$1,-1,1),FALSE)</f>
        <v>8609</v>
      </c>
      <c r="Q49">
        <f>VLOOKUP($A49,'UN Treasury'!$A$1:$BQ$224,_xlfn.XMATCH(Q$1,'UN Treasury'!$A$1:$BQ$1,-1,1),FALSE)</f>
        <v>8607.69</v>
      </c>
      <c r="R49">
        <f>VLOOKUP($A49,'UN Treasury'!$A$1:$BQ$224,_xlfn.XMATCH(R$1,'UN Treasury'!$A$1:$BQ$1,-1,1),FALSE)</f>
        <v>8600.8700000000008</v>
      </c>
      <c r="S49">
        <f>VLOOKUP($A49,'UN Treasury'!$A$1:$BQ$224,_xlfn.XMATCH(S$1,'UN Treasury'!$A$1:$BQ$1,-1,1),FALSE)</f>
        <v>8600.35</v>
      </c>
      <c r="T49">
        <f>VLOOKUP($A49,'UN Treasury'!$A$1:$BQ$224,_xlfn.XMATCH(T$1,'UN Treasury'!$A$1:$BQ$1,-1,1),FALSE)</f>
        <v>8599.31</v>
      </c>
      <c r="U49">
        <f>VLOOKUP($A49,'UN Treasury'!$A$1:$BQ$224,_xlfn.XMATCH(U$1,'UN Treasury'!$A$1:$BQ$1,-1,1),FALSE)</f>
        <v>8586</v>
      </c>
      <c r="V49">
        <f>VLOOKUP($A49,'UN Treasury'!$A$1:$BQ$224,_xlfn.XMATCH(V$1,'UN Treasury'!$A$1:$BQ$1,-1,1),FALSE)</f>
        <v>8552.17</v>
      </c>
      <c r="W49">
        <f>VLOOKUP($A49,'UN Treasury'!$A$1:$BQ$224,_xlfn.XMATCH(W$1,'UN Treasury'!$A$1:$BQ$1,-1,1),FALSE)</f>
        <v>8556</v>
      </c>
      <c r="X49">
        <f>VLOOKUP($A49,'UN Treasury'!$A$1:$BQ$224,_xlfn.XMATCH(X$1,'UN Treasury'!$A$1:$BQ$1,-1,1),FALSE)</f>
        <v>8571.74</v>
      </c>
      <c r="Y49">
        <f>VLOOKUP($A49,'UN Treasury'!$A$1:$BQ$224,_xlfn.XMATCH(Y$1,'UN Treasury'!$A$1:$BQ$1,-1,1),FALSE)</f>
        <v>8575</v>
      </c>
      <c r="Z49">
        <f>VLOOKUP($A49,'UN Treasury'!$A$1:$BQ$224,_xlfn.XMATCH(Z$1,'UN Treasury'!$A$1:$BQ$1,-1,1),FALSE)</f>
        <v>8551.89</v>
      </c>
      <c r="AA49">
        <f>VLOOKUP($A49,'UN Treasury'!$A$1:$BQ$224,_xlfn.XMATCH(AA$1,'UN Treasury'!$A$1:$BQ$1,-1,1),FALSE)</f>
        <v>8529</v>
      </c>
      <c r="AB49">
        <f>VLOOKUP($A49,'UN Treasury'!$A$1:$BQ$224,_xlfn.XMATCH(AB$1,'UN Treasury'!$A$1:$BQ$1,-1,1),FALSE)</f>
        <v>8524.52</v>
      </c>
      <c r="AC49">
        <f>VLOOKUP($A49,'UN Treasury'!$A$1:$BQ$224,_xlfn.XMATCH(AC$1,'UN Treasury'!$A$1:$BQ$1,-1,1),FALSE)</f>
        <v>8502.01</v>
      </c>
      <c r="AD49">
        <f>VLOOKUP($A49,'UN Treasury'!$A$1:$BQ$224,_xlfn.XMATCH(AD$1,'UN Treasury'!$A$1:$BQ$1,-1,1),FALSE)</f>
        <v>8506</v>
      </c>
      <c r="AE49">
        <f>VLOOKUP($A49,'UN Treasury'!$A$1:$BQ$224,_xlfn.XMATCH(AE$1,'UN Treasury'!$A$1:$BQ$1,-1,1),FALSE)</f>
        <v>8506</v>
      </c>
      <c r="AF49">
        <f>VLOOKUP($A49,'UN Treasury'!$A$1:$BQ$224,_xlfn.XMATCH(AF$1,'UN Treasury'!$A$1:$BQ$1,-1,1),FALSE)</f>
        <v>8510.42</v>
      </c>
      <c r="AG49">
        <f>VLOOKUP($A49,'UN Treasury'!$A$1:$BQ$224,_xlfn.XMATCH(AG$1,'UN Treasury'!$A$1:$BQ$1,-1,1),FALSE)</f>
        <v>8510.42</v>
      </c>
      <c r="AH49">
        <f>VLOOKUP($A49,'UN Treasury'!$A$1:$BQ$224,_xlfn.XMATCH(AH$1,'UN Treasury'!$A$1:$BQ$1,-1,1),FALSE)</f>
        <v>8505</v>
      </c>
      <c r="AI49">
        <f>VLOOKUP($A49,'UN Treasury'!$A$1:$BQ$224,_xlfn.XMATCH(AI$1,'UN Treasury'!$A$1:$BQ$1,-1,1),FALSE)</f>
        <v>8505</v>
      </c>
      <c r="AJ49">
        <f>VLOOKUP($A49,'UN Treasury'!$A$1:$BQ$224,_xlfn.XMATCH(AJ$1,'UN Treasury'!$A$1:$BQ$1,-1,1),FALSE)</f>
        <v>8495</v>
      </c>
      <c r="AK49">
        <f>VLOOKUP($A49,'UN Treasury'!$A$1:$BQ$224,_xlfn.XMATCH(AK$1,'UN Treasury'!$A$1:$BQ$1,-1,1),FALSE)</f>
        <v>8494</v>
      </c>
      <c r="AL49">
        <f>VLOOKUP($A49,'UN Treasury'!$A$1:$BQ$224,_xlfn.XMATCH(AL$1,'UN Treasury'!$A$1:$BQ$1,-1,1),FALSE)</f>
        <v>8513.61</v>
      </c>
      <c r="AM49">
        <f>VLOOKUP($A49,'UN Treasury'!$A$1:$BQ$224,_xlfn.XMATCH(AM$1,'UN Treasury'!$A$1:$BQ$1,-1,1),FALSE)</f>
        <v>8506.24</v>
      </c>
      <c r="AN49">
        <f>VLOOKUP($A49,'UN Treasury'!$A$1:$BQ$224,_xlfn.XMATCH(AN$1,'UN Treasury'!$A$1:$BQ$1,-1,1),FALSE)</f>
        <v>8505.07</v>
      </c>
      <c r="AO49">
        <f>VLOOKUP($A49,'UN Treasury'!$A$1:$BQ$224,_xlfn.XMATCH(AO$1,'UN Treasury'!$A$1:$BQ$1,-1,1),FALSE)</f>
        <v>8503.1299999999992</v>
      </c>
      <c r="AP49">
        <f>VLOOKUP($A49,'UN Treasury'!$A$1:$BQ$224,_xlfn.XMATCH(AP$1,'UN Treasury'!$A$1:$BQ$1,-1,1),FALSE)</f>
        <v>8502.64</v>
      </c>
      <c r="AQ49">
        <f>VLOOKUP($A49,'UN Treasury'!$A$1:$BQ$224,_xlfn.XMATCH(AQ$1,'UN Treasury'!$A$1:$BQ$1,-1,1),FALSE)</f>
        <v>8523.1299999999992</v>
      </c>
      <c r="AR49">
        <f>VLOOKUP($A49,'UN Treasury'!$A$1:$BQ$224,_xlfn.XMATCH(AR$1,'UN Treasury'!$A$1:$BQ$1,-1,1),FALSE)</f>
        <v>8521.16</v>
      </c>
      <c r="AS49">
        <f>VLOOKUP($A49,'UN Treasury'!$A$1:$BQ$224,_xlfn.XMATCH(AS$1,'UN Treasury'!$A$1:$BQ$1,-1,1),FALSE)</f>
        <v>8539.7999999999993</v>
      </c>
      <c r="AT49">
        <f>VLOOKUP($A49,'UN Treasury'!$A$1:$BQ$224,_xlfn.XMATCH(AT$1,'UN Treasury'!$A$1:$BQ$1,-1,1),FALSE)</f>
        <v>8543.0300000000007</v>
      </c>
      <c r="AU49">
        <f>VLOOKUP($A49,'UN Treasury'!$A$1:$BQ$224,_xlfn.XMATCH(AU$1,'UN Treasury'!$A$1:$BQ$1,-1,1),FALSE)</f>
        <v>8536.86</v>
      </c>
      <c r="AV49">
        <f>VLOOKUP($A49,'UN Treasury'!$A$1:$BQ$224,_xlfn.XMATCH(AV$1,'UN Treasury'!$A$1:$BQ$1,-1,1),FALSE)</f>
        <v>8573.18</v>
      </c>
      <c r="AW49">
        <f>VLOOKUP($A49,'UN Treasury'!$A$1:$BQ$224,_xlfn.XMATCH(AW$1,'UN Treasury'!$A$1:$BQ$1,-1,1),FALSE)</f>
        <v>8606.18</v>
      </c>
      <c r="AX49">
        <f>VLOOKUP($A49,'UN Treasury'!$A$1:$BQ$224,_xlfn.XMATCH(AX$1,'UN Treasury'!$A$1:$BQ$1,-1,1),FALSE)</f>
        <v>8584.33</v>
      </c>
      <c r="AY49">
        <f>VLOOKUP($A49,'UN Treasury'!$A$1:$BQ$224,_xlfn.XMATCH(AY$1,'UN Treasury'!$A$1:$BQ$1,-1,1),FALSE)</f>
        <v>8626.99</v>
      </c>
      <c r="AZ49">
        <f>VLOOKUP($A49,'UN Treasury'!$A$1:$BQ$224,_xlfn.XMATCH(AZ$1,'UN Treasury'!$A$1:$BQ$1,-1,1),FALSE)</f>
        <v>8631.85</v>
      </c>
      <c r="BA49">
        <f>VLOOKUP($A49,'UN Treasury'!$A$1:$BQ$224,_xlfn.XMATCH(BA$1,'UN Treasury'!$A$1:$BQ$1,-1,1),FALSE)</f>
        <v>8693</v>
      </c>
      <c r="BB49">
        <f>VLOOKUP($A49,'UN Treasury'!$A$1:$BQ$224,_xlfn.XMATCH(BB$1,'UN Treasury'!$A$1:$BQ$1,-1,1),FALSE)</f>
        <v>8783.34</v>
      </c>
      <c r="BC49">
        <f>VLOOKUP($A49,'UN Treasury'!$A$1:$BQ$224,_xlfn.XMATCH(BC$1,'UN Treasury'!$A$1:$BQ$1,-1,1),FALSE)</f>
        <v>8835.57</v>
      </c>
      <c r="BD49">
        <f>VLOOKUP($A49,'UN Treasury'!$A$1:$BQ$224,_xlfn.XMATCH(BD$1,'UN Treasury'!$A$1:$BQ$1,-1,1),FALSE)</f>
        <v>8979.2199999999993</v>
      </c>
      <c r="BE49">
        <f>VLOOKUP($A49,'UN Treasury'!$A$1:$BQ$224,_xlfn.XMATCH(BE$1,'UN Treasury'!$A$1:$BQ$1,-1,1),FALSE)</f>
        <v>9078.4500000000007</v>
      </c>
      <c r="BF49">
        <f>VLOOKUP($A49,'UN Treasury'!$A$1:$BQ$224,_xlfn.XMATCH(BF$1,'UN Treasury'!$A$1:$BQ$1,-1,1),FALSE)</f>
        <v>9340.94</v>
      </c>
      <c r="BG49">
        <f>VLOOKUP($A49,'UN Treasury'!$A$1:$BQ$224,_xlfn.XMATCH(BG$1,'UN Treasury'!$A$1:$BQ$1,-1,1),FALSE)</f>
        <v>9563.74</v>
      </c>
      <c r="BH49">
        <f>VLOOKUP($A49,'UN Treasury'!$A$1:$BQ$224,_xlfn.XMATCH(BH$1,'UN Treasury'!$A$1:$BQ$1,-1,1),FALSE)</f>
        <v>9701.9</v>
      </c>
      <c r="BI49">
        <f>VLOOKUP($A49,'UN Treasury'!$A$1:$BQ$224,_xlfn.XMATCH(BI$1,'UN Treasury'!$A$1:$BQ$1,-1,1),FALSE)</f>
        <v>9719.9500000000007</v>
      </c>
      <c r="BJ49">
        <f>VLOOKUP($A49,'UN Treasury'!$A$1:$BQ$224,_xlfn.XMATCH(BJ$1,'UN Treasury'!$A$1:$BQ$1,-1,1),FALSE)</f>
        <v>9705.89</v>
      </c>
      <c r="BK49">
        <f>VLOOKUP($A49,'UN Treasury'!$A$1:$BQ$224,_xlfn.XMATCH(BK$1,'UN Treasury'!$A$1:$BQ$1,-1,1),FALSE)</f>
        <v>9755.42</v>
      </c>
      <c r="BL49">
        <f>VLOOKUP($A49,'UN Treasury'!$A$1:$BQ$224,_xlfn.XMATCH(BL$1,'UN Treasury'!$A$1:$BQ$1,-1,1),FALSE)</f>
        <v>9804.65</v>
      </c>
      <c r="BM49">
        <f>VLOOKUP($A49,'UN Treasury'!$A$1:$BQ$224,_xlfn.XMATCH(BM$1,'UN Treasury'!$A$1:$BQ$1,-1,1),FALSE)</f>
        <v>9844.25</v>
      </c>
      <c r="BN49">
        <f>VLOOKUP($A49,'UN Treasury'!$A$1:$BQ$224,_xlfn.XMATCH(BN$1,'UN Treasury'!$A$1:$BQ$1,-1,1),FALSE)</f>
        <v>9975.64</v>
      </c>
      <c r="BO49">
        <f>VLOOKUP($A49,'UN Treasury'!$A$1:$BQ$224,_xlfn.XMATCH(BO$1,'UN Treasury'!$A$1:$BQ$1,-1,1),FALSE)</f>
        <v>10085.879999999999</v>
      </c>
      <c r="BP49">
        <f>VLOOKUP($A49,'UN Treasury'!$A$1:$BQ$224,_xlfn.XMATCH(BP$1,'UN Treasury'!$A$1:$BQ$1,-1,1),FALSE)</f>
        <v>10085.33</v>
      </c>
      <c r="BQ49">
        <f>VLOOKUP($A49,'UN Treasury'!$A$1:$BQ$224,_xlfn.XMATCH(BQ$1,'UN Treasury'!$A$1:$BQ$1,-1,1),FALSE)</f>
        <v>9964.8799999999992</v>
      </c>
    </row>
    <row r="50" spans="1:69" x14ac:dyDescent="0.25">
      <c r="A50" t="s">
        <v>127</v>
      </c>
      <c r="B50">
        <f>VLOOKUP($A50,'UN Treasury'!$A$1:$BQ$224,_xlfn.XMATCH(B$1,'UN Treasury'!$A$1:$BQ$1,-1,1),FALSE)</f>
        <v>7.6239999999999997</v>
      </c>
      <c r="C50">
        <f>VLOOKUP($A50,'UN Treasury'!$A$1:$BQ$224,_xlfn.XMATCH(C$1,'UN Treasury'!$A$1:$BQ$1,-1,1),FALSE)</f>
        <v>7.62</v>
      </c>
      <c r="D50">
        <f>VLOOKUP($A50,'UN Treasury'!$A$1:$BQ$224,_xlfn.XMATCH(D$1,'UN Treasury'!$A$1:$BQ$1,-1,1),FALSE)</f>
        <v>7.6159999999999997</v>
      </c>
      <c r="E50">
        <f>VLOOKUP($A50,'UN Treasury'!$A$1:$BQ$224,_xlfn.XMATCH(E$1,'UN Treasury'!$A$1:$BQ$1,-1,1),FALSE)</f>
        <v>7.62</v>
      </c>
      <c r="F50">
        <f>VLOOKUP($A50,'UN Treasury'!$A$1:$BQ$224,_xlfn.XMATCH(F$1,'UN Treasury'!$A$1:$BQ$1,-1,1),FALSE)</f>
        <v>7.6449999999999996</v>
      </c>
      <c r="G50">
        <f>VLOOKUP($A50,'UN Treasury'!$A$1:$BQ$224,_xlfn.XMATCH(G$1,'UN Treasury'!$A$1:$BQ$1,-1,1),FALSE)</f>
        <v>7.6609999999999996</v>
      </c>
      <c r="H50">
        <f>VLOOKUP($A50,'UN Treasury'!$A$1:$BQ$224,_xlfn.XMATCH(H$1,'UN Treasury'!$A$1:$BQ$1,-1,1),FALSE)</f>
        <v>7.6609999999999996</v>
      </c>
      <c r="I50">
        <f>VLOOKUP($A50,'UN Treasury'!$A$1:$BQ$224,_xlfn.XMATCH(I$1,'UN Treasury'!$A$1:$BQ$1,-1,1),FALSE)</f>
        <v>7.66</v>
      </c>
      <c r="J50">
        <f>VLOOKUP($A50,'UN Treasury'!$A$1:$BQ$224,_xlfn.XMATCH(J$1,'UN Treasury'!$A$1:$BQ$1,-1,1),FALSE)</f>
        <v>7.649</v>
      </c>
      <c r="K50">
        <f>VLOOKUP($A50,'UN Treasury'!$A$1:$BQ$224,_xlfn.XMATCH(K$1,'UN Treasury'!$A$1:$BQ$1,-1,1),FALSE)</f>
        <v>7.6580000000000004</v>
      </c>
      <c r="L50">
        <f>VLOOKUP($A50,'UN Treasury'!$A$1:$BQ$224,_xlfn.XMATCH(L$1,'UN Treasury'!$A$1:$BQ$1,-1,1),FALSE)</f>
        <v>7.6529999999999996</v>
      </c>
      <c r="M50">
        <f>VLOOKUP($A50,'UN Treasury'!$A$1:$BQ$224,_xlfn.XMATCH(M$1,'UN Treasury'!$A$1:$BQ$1,-1,1),FALSE)</f>
        <v>7.6520000000000001</v>
      </c>
      <c r="N50">
        <f>VLOOKUP($A50,'UN Treasury'!$A$1:$BQ$224,_xlfn.XMATCH(N$1,'UN Treasury'!$A$1:$BQ$1,-1,1),FALSE)</f>
        <v>7.6619999999999999</v>
      </c>
      <c r="O50">
        <f>VLOOKUP($A50,'UN Treasury'!$A$1:$BQ$224,_xlfn.XMATCH(O$1,'UN Treasury'!$A$1:$BQ$1,-1,1),FALSE)</f>
        <v>7.6779999999999999</v>
      </c>
      <c r="P50">
        <f>VLOOKUP($A50,'UN Treasury'!$A$1:$BQ$224,_xlfn.XMATCH(P$1,'UN Treasury'!$A$1:$BQ$1,-1,1),FALSE)</f>
        <v>7.68</v>
      </c>
      <c r="Q50">
        <f>VLOOKUP($A50,'UN Treasury'!$A$1:$BQ$224,_xlfn.XMATCH(Q$1,'UN Treasury'!$A$1:$BQ$1,-1,1),FALSE)</f>
        <v>7.6790000000000003</v>
      </c>
      <c r="R50">
        <f>VLOOKUP($A50,'UN Treasury'!$A$1:$BQ$224,_xlfn.XMATCH(R$1,'UN Treasury'!$A$1:$BQ$1,-1,1),FALSE)</f>
        <v>7.7089999999999996</v>
      </c>
      <c r="S50">
        <f>VLOOKUP($A50,'UN Treasury'!$A$1:$BQ$224,_xlfn.XMATCH(S$1,'UN Treasury'!$A$1:$BQ$1,-1,1),FALSE)</f>
        <v>7.7030000000000003</v>
      </c>
      <c r="T50">
        <f>VLOOKUP($A50,'UN Treasury'!$A$1:$BQ$224,_xlfn.XMATCH(T$1,'UN Treasury'!$A$1:$BQ$1,-1,1),FALSE)</f>
        <v>7.7089999999999996</v>
      </c>
      <c r="U50">
        <f>VLOOKUP($A50,'UN Treasury'!$A$1:$BQ$224,_xlfn.XMATCH(U$1,'UN Treasury'!$A$1:$BQ$1,-1,1),FALSE)</f>
        <v>7.7110000000000003</v>
      </c>
      <c r="V50">
        <f>VLOOKUP($A50,'UN Treasury'!$A$1:$BQ$224,_xlfn.XMATCH(V$1,'UN Treasury'!$A$1:$BQ$1,-1,1),FALSE)</f>
        <v>7.7</v>
      </c>
      <c r="W50">
        <f>VLOOKUP($A50,'UN Treasury'!$A$1:$BQ$224,_xlfn.XMATCH(W$1,'UN Treasury'!$A$1:$BQ$1,-1,1),FALSE)</f>
        <v>7.7210000000000001</v>
      </c>
      <c r="X50">
        <f>VLOOKUP($A50,'UN Treasury'!$A$1:$BQ$224,_xlfn.XMATCH(X$1,'UN Treasury'!$A$1:$BQ$1,-1,1),FALSE)</f>
        <v>7.7279999999999998</v>
      </c>
      <c r="Y50">
        <f>VLOOKUP($A50,'UN Treasury'!$A$1:$BQ$224,_xlfn.XMATCH(Y$1,'UN Treasury'!$A$1:$BQ$1,-1,1),FALSE)</f>
        <v>7.7220000000000004</v>
      </c>
      <c r="Z50">
        <f>VLOOKUP($A50,'UN Treasury'!$A$1:$BQ$224,_xlfn.XMATCH(Z$1,'UN Treasury'!$A$1:$BQ$1,-1,1),FALSE)</f>
        <v>7.7350000000000003</v>
      </c>
      <c r="AA50">
        <f>VLOOKUP($A50,'UN Treasury'!$A$1:$BQ$224,_xlfn.XMATCH(AA$1,'UN Treasury'!$A$1:$BQ$1,-1,1),FALSE)</f>
        <v>7.7569999999999997</v>
      </c>
      <c r="AB50">
        <f>VLOOKUP($A50,'UN Treasury'!$A$1:$BQ$224,_xlfn.XMATCH(AB$1,'UN Treasury'!$A$1:$BQ$1,-1,1),FALSE)</f>
        <v>7.7619999999999996</v>
      </c>
      <c r="AC50">
        <f>VLOOKUP($A50,'UN Treasury'!$A$1:$BQ$224,_xlfn.XMATCH(AC$1,'UN Treasury'!$A$1:$BQ$1,-1,1),FALSE)</f>
        <v>7.7640000000000002</v>
      </c>
      <c r="AD50">
        <f>VLOOKUP($A50,'UN Treasury'!$A$1:$BQ$224,_xlfn.XMATCH(AD$1,'UN Treasury'!$A$1:$BQ$1,-1,1),FALSE)</f>
        <v>7.7850000000000001</v>
      </c>
      <c r="AE50">
        <f>VLOOKUP($A50,'UN Treasury'!$A$1:$BQ$224,_xlfn.XMATCH(AE$1,'UN Treasury'!$A$1:$BQ$1,-1,1),FALSE)</f>
        <v>7.8040000000000003</v>
      </c>
      <c r="AF50">
        <f>VLOOKUP($A50,'UN Treasury'!$A$1:$BQ$224,_xlfn.XMATCH(AF$1,'UN Treasury'!$A$1:$BQ$1,-1,1),FALSE)</f>
        <v>7.8070000000000004</v>
      </c>
      <c r="AG50">
        <f>VLOOKUP($A50,'UN Treasury'!$A$1:$BQ$224,_xlfn.XMATCH(AG$1,'UN Treasury'!$A$1:$BQ$1,-1,1),FALSE)</f>
        <v>7.8150000000000004</v>
      </c>
      <c r="AH50">
        <f>VLOOKUP($A50,'UN Treasury'!$A$1:$BQ$224,_xlfn.XMATCH(AH$1,'UN Treasury'!$A$1:$BQ$1,-1,1),FALSE)</f>
        <v>7.8170000000000002</v>
      </c>
      <c r="AI50">
        <f>VLOOKUP($A50,'UN Treasury'!$A$1:$BQ$224,_xlfn.XMATCH(AI$1,'UN Treasury'!$A$1:$BQ$1,-1,1),FALSE)</f>
        <v>7.8250000000000002</v>
      </c>
      <c r="AJ50">
        <f>VLOOKUP($A50,'UN Treasury'!$A$1:$BQ$224,_xlfn.XMATCH(AJ$1,'UN Treasury'!$A$1:$BQ$1,-1,1),FALSE)</f>
        <v>7.8390000000000004</v>
      </c>
      <c r="AK50">
        <f>VLOOKUP($A50,'UN Treasury'!$A$1:$BQ$224,_xlfn.XMATCH(AK$1,'UN Treasury'!$A$1:$BQ$1,-1,1),FALSE)</f>
        <v>7.87</v>
      </c>
      <c r="AL50">
        <f>VLOOKUP($A50,'UN Treasury'!$A$1:$BQ$224,_xlfn.XMATCH(AL$1,'UN Treasury'!$A$1:$BQ$1,-1,1),FALSE)</f>
        <v>7.8579999999999997</v>
      </c>
      <c r="AM50">
        <f>VLOOKUP($A50,'UN Treasury'!$A$1:$BQ$224,_xlfn.XMATCH(AM$1,'UN Treasury'!$A$1:$BQ$1,-1,1),FALSE)</f>
        <v>7.8310000000000004</v>
      </c>
      <c r="AN50">
        <f>VLOOKUP($A50,'UN Treasury'!$A$1:$BQ$224,_xlfn.XMATCH(AN$1,'UN Treasury'!$A$1:$BQ$1,-1,1),FALSE)</f>
        <v>7.8330000000000002</v>
      </c>
      <c r="AO50">
        <f>VLOOKUP($A50,'UN Treasury'!$A$1:$BQ$224,_xlfn.XMATCH(AO$1,'UN Treasury'!$A$1:$BQ$1,-1,1),FALSE)</f>
        <v>7.8040000000000003</v>
      </c>
      <c r="AP50">
        <f>VLOOKUP($A50,'UN Treasury'!$A$1:$BQ$224,_xlfn.XMATCH(AP$1,'UN Treasury'!$A$1:$BQ$1,-1,1),FALSE)</f>
        <v>7.7939999999999996</v>
      </c>
      <c r="AQ50">
        <f>VLOOKUP($A50,'UN Treasury'!$A$1:$BQ$224,_xlfn.XMATCH(AQ$1,'UN Treasury'!$A$1:$BQ$1,-1,1),FALSE)</f>
        <v>7.7990000000000004</v>
      </c>
      <c r="AR50">
        <f>VLOOKUP($A50,'UN Treasury'!$A$1:$BQ$224,_xlfn.XMATCH(AR$1,'UN Treasury'!$A$1:$BQ$1,-1,1),FALSE)</f>
        <v>7.8360000000000003</v>
      </c>
      <c r="AS50">
        <f>VLOOKUP($A50,'UN Treasury'!$A$1:$BQ$224,_xlfn.XMATCH(AS$1,'UN Treasury'!$A$1:$BQ$1,-1,1),FALSE)</f>
        <v>7.8380000000000001</v>
      </c>
      <c r="AT50">
        <f>VLOOKUP($A50,'UN Treasury'!$A$1:$BQ$224,_xlfn.XMATCH(AT$1,'UN Treasury'!$A$1:$BQ$1,-1,1),FALSE)</f>
        <v>7.87</v>
      </c>
      <c r="AU50">
        <f>VLOOKUP($A50,'UN Treasury'!$A$1:$BQ$224,_xlfn.XMATCH(AU$1,'UN Treasury'!$A$1:$BQ$1,-1,1),FALSE)</f>
        <v>7.7969999999999997</v>
      </c>
      <c r="AV50">
        <f>VLOOKUP($A50,'UN Treasury'!$A$1:$BQ$224,_xlfn.XMATCH(AV$1,'UN Treasury'!$A$1:$BQ$1,-1,1),FALSE)</f>
        <v>7.867</v>
      </c>
      <c r="AW50">
        <f>VLOOKUP($A50,'UN Treasury'!$A$1:$BQ$224,_xlfn.XMATCH(AW$1,'UN Treasury'!$A$1:$BQ$1,-1,1),FALSE)</f>
        <v>7.7770000000000001</v>
      </c>
      <c r="AX50">
        <f>VLOOKUP($A50,'UN Treasury'!$A$1:$BQ$224,_xlfn.XMATCH(AX$1,'UN Treasury'!$A$1:$BQ$1,-1,1),FALSE)</f>
        <v>7.7210000000000001</v>
      </c>
      <c r="AY50">
        <f>VLOOKUP($A50,'UN Treasury'!$A$1:$BQ$224,_xlfn.XMATCH(AY$1,'UN Treasury'!$A$1:$BQ$1,-1,1),FALSE)</f>
        <v>7.734</v>
      </c>
      <c r="AZ50">
        <f>VLOOKUP($A50,'UN Treasury'!$A$1:$BQ$224,_xlfn.XMATCH(AZ$1,'UN Treasury'!$A$1:$BQ$1,-1,1),FALSE)</f>
        <v>7.7169999999999996</v>
      </c>
      <c r="BA50">
        <f>VLOOKUP($A50,'UN Treasury'!$A$1:$BQ$224,_xlfn.XMATCH(BA$1,'UN Treasury'!$A$1:$BQ$1,-1,1),FALSE)</f>
        <v>7.6580000000000004</v>
      </c>
      <c r="BB50">
        <f>VLOOKUP($A50,'UN Treasury'!$A$1:$BQ$224,_xlfn.XMATCH(BB$1,'UN Treasury'!$A$1:$BQ$1,-1,1),FALSE)</f>
        <v>7.65</v>
      </c>
      <c r="BC50">
        <f>VLOOKUP($A50,'UN Treasury'!$A$1:$BQ$224,_xlfn.XMATCH(BC$1,'UN Treasury'!$A$1:$BQ$1,-1,1),FALSE)</f>
        <v>7.6909999999999998</v>
      </c>
      <c r="BD50">
        <f>VLOOKUP($A50,'UN Treasury'!$A$1:$BQ$224,_xlfn.XMATCH(BD$1,'UN Treasury'!$A$1:$BQ$1,-1,1),FALSE)</f>
        <v>7.6820000000000004</v>
      </c>
      <c r="BE50">
        <f>VLOOKUP($A50,'UN Treasury'!$A$1:$BQ$224,_xlfn.XMATCH(BE$1,'UN Treasury'!$A$1:$BQ$1,-1,1),FALSE)</f>
        <v>7.7009999999999996</v>
      </c>
      <c r="BF50">
        <f>VLOOKUP($A50,'UN Treasury'!$A$1:$BQ$224,_xlfn.XMATCH(BF$1,'UN Treasury'!$A$1:$BQ$1,-1,1),FALSE)</f>
        <v>7.7220000000000004</v>
      </c>
      <c r="BG50">
        <f>VLOOKUP($A50,'UN Treasury'!$A$1:$BQ$224,_xlfn.XMATCH(BG$1,'UN Treasury'!$A$1:$BQ$1,-1,1),FALSE)</f>
        <v>7.7220000000000004</v>
      </c>
      <c r="BH50">
        <f>VLOOKUP($A50,'UN Treasury'!$A$1:$BQ$224,_xlfn.XMATCH(BH$1,'UN Treasury'!$A$1:$BQ$1,-1,1),FALSE)</f>
        <v>7.726</v>
      </c>
      <c r="BI50">
        <f>VLOOKUP($A50,'UN Treasury'!$A$1:$BQ$224,_xlfn.XMATCH(BI$1,'UN Treasury'!$A$1:$BQ$1,-1,1),FALSE)</f>
        <v>7.7249999999999996</v>
      </c>
      <c r="BJ50">
        <f>VLOOKUP($A50,'UN Treasury'!$A$1:$BQ$224,_xlfn.XMATCH(BJ$1,'UN Treasury'!$A$1:$BQ$1,-1,1),FALSE)</f>
        <v>7.74</v>
      </c>
      <c r="BK50">
        <f>VLOOKUP($A50,'UN Treasury'!$A$1:$BQ$224,_xlfn.XMATCH(BK$1,'UN Treasury'!$A$1:$BQ$1,-1,1),FALSE)</f>
        <v>7.7409999999999997</v>
      </c>
      <c r="BL50">
        <f>VLOOKUP($A50,'UN Treasury'!$A$1:$BQ$224,_xlfn.XMATCH(BL$1,'UN Treasury'!$A$1:$BQ$1,-1,1),FALSE)</f>
        <v>7.718</v>
      </c>
      <c r="BM50">
        <f>VLOOKUP($A50,'UN Treasury'!$A$1:$BQ$224,_xlfn.XMATCH(BM$1,'UN Treasury'!$A$1:$BQ$1,-1,1),FALSE)</f>
        <v>7.7140000000000004</v>
      </c>
      <c r="BN50">
        <f>VLOOKUP($A50,'UN Treasury'!$A$1:$BQ$224,_xlfn.XMATCH(BN$1,'UN Treasury'!$A$1:$BQ$1,-1,1),FALSE)</f>
        <v>7.6920000000000002</v>
      </c>
      <c r="BO50">
        <f>VLOOKUP($A50,'UN Treasury'!$A$1:$BQ$224,_xlfn.XMATCH(BO$1,'UN Treasury'!$A$1:$BQ$1,-1,1),FALSE)</f>
        <v>7.68</v>
      </c>
      <c r="BP50">
        <f>VLOOKUP($A50,'UN Treasury'!$A$1:$BQ$224,_xlfn.XMATCH(BP$1,'UN Treasury'!$A$1:$BQ$1,-1,1),FALSE)</f>
        <v>7.76</v>
      </c>
      <c r="BQ50">
        <f>VLOOKUP($A50,'UN Treasury'!$A$1:$BQ$224,_xlfn.XMATCH(BQ$1,'UN Treasury'!$A$1:$BQ$1,-1,1),FALSE)</f>
        <v>7.7729999999999997</v>
      </c>
    </row>
    <row r="51" spans="1:69" x14ac:dyDescent="0.25">
      <c r="A51" t="s">
        <v>129</v>
      </c>
      <c r="B51">
        <f>VLOOKUP($A51,'UN Treasury'!$A$1:$BQ$224,_xlfn.XMATCH(B$1,'UN Treasury'!$A$1:$BQ$1,-1,1),FALSE)</f>
        <v>208.8</v>
      </c>
      <c r="C51">
        <f>VLOOKUP($A51,'UN Treasury'!$A$1:$BQ$224,_xlfn.XMATCH(C$1,'UN Treasury'!$A$1:$BQ$1,-1,1),FALSE)</f>
        <v>208.1</v>
      </c>
      <c r="D51">
        <f>VLOOKUP($A51,'UN Treasury'!$A$1:$BQ$224,_xlfn.XMATCH(D$1,'UN Treasury'!$A$1:$BQ$1,-1,1),FALSE)</f>
        <v>208.2</v>
      </c>
      <c r="E51">
        <f>VLOOKUP($A51,'UN Treasury'!$A$1:$BQ$224,_xlfn.XMATCH(E$1,'UN Treasury'!$A$1:$BQ$1,-1,1),FALSE)</f>
        <v>208</v>
      </c>
      <c r="F51">
        <f>VLOOKUP($A51,'UN Treasury'!$A$1:$BQ$224,_xlfn.XMATCH(F$1,'UN Treasury'!$A$1:$BQ$1,-1,1),FALSE)</f>
        <v>208.2</v>
      </c>
      <c r="G51">
        <f>VLOOKUP($A51,'UN Treasury'!$A$1:$BQ$224,_xlfn.XMATCH(G$1,'UN Treasury'!$A$1:$BQ$1,-1,1),FALSE)</f>
        <v>208.4</v>
      </c>
      <c r="H51">
        <f>VLOOKUP($A51,'UN Treasury'!$A$1:$BQ$224,_xlfn.XMATCH(H$1,'UN Treasury'!$A$1:$BQ$1,-1,1),FALSE)</f>
        <v>208.1</v>
      </c>
      <c r="I51">
        <f>VLOOKUP($A51,'UN Treasury'!$A$1:$BQ$224,_xlfn.XMATCH(I$1,'UN Treasury'!$A$1:$BQ$1,-1,1),FALSE)</f>
        <v>208.1</v>
      </c>
      <c r="J51">
        <f>VLOOKUP($A51,'UN Treasury'!$A$1:$BQ$224,_xlfn.XMATCH(J$1,'UN Treasury'!$A$1:$BQ$1,-1,1),FALSE)</f>
        <v>208.1</v>
      </c>
      <c r="K51">
        <f>VLOOKUP($A51,'UN Treasury'!$A$1:$BQ$224,_xlfn.XMATCH(K$1,'UN Treasury'!$A$1:$BQ$1,-1,1),FALSE)</f>
        <v>208.1</v>
      </c>
      <c r="L51">
        <f>VLOOKUP($A51,'UN Treasury'!$A$1:$BQ$224,_xlfn.XMATCH(L$1,'UN Treasury'!$A$1:$BQ$1,-1,1),FALSE)</f>
        <v>208.1</v>
      </c>
      <c r="M51">
        <f>VLOOKUP($A51,'UN Treasury'!$A$1:$BQ$224,_xlfn.XMATCH(M$1,'UN Treasury'!$A$1:$BQ$1,-1,1),FALSE)</f>
        <v>208.1</v>
      </c>
      <c r="N51">
        <f>VLOOKUP($A51,'UN Treasury'!$A$1:$BQ$224,_xlfn.XMATCH(N$1,'UN Treasury'!$A$1:$BQ$1,-1,1),FALSE)</f>
        <v>208</v>
      </c>
      <c r="O51">
        <f>VLOOKUP($A51,'UN Treasury'!$A$1:$BQ$224,_xlfn.XMATCH(O$1,'UN Treasury'!$A$1:$BQ$1,-1,1),FALSE)</f>
        <v>208</v>
      </c>
      <c r="P51">
        <f>VLOOKUP($A51,'UN Treasury'!$A$1:$BQ$224,_xlfn.XMATCH(P$1,'UN Treasury'!$A$1:$BQ$1,-1,1),FALSE)</f>
        <v>209.3</v>
      </c>
      <c r="Q51">
        <f>VLOOKUP($A51,'UN Treasury'!$A$1:$BQ$224,_xlfn.XMATCH(Q$1,'UN Treasury'!$A$1:$BQ$1,-1,1),FALSE)</f>
        <v>209.4</v>
      </c>
      <c r="R51">
        <f>VLOOKUP($A51,'UN Treasury'!$A$1:$BQ$224,_xlfn.XMATCH(R$1,'UN Treasury'!$A$1:$BQ$1,-1,1),FALSE)</f>
        <v>209.4</v>
      </c>
      <c r="S51">
        <f>VLOOKUP($A51,'UN Treasury'!$A$1:$BQ$224,_xlfn.XMATCH(S$1,'UN Treasury'!$A$1:$BQ$1,-1,1),FALSE)</f>
        <v>209.4</v>
      </c>
      <c r="T51">
        <f>VLOOKUP($A51,'UN Treasury'!$A$1:$BQ$224,_xlfn.XMATCH(T$1,'UN Treasury'!$A$1:$BQ$1,-1,1),FALSE)</f>
        <v>209.4</v>
      </c>
      <c r="U51">
        <f>VLOOKUP($A51,'UN Treasury'!$A$1:$BQ$224,_xlfn.XMATCH(U$1,'UN Treasury'!$A$1:$BQ$1,-1,1),FALSE)</f>
        <v>207.9</v>
      </c>
      <c r="V51">
        <f>VLOOKUP($A51,'UN Treasury'!$A$1:$BQ$224,_xlfn.XMATCH(V$1,'UN Treasury'!$A$1:$BQ$1,-1,1),FALSE)</f>
        <v>207.9</v>
      </c>
      <c r="W51">
        <f>VLOOKUP($A51,'UN Treasury'!$A$1:$BQ$224,_xlfn.XMATCH(W$1,'UN Treasury'!$A$1:$BQ$1,-1,1),FALSE)</f>
        <v>207.9</v>
      </c>
      <c r="X51">
        <f>VLOOKUP($A51,'UN Treasury'!$A$1:$BQ$224,_xlfn.XMATCH(X$1,'UN Treasury'!$A$1:$BQ$1,-1,1),FALSE)</f>
        <v>207.9</v>
      </c>
      <c r="Y51">
        <f>VLOOKUP($A51,'UN Treasury'!$A$1:$BQ$224,_xlfn.XMATCH(Y$1,'UN Treasury'!$A$1:$BQ$1,-1,1),FALSE)</f>
        <v>208.3</v>
      </c>
      <c r="Z51">
        <f>VLOOKUP($A51,'UN Treasury'!$A$1:$BQ$224,_xlfn.XMATCH(Z$1,'UN Treasury'!$A$1:$BQ$1,-1,1),FALSE)</f>
        <v>208.1</v>
      </c>
      <c r="AA51">
        <f>VLOOKUP($A51,'UN Treasury'!$A$1:$BQ$224,_xlfn.XMATCH(AA$1,'UN Treasury'!$A$1:$BQ$1,-1,1),FALSE)</f>
        <v>208</v>
      </c>
      <c r="AB51">
        <f>VLOOKUP($A51,'UN Treasury'!$A$1:$BQ$224,_xlfn.XMATCH(AB$1,'UN Treasury'!$A$1:$BQ$1,-1,1),FALSE)</f>
        <v>207.9</v>
      </c>
      <c r="AC51">
        <f>VLOOKUP($A51,'UN Treasury'!$A$1:$BQ$224,_xlfn.XMATCH(AC$1,'UN Treasury'!$A$1:$BQ$1,-1,1),FALSE)</f>
        <v>208.4</v>
      </c>
      <c r="AD51">
        <f>VLOOKUP($A51,'UN Treasury'!$A$1:$BQ$224,_xlfn.XMATCH(AD$1,'UN Treasury'!$A$1:$BQ$1,-1,1),FALSE)</f>
        <v>208.5</v>
      </c>
      <c r="AE51">
        <f>VLOOKUP($A51,'UN Treasury'!$A$1:$BQ$224,_xlfn.XMATCH(AE$1,'UN Treasury'!$A$1:$BQ$1,-1,1),FALSE)</f>
        <v>208.7</v>
      </c>
      <c r="AF51">
        <f>VLOOKUP($A51,'UN Treasury'!$A$1:$BQ$224,_xlfn.XMATCH(AF$1,'UN Treasury'!$A$1:$BQ$1,-1,1),FALSE)</f>
        <v>209.3</v>
      </c>
      <c r="AG51">
        <f>VLOOKUP($A51,'UN Treasury'!$A$1:$BQ$224,_xlfn.XMATCH(AG$1,'UN Treasury'!$A$1:$BQ$1,-1,1),FALSE)</f>
        <v>208.5</v>
      </c>
      <c r="AH51">
        <f>VLOOKUP($A51,'UN Treasury'!$A$1:$BQ$224,_xlfn.XMATCH(AH$1,'UN Treasury'!$A$1:$BQ$1,-1,1),FALSE)</f>
        <v>208.5</v>
      </c>
      <c r="AI51">
        <f>VLOOKUP($A51,'UN Treasury'!$A$1:$BQ$224,_xlfn.XMATCH(AI$1,'UN Treasury'!$A$1:$BQ$1,-1,1),FALSE)</f>
        <v>208.5</v>
      </c>
      <c r="AJ51">
        <f>VLOOKUP($A51,'UN Treasury'!$A$1:$BQ$224,_xlfn.XMATCH(AJ$1,'UN Treasury'!$A$1:$BQ$1,-1,1),FALSE)</f>
        <v>208.8</v>
      </c>
      <c r="AK51">
        <f>VLOOKUP($A51,'UN Treasury'!$A$1:$BQ$224,_xlfn.XMATCH(AK$1,'UN Treasury'!$A$1:$BQ$1,-1,1),FALSE)</f>
        <v>208.5</v>
      </c>
      <c r="AL51">
        <f>VLOOKUP($A51,'UN Treasury'!$A$1:$BQ$224,_xlfn.XMATCH(AL$1,'UN Treasury'!$A$1:$BQ$1,-1,1),FALSE)</f>
        <v>208.5</v>
      </c>
      <c r="AM51">
        <f>VLOOKUP($A51,'UN Treasury'!$A$1:$BQ$224,_xlfn.XMATCH(AM$1,'UN Treasury'!$A$1:$BQ$1,-1,1),FALSE)</f>
        <v>209.7</v>
      </c>
      <c r="AN51">
        <f>VLOOKUP($A51,'UN Treasury'!$A$1:$BQ$224,_xlfn.XMATCH(AN$1,'UN Treasury'!$A$1:$BQ$1,-1,1),FALSE)</f>
        <v>210.3</v>
      </c>
      <c r="AO51">
        <f>VLOOKUP($A51,'UN Treasury'!$A$1:$BQ$224,_xlfn.XMATCH(AO$1,'UN Treasury'!$A$1:$BQ$1,-1,1),FALSE)</f>
        <v>209.7</v>
      </c>
      <c r="AP51">
        <f>VLOOKUP($A51,'UN Treasury'!$A$1:$BQ$224,_xlfn.XMATCH(AP$1,'UN Treasury'!$A$1:$BQ$1,-1,1),FALSE)</f>
        <v>209.7</v>
      </c>
      <c r="AQ51">
        <f>VLOOKUP($A51,'UN Treasury'!$A$1:$BQ$224,_xlfn.XMATCH(AQ$1,'UN Treasury'!$A$1:$BQ$1,-1,1),FALSE)</f>
        <v>209.2</v>
      </c>
      <c r="AR51">
        <f>VLOOKUP($A51,'UN Treasury'!$A$1:$BQ$224,_xlfn.XMATCH(AR$1,'UN Treasury'!$A$1:$BQ$1,-1,1),FALSE)</f>
        <v>209.2</v>
      </c>
      <c r="AS51">
        <f>VLOOKUP($A51,'UN Treasury'!$A$1:$BQ$224,_xlfn.XMATCH(AS$1,'UN Treasury'!$A$1:$BQ$1,-1,1),FALSE)</f>
        <v>208.4</v>
      </c>
      <c r="AT51">
        <f>VLOOKUP($A51,'UN Treasury'!$A$1:$BQ$224,_xlfn.XMATCH(AT$1,'UN Treasury'!$A$1:$BQ$1,-1,1),FALSE)</f>
        <v>208.4</v>
      </c>
      <c r="AU51">
        <f>VLOOKUP($A51,'UN Treasury'!$A$1:$BQ$224,_xlfn.XMATCH(AU$1,'UN Treasury'!$A$1:$BQ$1,-1,1),FALSE)</f>
        <v>209.1</v>
      </c>
      <c r="AV51">
        <f>VLOOKUP($A51,'UN Treasury'!$A$1:$BQ$224,_xlfn.XMATCH(AV$1,'UN Treasury'!$A$1:$BQ$1,-1,1),FALSE)</f>
        <v>208.1</v>
      </c>
      <c r="AW51">
        <f>VLOOKUP($A51,'UN Treasury'!$A$1:$BQ$224,_xlfn.XMATCH(AW$1,'UN Treasury'!$A$1:$BQ$1,-1,1),FALSE)</f>
        <v>208.1</v>
      </c>
      <c r="AX51">
        <f>VLOOKUP($A51,'UN Treasury'!$A$1:$BQ$224,_xlfn.XMATCH(AX$1,'UN Treasury'!$A$1:$BQ$1,-1,1),FALSE)</f>
        <v>208.4</v>
      </c>
      <c r="AY51">
        <f>VLOOKUP($A51,'UN Treasury'!$A$1:$BQ$224,_xlfn.XMATCH(AY$1,'UN Treasury'!$A$1:$BQ$1,-1,1),FALSE)</f>
        <v>208.4</v>
      </c>
      <c r="AZ51">
        <f>VLOOKUP($A51,'UN Treasury'!$A$1:$BQ$224,_xlfn.XMATCH(AZ$1,'UN Treasury'!$A$1:$BQ$1,-1,1),FALSE)</f>
        <v>208.3</v>
      </c>
      <c r="BA51">
        <f>VLOOKUP($A51,'UN Treasury'!$A$1:$BQ$224,_xlfn.XMATCH(BA$1,'UN Treasury'!$A$1:$BQ$1,-1,1),FALSE)</f>
        <v>208.4</v>
      </c>
      <c r="BB51">
        <f>VLOOKUP($A51,'UN Treasury'!$A$1:$BQ$224,_xlfn.XMATCH(BB$1,'UN Treasury'!$A$1:$BQ$1,-1,1),FALSE)</f>
        <v>208.4</v>
      </c>
      <c r="BC51">
        <f>VLOOKUP($A51,'UN Treasury'!$A$1:$BQ$224,_xlfn.XMATCH(BC$1,'UN Treasury'!$A$1:$BQ$1,-1,1),FALSE)</f>
        <v>208.3</v>
      </c>
      <c r="BD51">
        <f>VLOOKUP($A51,'UN Treasury'!$A$1:$BQ$224,_xlfn.XMATCH(BD$1,'UN Treasury'!$A$1:$BQ$1,-1,1),FALSE)</f>
        <v>208.4</v>
      </c>
      <c r="BE51">
        <f>VLOOKUP($A51,'UN Treasury'!$A$1:$BQ$224,_xlfn.XMATCH(BE$1,'UN Treasury'!$A$1:$BQ$1,-1,1),FALSE)</f>
        <v>208.3</v>
      </c>
      <c r="BF51">
        <f>VLOOKUP($A51,'UN Treasury'!$A$1:$BQ$224,_xlfn.XMATCH(BF$1,'UN Treasury'!$A$1:$BQ$1,-1,1),FALSE)</f>
        <v>208.4</v>
      </c>
      <c r="BG51">
        <f>VLOOKUP($A51,'UN Treasury'!$A$1:$BQ$224,_xlfn.XMATCH(BG$1,'UN Treasury'!$A$1:$BQ$1,-1,1),FALSE)</f>
        <v>208.1</v>
      </c>
      <c r="BH51">
        <f>VLOOKUP($A51,'UN Treasury'!$A$1:$BQ$224,_xlfn.XMATCH(BH$1,'UN Treasury'!$A$1:$BQ$1,-1,1),FALSE)</f>
        <v>208</v>
      </c>
      <c r="BI51">
        <f>VLOOKUP($A51,'UN Treasury'!$A$1:$BQ$224,_xlfn.XMATCH(BI$1,'UN Treasury'!$A$1:$BQ$1,-1,1),FALSE)</f>
        <v>208.2</v>
      </c>
      <c r="BJ51">
        <f>VLOOKUP($A51,'UN Treasury'!$A$1:$BQ$224,_xlfn.XMATCH(BJ$1,'UN Treasury'!$A$1:$BQ$1,-1,1),FALSE)</f>
        <v>208.2</v>
      </c>
      <c r="BK51">
        <f>VLOOKUP($A51,'UN Treasury'!$A$1:$BQ$224,_xlfn.XMATCH(BK$1,'UN Treasury'!$A$1:$BQ$1,-1,1),FALSE)</f>
        <v>207.9</v>
      </c>
      <c r="BL51">
        <f>VLOOKUP($A51,'UN Treasury'!$A$1:$BQ$224,_xlfn.XMATCH(BL$1,'UN Treasury'!$A$1:$BQ$1,-1,1),FALSE)</f>
        <v>207.2</v>
      </c>
      <c r="BM51">
        <f>VLOOKUP($A51,'UN Treasury'!$A$1:$BQ$224,_xlfn.XMATCH(BM$1,'UN Treasury'!$A$1:$BQ$1,-1,1),FALSE)</f>
        <v>208.2</v>
      </c>
      <c r="BN51">
        <f>VLOOKUP($A51,'UN Treasury'!$A$1:$BQ$224,_xlfn.XMATCH(BN$1,'UN Treasury'!$A$1:$BQ$1,-1,1),FALSE)</f>
        <v>209.2</v>
      </c>
      <c r="BO51">
        <f>VLOOKUP($A51,'UN Treasury'!$A$1:$BQ$224,_xlfn.XMATCH(BO$1,'UN Treasury'!$A$1:$BQ$1,-1,1),FALSE)</f>
        <v>208.2</v>
      </c>
      <c r="BP51">
        <f>VLOOKUP($A51,'UN Treasury'!$A$1:$BQ$224,_xlfn.XMATCH(BP$1,'UN Treasury'!$A$1:$BQ$1,-1,1),FALSE)</f>
        <v>208.2</v>
      </c>
      <c r="BQ51">
        <f>VLOOKUP($A51,'UN Treasury'!$A$1:$BQ$224,_xlfn.XMATCH(BQ$1,'UN Treasury'!$A$1:$BQ$1,-1,1),FALSE)</f>
        <v>208.2</v>
      </c>
    </row>
    <row r="52" spans="1:69" x14ac:dyDescent="0.25">
      <c r="A52" t="s">
        <v>98</v>
      </c>
      <c r="B52">
        <f>VLOOKUP($A52,'UN Treasury'!$A$1:$BQ$224,_xlfn.XMATCH(B$1,'UN Treasury'!$A$1:$BQ$1,-1,1),FALSE)</f>
        <v>7.8470000000000004</v>
      </c>
      <c r="C52">
        <f>VLOOKUP($A52,'UN Treasury'!$A$1:$BQ$224,_xlfn.XMATCH(C$1,'UN Treasury'!$A$1:$BQ$1,-1,1),FALSE)</f>
        <v>7.8380000000000001</v>
      </c>
      <c r="D52">
        <f>VLOOKUP($A52,'UN Treasury'!$A$1:$BQ$224,_xlfn.XMATCH(D$1,'UN Treasury'!$A$1:$BQ$1,-1,1),FALSE)</f>
        <v>7.8369999999999997</v>
      </c>
      <c r="E52">
        <f>VLOOKUP($A52,'UN Treasury'!$A$1:$BQ$224,_xlfn.XMATCH(E$1,'UN Treasury'!$A$1:$BQ$1,-1,1),FALSE)</f>
        <v>7.8319999999999999</v>
      </c>
      <c r="F52">
        <f>VLOOKUP($A52,'UN Treasury'!$A$1:$BQ$224,_xlfn.XMATCH(F$1,'UN Treasury'!$A$1:$BQ$1,-1,1),FALSE)</f>
        <v>7.8319999999999999</v>
      </c>
      <c r="G52">
        <f>VLOOKUP($A52,'UN Treasury'!$A$1:$BQ$224,_xlfn.XMATCH(G$1,'UN Treasury'!$A$1:$BQ$1,-1,1),FALSE)</f>
        <v>7.827</v>
      </c>
      <c r="H52">
        <f>VLOOKUP($A52,'UN Treasury'!$A$1:$BQ$224,_xlfn.XMATCH(H$1,'UN Treasury'!$A$1:$BQ$1,-1,1),FALSE)</f>
        <v>7.8159999999999998</v>
      </c>
      <c r="I52">
        <f>VLOOKUP($A52,'UN Treasury'!$A$1:$BQ$224,_xlfn.XMATCH(I$1,'UN Treasury'!$A$1:$BQ$1,-1,1),FALSE)</f>
        <v>7.8019999999999996</v>
      </c>
      <c r="J52">
        <f>VLOOKUP($A52,'UN Treasury'!$A$1:$BQ$224,_xlfn.XMATCH(J$1,'UN Treasury'!$A$1:$BQ$1,-1,1),FALSE)</f>
        <v>7.782</v>
      </c>
      <c r="K52">
        <f>VLOOKUP($A52,'UN Treasury'!$A$1:$BQ$224,_xlfn.XMATCH(K$1,'UN Treasury'!$A$1:$BQ$1,-1,1),FALSE)</f>
        <v>7.7709999999999999</v>
      </c>
      <c r="L52">
        <f>VLOOKUP($A52,'UN Treasury'!$A$1:$BQ$224,_xlfn.XMATCH(L$1,'UN Treasury'!$A$1:$BQ$1,-1,1),FALSE)</f>
        <v>7.7789999999999999</v>
      </c>
      <c r="M52">
        <f>VLOOKUP($A52,'UN Treasury'!$A$1:$BQ$224,_xlfn.XMATCH(M$1,'UN Treasury'!$A$1:$BQ$1,-1,1),FALSE)</f>
        <v>7.7889999999999997</v>
      </c>
      <c r="N52">
        <f>VLOOKUP($A52,'UN Treasury'!$A$1:$BQ$224,_xlfn.XMATCH(N$1,'UN Treasury'!$A$1:$BQ$1,-1,1),FALSE)</f>
        <v>7.85</v>
      </c>
      <c r="O52">
        <f>VLOOKUP($A52,'UN Treasury'!$A$1:$BQ$224,_xlfn.XMATCH(O$1,'UN Treasury'!$A$1:$BQ$1,-1,1),FALSE)</f>
        <v>7.85</v>
      </c>
      <c r="P52">
        <f>VLOOKUP($A52,'UN Treasury'!$A$1:$BQ$224,_xlfn.XMATCH(P$1,'UN Treasury'!$A$1:$BQ$1,-1,1),FALSE)</f>
        <v>7.8490000000000002</v>
      </c>
      <c r="Q52">
        <f>VLOOKUP($A52,'UN Treasury'!$A$1:$BQ$224,_xlfn.XMATCH(Q$1,'UN Treasury'!$A$1:$BQ$1,-1,1),FALSE)</f>
        <v>7.7949999999999999</v>
      </c>
      <c r="R52">
        <f>VLOOKUP($A52,'UN Treasury'!$A$1:$BQ$224,_xlfn.XMATCH(R$1,'UN Treasury'!$A$1:$BQ$1,-1,1),FALSE)</f>
        <v>7.7560000000000002</v>
      </c>
      <c r="S52">
        <f>VLOOKUP($A52,'UN Treasury'!$A$1:$BQ$224,_xlfn.XMATCH(S$1,'UN Treasury'!$A$1:$BQ$1,-1,1),FALSE)</f>
        <v>7.77</v>
      </c>
      <c r="T52">
        <f>VLOOKUP($A52,'UN Treasury'!$A$1:$BQ$224,_xlfn.XMATCH(T$1,'UN Treasury'!$A$1:$BQ$1,-1,1),FALSE)</f>
        <v>7.7910000000000004</v>
      </c>
      <c r="U52">
        <f>VLOOKUP($A52,'UN Treasury'!$A$1:$BQ$224,_xlfn.XMATCH(U$1,'UN Treasury'!$A$1:$BQ$1,-1,1),FALSE)</f>
        <v>7.7859999999999996</v>
      </c>
      <c r="V52">
        <f>VLOOKUP($A52,'UN Treasury'!$A$1:$BQ$224,_xlfn.XMATCH(V$1,'UN Treasury'!$A$1:$BQ$1,-1,1),FALSE)</f>
        <v>7.7759999999999998</v>
      </c>
      <c r="W52">
        <f>VLOOKUP($A52,'UN Treasury'!$A$1:$BQ$224,_xlfn.XMATCH(W$1,'UN Treasury'!$A$1:$BQ$1,-1,1),FALSE)</f>
        <v>7.78</v>
      </c>
      <c r="X52">
        <f>VLOOKUP($A52,'UN Treasury'!$A$1:$BQ$224,_xlfn.XMATCH(X$1,'UN Treasury'!$A$1:$BQ$1,-1,1),FALSE)</f>
        <v>7.7720000000000002</v>
      </c>
      <c r="Y52">
        <f>VLOOKUP($A52,'UN Treasury'!$A$1:$BQ$224,_xlfn.XMATCH(Y$1,'UN Treasury'!$A$1:$BQ$1,-1,1),FALSE)</f>
        <v>7.7990000000000004</v>
      </c>
      <c r="Z52">
        <f>VLOOKUP($A52,'UN Treasury'!$A$1:$BQ$224,_xlfn.XMATCH(Z$1,'UN Treasury'!$A$1:$BQ$1,-1,1),FALSE)</f>
        <v>7.7889999999999997</v>
      </c>
      <c r="AA52">
        <f>VLOOKUP($A52,'UN Treasury'!$A$1:$BQ$224,_xlfn.XMATCH(AA$1,'UN Treasury'!$A$1:$BQ$1,-1,1),FALSE)</f>
        <v>7.8070000000000004</v>
      </c>
      <c r="AB52">
        <f>VLOOKUP($A52,'UN Treasury'!$A$1:$BQ$224,_xlfn.XMATCH(AB$1,'UN Treasury'!$A$1:$BQ$1,-1,1),FALSE)</f>
        <v>7.8090000000000002</v>
      </c>
      <c r="AC52">
        <f>VLOOKUP($A52,'UN Treasury'!$A$1:$BQ$224,_xlfn.XMATCH(AC$1,'UN Treasury'!$A$1:$BQ$1,-1,1),FALSE)</f>
        <v>7.8120000000000003</v>
      </c>
      <c r="AD52">
        <f>VLOOKUP($A52,'UN Treasury'!$A$1:$BQ$224,_xlfn.XMATCH(AD$1,'UN Treasury'!$A$1:$BQ$1,-1,1),FALSE)</f>
        <v>7.835</v>
      </c>
      <c r="AE52">
        <f>VLOOKUP($A52,'UN Treasury'!$A$1:$BQ$224,_xlfn.XMATCH(AE$1,'UN Treasury'!$A$1:$BQ$1,-1,1),FALSE)</f>
        <v>7.8230000000000004</v>
      </c>
      <c r="AF52">
        <f>VLOOKUP($A52,'UN Treasury'!$A$1:$BQ$224,_xlfn.XMATCH(AF$1,'UN Treasury'!$A$1:$BQ$1,-1,1),FALSE)</f>
        <v>7.8179999999999996</v>
      </c>
      <c r="AG52">
        <f>VLOOKUP($A52,'UN Treasury'!$A$1:$BQ$224,_xlfn.XMATCH(AG$1,'UN Treasury'!$A$1:$BQ$1,-1,1),FALSE)</f>
        <v>7.8170000000000002</v>
      </c>
      <c r="AH52">
        <f>VLOOKUP($A52,'UN Treasury'!$A$1:$BQ$224,_xlfn.XMATCH(AH$1,'UN Treasury'!$A$1:$BQ$1,-1,1),FALSE)</f>
        <v>7.8129999999999997</v>
      </c>
      <c r="AI52">
        <f>VLOOKUP($A52,'UN Treasury'!$A$1:$BQ$224,_xlfn.XMATCH(AI$1,'UN Treasury'!$A$1:$BQ$1,-1,1),FALSE)</f>
        <v>7.8070000000000004</v>
      </c>
      <c r="AJ52">
        <f>VLOOKUP($A52,'UN Treasury'!$A$1:$BQ$224,_xlfn.XMATCH(AJ$1,'UN Treasury'!$A$1:$BQ$1,-1,1),FALSE)</f>
        <v>7.819</v>
      </c>
      <c r="AK52">
        <f>VLOOKUP($A52,'UN Treasury'!$A$1:$BQ$224,_xlfn.XMATCH(AK$1,'UN Treasury'!$A$1:$BQ$1,-1,1),FALSE)</f>
        <v>7.8239999999999998</v>
      </c>
      <c r="AL52">
        <f>VLOOKUP($A52,'UN Treasury'!$A$1:$BQ$224,_xlfn.XMATCH(AL$1,'UN Treasury'!$A$1:$BQ$1,-1,1),FALSE)</f>
        <v>7.8170000000000002</v>
      </c>
      <c r="AM52">
        <f>VLOOKUP($A52,'UN Treasury'!$A$1:$BQ$224,_xlfn.XMATCH(AM$1,'UN Treasury'!$A$1:$BQ$1,-1,1),FALSE)</f>
        <v>7.827</v>
      </c>
      <c r="AN52">
        <f>VLOOKUP($A52,'UN Treasury'!$A$1:$BQ$224,_xlfn.XMATCH(AN$1,'UN Treasury'!$A$1:$BQ$1,-1,1),FALSE)</f>
        <v>7.8339999999999996</v>
      </c>
      <c r="AO52">
        <f>VLOOKUP($A52,'UN Treasury'!$A$1:$BQ$224,_xlfn.XMATCH(AO$1,'UN Treasury'!$A$1:$BQ$1,-1,1),FALSE)</f>
        <v>7.8369999999999997</v>
      </c>
      <c r="AP52">
        <f>VLOOKUP($A52,'UN Treasury'!$A$1:$BQ$224,_xlfn.XMATCH(AP$1,'UN Treasury'!$A$1:$BQ$1,-1,1),FALSE)</f>
        <v>7.85</v>
      </c>
      <c r="AQ52">
        <f>VLOOKUP($A52,'UN Treasury'!$A$1:$BQ$224,_xlfn.XMATCH(AQ$1,'UN Treasury'!$A$1:$BQ$1,-1,1),FALSE)</f>
        <v>7.8390000000000004</v>
      </c>
      <c r="AR52">
        <f>VLOOKUP($A52,'UN Treasury'!$A$1:$BQ$224,_xlfn.XMATCH(AR$1,'UN Treasury'!$A$1:$BQ$1,-1,1),FALSE)</f>
        <v>7.85</v>
      </c>
      <c r="AS52">
        <f>VLOOKUP($A52,'UN Treasury'!$A$1:$BQ$224,_xlfn.XMATCH(AS$1,'UN Treasury'!$A$1:$BQ$1,-1,1),FALSE)</f>
        <v>7.8109999999999999</v>
      </c>
      <c r="AT52">
        <f>VLOOKUP($A52,'UN Treasury'!$A$1:$BQ$224,_xlfn.XMATCH(AT$1,'UN Treasury'!$A$1:$BQ$1,-1,1),FALSE)</f>
        <v>7.7729999999999997</v>
      </c>
      <c r="AU52">
        <f>VLOOKUP($A52,'UN Treasury'!$A$1:$BQ$224,_xlfn.XMATCH(AU$1,'UN Treasury'!$A$1:$BQ$1,-1,1),FALSE)</f>
        <v>7.8369999999999997</v>
      </c>
      <c r="AV52">
        <f>VLOOKUP($A52,'UN Treasury'!$A$1:$BQ$224,_xlfn.XMATCH(AV$1,'UN Treasury'!$A$1:$BQ$1,-1,1),FALSE)</f>
        <v>7.85</v>
      </c>
      <c r="AW52">
        <f>VLOOKUP($A52,'UN Treasury'!$A$1:$BQ$224,_xlfn.XMATCH(AW$1,'UN Treasury'!$A$1:$BQ$1,-1,1),FALSE)</f>
        <v>7.8490000000000002</v>
      </c>
      <c r="AX52">
        <f>VLOOKUP($A52,'UN Treasury'!$A$1:$BQ$224,_xlfn.XMATCH(AX$1,'UN Treasury'!$A$1:$BQ$1,-1,1),FALSE)</f>
        <v>7.8440000000000003</v>
      </c>
      <c r="AY52">
        <f>VLOOKUP($A52,'UN Treasury'!$A$1:$BQ$224,_xlfn.XMATCH(AY$1,'UN Treasury'!$A$1:$BQ$1,-1,1),FALSE)</f>
        <v>7.85</v>
      </c>
      <c r="AZ52">
        <f>VLOOKUP($A52,'UN Treasury'!$A$1:$BQ$224,_xlfn.XMATCH(AZ$1,'UN Treasury'!$A$1:$BQ$1,-1,1),FALSE)</f>
        <v>7.85</v>
      </c>
      <c r="BA52">
        <f>VLOOKUP($A52,'UN Treasury'!$A$1:$BQ$224,_xlfn.XMATCH(BA$1,'UN Treasury'!$A$1:$BQ$1,-1,1),FALSE)</f>
        <v>7.85</v>
      </c>
      <c r="BB52">
        <f>VLOOKUP($A52,'UN Treasury'!$A$1:$BQ$224,_xlfn.XMATCH(BB$1,'UN Treasury'!$A$1:$BQ$1,-1,1),FALSE)</f>
        <v>7.8360000000000003</v>
      </c>
      <c r="BC52">
        <f>VLOOKUP($A52,'UN Treasury'!$A$1:$BQ$224,_xlfn.XMATCH(BC$1,'UN Treasury'!$A$1:$BQ$1,-1,1),FALSE)</f>
        <v>7.827</v>
      </c>
      <c r="BD52">
        <f>VLOOKUP($A52,'UN Treasury'!$A$1:$BQ$224,_xlfn.XMATCH(BD$1,'UN Treasury'!$A$1:$BQ$1,-1,1),FALSE)</f>
        <v>7.8010000000000002</v>
      </c>
      <c r="BE52">
        <f>VLOOKUP($A52,'UN Treasury'!$A$1:$BQ$224,_xlfn.XMATCH(BE$1,'UN Treasury'!$A$1:$BQ$1,-1,1),FALSE)</f>
        <v>7.7939999999999996</v>
      </c>
      <c r="BF52">
        <f>VLOOKUP($A52,'UN Treasury'!$A$1:$BQ$224,_xlfn.XMATCH(BF$1,'UN Treasury'!$A$1:$BQ$1,-1,1),FALSE)</f>
        <v>7.8</v>
      </c>
      <c r="BG52">
        <f>VLOOKUP($A52,'UN Treasury'!$A$1:$BQ$224,_xlfn.XMATCH(BG$1,'UN Treasury'!$A$1:$BQ$1,-1,1),FALSE)</f>
        <v>7.7770000000000001</v>
      </c>
      <c r="BH52">
        <f>VLOOKUP($A52,'UN Treasury'!$A$1:$BQ$224,_xlfn.XMATCH(BH$1,'UN Treasury'!$A$1:$BQ$1,-1,1),FALSE)</f>
        <v>7.7839999999999998</v>
      </c>
      <c r="BI52">
        <f>VLOOKUP($A52,'UN Treasury'!$A$1:$BQ$224,_xlfn.XMATCH(BI$1,'UN Treasury'!$A$1:$BQ$1,-1,1),FALSE)</f>
        <v>7.7869999999999999</v>
      </c>
      <c r="BJ52">
        <f>VLOOKUP($A52,'UN Treasury'!$A$1:$BQ$224,_xlfn.XMATCH(BJ$1,'UN Treasury'!$A$1:$BQ$1,-1,1),FALSE)</f>
        <v>7.7729999999999997</v>
      </c>
      <c r="BK52">
        <f>VLOOKUP($A52,'UN Treasury'!$A$1:$BQ$224,_xlfn.XMATCH(BK$1,'UN Treasury'!$A$1:$BQ$1,-1,1),FALSE)</f>
        <v>7.7629999999999999</v>
      </c>
      <c r="BL52">
        <f>VLOOKUP($A52,'UN Treasury'!$A$1:$BQ$224,_xlfn.XMATCH(BL$1,'UN Treasury'!$A$1:$BQ$1,-1,1),FALSE)</f>
        <v>7.7619999999999996</v>
      </c>
      <c r="BM52">
        <f>VLOOKUP($A52,'UN Treasury'!$A$1:$BQ$224,_xlfn.XMATCH(BM$1,'UN Treasury'!$A$1:$BQ$1,-1,1),FALSE)</f>
        <v>7.7640000000000002</v>
      </c>
      <c r="BN52">
        <f>VLOOKUP($A52,'UN Treasury'!$A$1:$BQ$224,_xlfn.XMATCH(BN$1,'UN Treasury'!$A$1:$BQ$1,-1,1),FALSE)</f>
        <v>7.7750000000000004</v>
      </c>
      <c r="BO52">
        <f>VLOOKUP($A52,'UN Treasury'!$A$1:$BQ$224,_xlfn.XMATCH(BO$1,'UN Treasury'!$A$1:$BQ$1,-1,1),FALSE)</f>
        <v>7.7539999999999996</v>
      </c>
      <c r="BP52">
        <f>VLOOKUP($A52,'UN Treasury'!$A$1:$BQ$224,_xlfn.XMATCH(BP$1,'UN Treasury'!$A$1:$BQ$1,-1,1),FALSE)</f>
        <v>7.7530000000000001</v>
      </c>
      <c r="BQ52">
        <f>VLOOKUP($A52,'UN Treasury'!$A$1:$BQ$224,_xlfn.XMATCH(BQ$1,'UN Treasury'!$A$1:$BQ$1,-1,1),FALSE)</f>
        <v>7.7530000000000001</v>
      </c>
    </row>
    <row r="53" spans="1:69" x14ac:dyDescent="0.25">
      <c r="A53" t="s">
        <v>132</v>
      </c>
      <c r="B53">
        <f>VLOOKUP($A53,'UN Treasury'!$A$1:$BQ$224,_xlfn.XMATCH(B$1,'UN Treasury'!$A$1:$BQ$1,-1,1),FALSE)</f>
        <v>26.765000000000001</v>
      </c>
      <c r="C53">
        <f>VLOOKUP($A53,'UN Treasury'!$A$1:$BQ$224,_xlfn.XMATCH(C$1,'UN Treasury'!$A$1:$BQ$1,-1,1),FALSE)</f>
        <v>26.637</v>
      </c>
      <c r="D53">
        <f>VLOOKUP($A53,'UN Treasury'!$A$1:$BQ$224,_xlfn.XMATCH(D$1,'UN Treasury'!$A$1:$BQ$1,-1,1),FALSE)</f>
        <v>26.637</v>
      </c>
      <c r="E53">
        <f>VLOOKUP($A53,'UN Treasury'!$A$1:$BQ$224,_xlfn.XMATCH(E$1,'UN Treasury'!$A$1:$BQ$1,-1,1),FALSE)</f>
        <v>26.532</v>
      </c>
      <c r="F53">
        <f>VLOOKUP($A53,'UN Treasury'!$A$1:$BQ$224,_xlfn.XMATCH(F$1,'UN Treasury'!$A$1:$BQ$1,-1,1),FALSE)</f>
        <v>26.446000000000002</v>
      </c>
      <c r="G53">
        <f>VLOOKUP($A53,'UN Treasury'!$A$1:$BQ$224,_xlfn.XMATCH(G$1,'UN Treasury'!$A$1:$BQ$1,-1,1),FALSE)</f>
        <v>26.263000000000002</v>
      </c>
      <c r="H53">
        <f>VLOOKUP($A53,'UN Treasury'!$A$1:$BQ$224,_xlfn.XMATCH(H$1,'UN Treasury'!$A$1:$BQ$1,-1,1),FALSE)</f>
        <v>26.216999999999999</v>
      </c>
      <c r="I53">
        <f>VLOOKUP($A53,'UN Treasury'!$A$1:$BQ$224,_xlfn.XMATCH(I$1,'UN Treasury'!$A$1:$BQ$1,-1,1),FALSE)</f>
        <v>26.155000000000001</v>
      </c>
      <c r="J53">
        <f>VLOOKUP($A53,'UN Treasury'!$A$1:$BQ$224,_xlfn.XMATCH(J$1,'UN Treasury'!$A$1:$BQ$1,-1,1),FALSE)</f>
        <v>26.08</v>
      </c>
      <c r="K53">
        <f>VLOOKUP($A53,'UN Treasury'!$A$1:$BQ$224,_xlfn.XMATCH(K$1,'UN Treasury'!$A$1:$BQ$1,-1,1),FALSE)</f>
        <v>26.042999999999999</v>
      </c>
      <c r="L53">
        <f>VLOOKUP($A53,'UN Treasury'!$A$1:$BQ$224,_xlfn.XMATCH(L$1,'UN Treasury'!$A$1:$BQ$1,-1,1),FALSE)</f>
        <v>25.984000000000002</v>
      </c>
      <c r="M53">
        <f>VLOOKUP($A53,'UN Treasury'!$A$1:$BQ$224,_xlfn.XMATCH(M$1,'UN Treasury'!$A$1:$BQ$1,-1,1),FALSE)</f>
        <v>25.984000000000002</v>
      </c>
      <c r="N53">
        <f>VLOOKUP($A53,'UN Treasury'!$A$1:$BQ$224,_xlfn.XMATCH(N$1,'UN Treasury'!$A$1:$BQ$1,-1,1),FALSE)</f>
        <v>25.977</v>
      </c>
      <c r="O53">
        <f>VLOOKUP($A53,'UN Treasury'!$A$1:$BQ$224,_xlfn.XMATCH(O$1,'UN Treasury'!$A$1:$BQ$1,-1,1),FALSE)</f>
        <v>25.922000000000001</v>
      </c>
      <c r="P53">
        <f>VLOOKUP($A53,'UN Treasury'!$A$1:$BQ$224,_xlfn.XMATCH(P$1,'UN Treasury'!$A$1:$BQ$1,-1,1),FALSE)</f>
        <v>25.827999999999999</v>
      </c>
      <c r="Q53">
        <f>VLOOKUP($A53,'UN Treasury'!$A$1:$BQ$224,_xlfn.XMATCH(Q$1,'UN Treasury'!$A$1:$BQ$1,-1,1),FALSE)</f>
        <v>25.673999999999999</v>
      </c>
      <c r="R53">
        <f>VLOOKUP($A53,'UN Treasury'!$A$1:$BQ$224,_xlfn.XMATCH(R$1,'UN Treasury'!$A$1:$BQ$1,-1,1),FALSE)</f>
        <v>25.556999999999999</v>
      </c>
      <c r="S53">
        <f>VLOOKUP($A53,'UN Treasury'!$A$1:$BQ$224,_xlfn.XMATCH(S$1,'UN Treasury'!$A$1:$BQ$1,-1,1),FALSE)</f>
        <v>25.478000000000002</v>
      </c>
      <c r="T53">
        <f>VLOOKUP($A53,'UN Treasury'!$A$1:$BQ$224,_xlfn.XMATCH(T$1,'UN Treasury'!$A$1:$BQ$1,-1,1),FALSE)</f>
        <v>25.443999999999999</v>
      </c>
      <c r="U53">
        <f>VLOOKUP($A53,'UN Treasury'!$A$1:$BQ$224,_xlfn.XMATCH(U$1,'UN Treasury'!$A$1:$BQ$1,-1,1),FALSE)</f>
        <v>25.158000000000001</v>
      </c>
      <c r="V53">
        <f>VLOOKUP($A53,'UN Treasury'!$A$1:$BQ$224,_xlfn.XMATCH(V$1,'UN Treasury'!$A$1:$BQ$1,-1,1),FALSE)</f>
        <v>25.030999999999999</v>
      </c>
      <c r="W53">
        <f>VLOOKUP($A53,'UN Treasury'!$A$1:$BQ$224,_xlfn.XMATCH(W$1,'UN Treasury'!$A$1:$BQ$1,-1,1),FALSE)</f>
        <v>24.934000000000001</v>
      </c>
      <c r="X53">
        <f>VLOOKUP($A53,'UN Treasury'!$A$1:$BQ$224,_xlfn.XMATCH(X$1,'UN Treasury'!$A$1:$BQ$1,-1,1),FALSE)</f>
        <v>24.805</v>
      </c>
      <c r="Y53">
        <f>VLOOKUP($A53,'UN Treasury'!$A$1:$BQ$224,_xlfn.XMATCH(Y$1,'UN Treasury'!$A$1:$BQ$1,-1,1),FALSE)</f>
        <v>24.576000000000001</v>
      </c>
      <c r="Z53">
        <f>VLOOKUP($A53,'UN Treasury'!$A$1:$BQ$224,_xlfn.XMATCH(Z$1,'UN Treasury'!$A$1:$BQ$1,-1,1),FALSE)</f>
        <v>24.611000000000001</v>
      </c>
      <c r="AA53">
        <f>VLOOKUP($A53,'UN Treasury'!$A$1:$BQ$224,_xlfn.XMATCH(AA$1,'UN Treasury'!$A$1:$BQ$1,-1,1),FALSE)</f>
        <v>24.603000000000002</v>
      </c>
      <c r="AB53">
        <f>VLOOKUP($A53,'UN Treasury'!$A$1:$BQ$224,_xlfn.XMATCH(AB$1,'UN Treasury'!$A$1:$BQ$1,-1,1),FALSE)</f>
        <v>24.564</v>
      </c>
      <c r="AC53">
        <f>VLOOKUP($A53,'UN Treasury'!$A$1:$BQ$224,_xlfn.XMATCH(AC$1,'UN Treasury'!$A$1:$BQ$1,-1,1),FALSE)</f>
        <v>24.556999999999999</v>
      </c>
      <c r="AD53">
        <f>VLOOKUP($A53,'UN Treasury'!$A$1:$BQ$224,_xlfn.XMATCH(AD$1,'UN Treasury'!$A$1:$BQ$1,-1,1),FALSE)</f>
        <v>24.620999999999999</v>
      </c>
      <c r="AE53">
        <f>VLOOKUP($A53,'UN Treasury'!$A$1:$BQ$224,_xlfn.XMATCH(AE$1,'UN Treasury'!$A$1:$BQ$1,-1,1),FALSE)</f>
        <v>24.555</v>
      </c>
      <c r="AF53">
        <f>VLOOKUP($A53,'UN Treasury'!$A$1:$BQ$224,_xlfn.XMATCH(AF$1,'UN Treasury'!$A$1:$BQ$1,-1,1),FALSE)</f>
        <v>24.535</v>
      </c>
      <c r="AG53">
        <f>VLOOKUP($A53,'UN Treasury'!$A$1:$BQ$224,_xlfn.XMATCH(AG$1,'UN Treasury'!$A$1:$BQ$1,-1,1),FALSE)</f>
        <v>24.524999999999999</v>
      </c>
      <c r="AH53">
        <f>VLOOKUP($A53,'UN Treasury'!$A$1:$BQ$224,_xlfn.XMATCH(AH$1,'UN Treasury'!$A$1:$BQ$1,-1,1),FALSE)</f>
        <v>24.544</v>
      </c>
      <c r="AI53">
        <f>VLOOKUP($A53,'UN Treasury'!$A$1:$BQ$224,_xlfn.XMATCH(AI$1,'UN Treasury'!$A$1:$BQ$1,-1,1),FALSE)</f>
        <v>24.526</v>
      </c>
      <c r="AJ53">
        <f>VLOOKUP($A53,'UN Treasury'!$A$1:$BQ$224,_xlfn.XMATCH(AJ$1,'UN Treasury'!$A$1:$BQ$1,-1,1),FALSE)</f>
        <v>24.625</v>
      </c>
      <c r="AK53">
        <f>VLOOKUP($A53,'UN Treasury'!$A$1:$BQ$224,_xlfn.XMATCH(AK$1,'UN Treasury'!$A$1:$BQ$1,-1,1),FALSE)</f>
        <v>24.48</v>
      </c>
      <c r="AL53">
        <f>VLOOKUP($A53,'UN Treasury'!$A$1:$BQ$224,_xlfn.XMATCH(AL$1,'UN Treasury'!$A$1:$BQ$1,-1,1),FALSE)</f>
        <v>24.443999999999999</v>
      </c>
      <c r="AM53">
        <f>VLOOKUP($A53,'UN Treasury'!$A$1:$BQ$224,_xlfn.XMATCH(AM$1,'UN Treasury'!$A$1:$BQ$1,-1,1),FALSE)</f>
        <v>24.506</v>
      </c>
      <c r="AN53">
        <f>VLOOKUP($A53,'UN Treasury'!$A$1:$BQ$224,_xlfn.XMATCH(AN$1,'UN Treasury'!$A$1:$BQ$1,-1,1),FALSE)</f>
        <v>24.318000000000001</v>
      </c>
      <c r="AO53">
        <f>VLOOKUP($A53,'UN Treasury'!$A$1:$BQ$224,_xlfn.XMATCH(AO$1,'UN Treasury'!$A$1:$BQ$1,-1,1),FALSE)</f>
        <v>24.521000000000001</v>
      </c>
      <c r="AP53">
        <f>VLOOKUP($A53,'UN Treasury'!$A$1:$BQ$224,_xlfn.XMATCH(AP$1,'UN Treasury'!$A$1:$BQ$1,-1,1),FALSE)</f>
        <v>24.535</v>
      </c>
      <c r="AQ53">
        <f>VLOOKUP($A53,'UN Treasury'!$A$1:$BQ$224,_xlfn.XMATCH(AQ$1,'UN Treasury'!$A$1:$BQ$1,-1,1),FALSE)</f>
        <v>24.428999999999998</v>
      </c>
      <c r="AR53">
        <f>VLOOKUP($A53,'UN Treasury'!$A$1:$BQ$224,_xlfn.XMATCH(AR$1,'UN Treasury'!$A$1:$BQ$1,-1,1),FALSE)</f>
        <v>24.402999999999999</v>
      </c>
      <c r="AS53">
        <f>VLOOKUP($A53,'UN Treasury'!$A$1:$BQ$224,_xlfn.XMATCH(AS$1,'UN Treasury'!$A$1:$BQ$1,-1,1),FALSE)</f>
        <v>24.462</v>
      </c>
      <c r="AT53">
        <f>VLOOKUP($A53,'UN Treasury'!$A$1:$BQ$224,_xlfn.XMATCH(AT$1,'UN Treasury'!$A$1:$BQ$1,-1,1),FALSE)</f>
        <v>24.478000000000002</v>
      </c>
      <c r="AU53">
        <f>VLOOKUP($A53,'UN Treasury'!$A$1:$BQ$224,_xlfn.XMATCH(AU$1,'UN Treasury'!$A$1:$BQ$1,-1,1),FALSE)</f>
        <v>24.521999999999998</v>
      </c>
      <c r="AV53">
        <f>VLOOKUP($A53,'UN Treasury'!$A$1:$BQ$224,_xlfn.XMATCH(AV$1,'UN Treasury'!$A$1:$BQ$1,-1,1),FALSE)</f>
        <v>24.504000000000001</v>
      </c>
      <c r="AW53">
        <f>VLOOKUP($A53,'UN Treasury'!$A$1:$BQ$224,_xlfn.XMATCH(AW$1,'UN Treasury'!$A$1:$BQ$1,-1,1),FALSE)</f>
        <v>24.436</v>
      </c>
      <c r="AX53">
        <f>VLOOKUP($A53,'UN Treasury'!$A$1:$BQ$224,_xlfn.XMATCH(AX$1,'UN Treasury'!$A$1:$BQ$1,-1,1),FALSE)</f>
        <v>24.332000000000001</v>
      </c>
      <c r="AY53">
        <f>VLOOKUP($A53,'UN Treasury'!$A$1:$BQ$224,_xlfn.XMATCH(AY$1,'UN Treasury'!$A$1:$BQ$1,-1,1),FALSE)</f>
        <v>24.295000000000002</v>
      </c>
      <c r="AZ53">
        <f>VLOOKUP($A53,'UN Treasury'!$A$1:$BQ$224,_xlfn.XMATCH(AZ$1,'UN Treasury'!$A$1:$BQ$1,-1,1),FALSE)</f>
        <v>24.315999999999999</v>
      </c>
      <c r="BA53">
        <f>VLOOKUP($A53,'UN Treasury'!$A$1:$BQ$224,_xlfn.XMATCH(BA$1,'UN Treasury'!$A$1:$BQ$1,-1,1),FALSE)</f>
        <v>24.238</v>
      </c>
      <c r="BB53">
        <f>VLOOKUP($A53,'UN Treasury'!$A$1:$BQ$224,_xlfn.XMATCH(BB$1,'UN Treasury'!$A$1:$BQ$1,-1,1),FALSE)</f>
        <v>24.234999999999999</v>
      </c>
      <c r="BC53">
        <f>VLOOKUP($A53,'UN Treasury'!$A$1:$BQ$224,_xlfn.XMATCH(BC$1,'UN Treasury'!$A$1:$BQ$1,-1,1),FALSE)</f>
        <v>24.440999999999999</v>
      </c>
      <c r="BD53">
        <f>VLOOKUP($A53,'UN Treasury'!$A$1:$BQ$224,_xlfn.XMATCH(BD$1,'UN Treasury'!$A$1:$BQ$1,-1,1),FALSE)</f>
        <v>24.437999999999999</v>
      </c>
      <c r="BE53">
        <f>VLOOKUP($A53,'UN Treasury'!$A$1:$BQ$224,_xlfn.XMATCH(BE$1,'UN Treasury'!$A$1:$BQ$1,-1,1),FALSE)</f>
        <v>24.355</v>
      </c>
      <c r="BF53">
        <f>VLOOKUP($A53,'UN Treasury'!$A$1:$BQ$224,_xlfn.XMATCH(BF$1,'UN Treasury'!$A$1:$BQ$1,-1,1),FALSE)</f>
        <v>24.068999999999999</v>
      </c>
      <c r="BG53">
        <f>VLOOKUP($A53,'UN Treasury'!$A$1:$BQ$224,_xlfn.XMATCH(BG$1,'UN Treasury'!$A$1:$BQ$1,-1,1),FALSE)</f>
        <v>24.036999999999999</v>
      </c>
      <c r="BH53">
        <f>VLOOKUP($A53,'UN Treasury'!$A$1:$BQ$224,_xlfn.XMATCH(BH$1,'UN Treasury'!$A$1:$BQ$1,-1,1),FALSE)</f>
        <v>23.994</v>
      </c>
      <c r="BI53">
        <f>VLOOKUP($A53,'UN Treasury'!$A$1:$BQ$224,_xlfn.XMATCH(BI$1,'UN Treasury'!$A$1:$BQ$1,-1,1),FALSE)</f>
        <v>23.712</v>
      </c>
      <c r="BJ53">
        <f>VLOOKUP($A53,'UN Treasury'!$A$1:$BQ$224,_xlfn.XMATCH(BJ$1,'UN Treasury'!$A$1:$BQ$1,-1,1),FALSE)</f>
        <v>23.58</v>
      </c>
      <c r="BK53">
        <f>VLOOKUP($A53,'UN Treasury'!$A$1:$BQ$224,_xlfn.XMATCH(BK$1,'UN Treasury'!$A$1:$BQ$1,-1,1),FALSE)</f>
        <v>23.759</v>
      </c>
      <c r="BL53">
        <f>VLOOKUP($A53,'UN Treasury'!$A$1:$BQ$224,_xlfn.XMATCH(BL$1,'UN Treasury'!$A$1:$BQ$1,-1,1),FALSE)</f>
        <v>23.873999999999999</v>
      </c>
      <c r="BM53">
        <f>VLOOKUP($A53,'UN Treasury'!$A$1:$BQ$224,_xlfn.XMATCH(BM$1,'UN Treasury'!$A$1:$BQ$1,-1,1),FALSE)</f>
        <v>23.882000000000001</v>
      </c>
      <c r="BN53">
        <f>VLOOKUP($A53,'UN Treasury'!$A$1:$BQ$224,_xlfn.XMATCH(BN$1,'UN Treasury'!$A$1:$BQ$1,-1,1),FALSE)</f>
        <v>23.887</v>
      </c>
      <c r="BO53">
        <f>VLOOKUP($A53,'UN Treasury'!$A$1:$BQ$224,_xlfn.XMATCH(BO$1,'UN Treasury'!$A$1:$BQ$1,-1,1),FALSE)</f>
        <v>24.052</v>
      </c>
      <c r="BP53">
        <f>VLOOKUP($A53,'UN Treasury'!$A$1:$BQ$224,_xlfn.XMATCH(BP$1,'UN Treasury'!$A$1:$BQ$1,-1,1),FALSE)</f>
        <v>23.948</v>
      </c>
      <c r="BQ53">
        <f>VLOOKUP($A53,'UN Treasury'!$A$1:$BQ$224,_xlfn.XMATCH(BQ$1,'UN Treasury'!$A$1:$BQ$1,-1,1),FALSE)</f>
        <v>23.96</v>
      </c>
    </row>
    <row r="54" spans="1:69" x14ac:dyDescent="0.25">
      <c r="A54" t="s">
        <v>135</v>
      </c>
      <c r="B54">
        <f>VLOOKUP($A54,'UN Treasury'!$A$1:$BQ$224,_xlfn.XMATCH(B$1,'UN Treasury'!$A$1:$BQ$1,-1,1),FALSE)</f>
        <v>130.453</v>
      </c>
      <c r="C54">
        <f>VLOOKUP($A54,'UN Treasury'!$A$1:$BQ$224,_xlfn.XMATCH(C$1,'UN Treasury'!$A$1:$BQ$1,-1,1),FALSE)</f>
        <v>130.422</v>
      </c>
      <c r="D54">
        <f>VLOOKUP($A54,'UN Treasury'!$A$1:$BQ$224,_xlfn.XMATCH(D$1,'UN Treasury'!$A$1:$BQ$1,-1,1),FALSE)</f>
        <v>130.422</v>
      </c>
      <c r="E54">
        <f>VLOOKUP($A54,'UN Treasury'!$A$1:$BQ$224,_xlfn.XMATCH(E$1,'UN Treasury'!$A$1:$BQ$1,-1,1),FALSE)</f>
        <v>130.77799999999999</v>
      </c>
      <c r="F54">
        <f>VLOOKUP($A54,'UN Treasury'!$A$1:$BQ$224,_xlfn.XMATCH(F$1,'UN Treasury'!$A$1:$BQ$1,-1,1),FALSE)</f>
        <v>130.63200000000001</v>
      </c>
      <c r="G54">
        <f>VLOOKUP($A54,'UN Treasury'!$A$1:$BQ$224,_xlfn.XMATCH(G$1,'UN Treasury'!$A$1:$BQ$1,-1,1),FALSE)</f>
        <v>130.77099999999999</v>
      </c>
      <c r="H54">
        <f>VLOOKUP($A54,'UN Treasury'!$A$1:$BQ$224,_xlfn.XMATCH(H$1,'UN Treasury'!$A$1:$BQ$1,-1,1),FALSE)</f>
        <v>130.62</v>
      </c>
      <c r="I54">
        <f>VLOOKUP($A54,'UN Treasury'!$A$1:$BQ$224,_xlfn.XMATCH(I$1,'UN Treasury'!$A$1:$BQ$1,-1,1),FALSE)</f>
        <v>130.62</v>
      </c>
      <c r="J54">
        <f>VLOOKUP($A54,'UN Treasury'!$A$1:$BQ$224,_xlfn.XMATCH(J$1,'UN Treasury'!$A$1:$BQ$1,-1,1),FALSE)</f>
        <v>130.667</v>
      </c>
      <c r="K54">
        <f>VLOOKUP($A54,'UN Treasury'!$A$1:$BQ$224,_xlfn.XMATCH(K$1,'UN Treasury'!$A$1:$BQ$1,-1,1),FALSE)</f>
        <v>130.66999999999999</v>
      </c>
      <c r="L54">
        <f>VLOOKUP($A54,'UN Treasury'!$A$1:$BQ$224,_xlfn.XMATCH(L$1,'UN Treasury'!$A$1:$BQ$1,-1,1),FALSE)</f>
        <v>130.69</v>
      </c>
      <c r="M54">
        <f>VLOOKUP($A54,'UN Treasury'!$A$1:$BQ$224,_xlfn.XMATCH(M$1,'UN Treasury'!$A$1:$BQ$1,-1,1),FALSE)</f>
        <v>130.63999999999999</v>
      </c>
      <c r="N54">
        <f>VLOOKUP($A54,'UN Treasury'!$A$1:$BQ$224,_xlfn.XMATCH(N$1,'UN Treasury'!$A$1:$BQ$1,-1,1),FALSE)</f>
        <v>130.91999999999999</v>
      </c>
      <c r="O54">
        <f>VLOOKUP($A54,'UN Treasury'!$A$1:$BQ$224,_xlfn.XMATCH(O$1,'UN Treasury'!$A$1:$BQ$1,-1,1),FALSE)</f>
        <v>130.87</v>
      </c>
      <c r="P54">
        <f>VLOOKUP($A54,'UN Treasury'!$A$1:$BQ$224,_xlfn.XMATCH(P$1,'UN Treasury'!$A$1:$BQ$1,-1,1),FALSE)</f>
        <v>130.88</v>
      </c>
      <c r="Q54">
        <f>VLOOKUP($A54,'UN Treasury'!$A$1:$BQ$224,_xlfn.XMATCH(Q$1,'UN Treasury'!$A$1:$BQ$1,-1,1),FALSE)</f>
        <v>130.59</v>
      </c>
      <c r="R54">
        <f>VLOOKUP($A54,'UN Treasury'!$A$1:$BQ$224,_xlfn.XMATCH(R$1,'UN Treasury'!$A$1:$BQ$1,-1,1),FALSE)</f>
        <v>130.47</v>
      </c>
      <c r="S54">
        <f>VLOOKUP($A54,'UN Treasury'!$A$1:$BQ$224,_xlfn.XMATCH(S$1,'UN Treasury'!$A$1:$BQ$1,-1,1),FALSE)</f>
        <v>130.6</v>
      </c>
      <c r="T54">
        <f>VLOOKUP($A54,'UN Treasury'!$A$1:$BQ$224,_xlfn.XMATCH(T$1,'UN Treasury'!$A$1:$BQ$1,-1,1),FALSE)</f>
        <v>130.26900000000001</v>
      </c>
      <c r="U54">
        <f>VLOOKUP($A54,'UN Treasury'!$A$1:$BQ$224,_xlfn.XMATCH(U$1,'UN Treasury'!$A$1:$BQ$1,-1,1),FALSE)</f>
        <v>130.27000000000001</v>
      </c>
      <c r="V54">
        <f>VLOOKUP($A54,'UN Treasury'!$A$1:$BQ$224,_xlfn.XMATCH(V$1,'UN Treasury'!$A$1:$BQ$1,-1,1),FALSE)</f>
        <v>130.65</v>
      </c>
      <c r="W54">
        <f>VLOOKUP($A54,'UN Treasury'!$A$1:$BQ$224,_xlfn.XMATCH(W$1,'UN Treasury'!$A$1:$BQ$1,-1,1),FALSE)</f>
        <v>131.08000000000001</v>
      </c>
      <c r="X54">
        <f>VLOOKUP($A54,'UN Treasury'!$A$1:$BQ$224,_xlfn.XMATCH(X$1,'UN Treasury'!$A$1:$BQ$1,-1,1),FALSE)</f>
        <v>131.47</v>
      </c>
      <c r="Y54">
        <f>VLOOKUP($A54,'UN Treasury'!$A$1:$BQ$224,_xlfn.XMATCH(Y$1,'UN Treasury'!$A$1:$BQ$1,-1,1),FALSE)</f>
        <v>131.58000000000001</v>
      </c>
      <c r="Z54">
        <f>VLOOKUP($A54,'UN Treasury'!$A$1:$BQ$224,_xlfn.XMATCH(Z$1,'UN Treasury'!$A$1:$BQ$1,-1,1),FALSE)</f>
        <v>131.46</v>
      </c>
      <c r="AA54">
        <f>VLOOKUP($A54,'UN Treasury'!$A$1:$BQ$224,_xlfn.XMATCH(AA$1,'UN Treasury'!$A$1:$BQ$1,-1,1),FALSE)</f>
        <v>131.78</v>
      </c>
      <c r="AB54">
        <f>VLOOKUP($A54,'UN Treasury'!$A$1:$BQ$224,_xlfn.XMATCH(AB$1,'UN Treasury'!$A$1:$BQ$1,-1,1),FALSE)</f>
        <v>132.44</v>
      </c>
      <c r="AC54">
        <f>VLOOKUP($A54,'UN Treasury'!$A$1:$BQ$224,_xlfn.XMATCH(AC$1,'UN Treasury'!$A$1:$BQ$1,-1,1),FALSE)</f>
        <v>132.34</v>
      </c>
      <c r="AD54">
        <f>VLOOKUP($A54,'UN Treasury'!$A$1:$BQ$224,_xlfn.XMATCH(AD$1,'UN Treasury'!$A$1:$BQ$1,-1,1),FALSE)</f>
        <v>132.21</v>
      </c>
      <c r="AE54">
        <f>VLOOKUP($A54,'UN Treasury'!$A$1:$BQ$224,_xlfn.XMATCH(AE$1,'UN Treasury'!$A$1:$BQ$1,-1,1),FALSE)</f>
        <v>132.43</v>
      </c>
      <c r="AF54">
        <f>VLOOKUP($A54,'UN Treasury'!$A$1:$BQ$224,_xlfn.XMATCH(AF$1,'UN Treasury'!$A$1:$BQ$1,-1,1),FALSE)</f>
        <v>131.59</v>
      </c>
      <c r="AG54">
        <f>VLOOKUP($A54,'UN Treasury'!$A$1:$BQ$224,_xlfn.XMATCH(AG$1,'UN Treasury'!$A$1:$BQ$1,-1,1),FALSE)</f>
        <v>131.66</v>
      </c>
      <c r="AH54">
        <f>VLOOKUP($A54,'UN Treasury'!$A$1:$BQ$224,_xlfn.XMATCH(AH$1,'UN Treasury'!$A$1:$BQ$1,-1,1),FALSE)</f>
        <v>132.19999999999999</v>
      </c>
      <c r="AI54">
        <f>VLOOKUP($A54,'UN Treasury'!$A$1:$BQ$224,_xlfn.XMATCH(AI$1,'UN Treasury'!$A$1:$BQ$1,-1,1),FALSE)</f>
        <v>132.91</v>
      </c>
      <c r="AJ54">
        <f>VLOOKUP($A54,'UN Treasury'!$A$1:$BQ$224,_xlfn.XMATCH(AJ$1,'UN Treasury'!$A$1:$BQ$1,-1,1),FALSE)</f>
        <v>134.13</v>
      </c>
      <c r="AK54">
        <f>VLOOKUP($A54,'UN Treasury'!$A$1:$BQ$224,_xlfn.XMATCH(AK$1,'UN Treasury'!$A$1:$BQ$1,-1,1),FALSE)</f>
        <v>135.06</v>
      </c>
      <c r="AL54">
        <f>VLOOKUP($A54,'UN Treasury'!$A$1:$BQ$224,_xlfn.XMATCH(AL$1,'UN Treasury'!$A$1:$BQ$1,-1,1),FALSE)</f>
        <v>136.19999999999999</v>
      </c>
      <c r="AM54">
        <f>VLOOKUP($A54,'UN Treasury'!$A$1:$BQ$224,_xlfn.XMATCH(AM$1,'UN Treasury'!$A$1:$BQ$1,-1,1),FALSE)</f>
        <v>137.66</v>
      </c>
      <c r="AN54">
        <f>VLOOKUP($A54,'UN Treasury'!$A$1:$BQ$224,_xlfn.XMATCH(AN$1,'UN Treasury'!$A$1:$BQ$1,-1,1),FALSE)</f>
        <v>138.6</v>
      </c>
      <c r="AO54">
        <f>VLOOKUP($A54,'UN Treasury'!$A$1:$BQ$224,_xlfn.XMATCH(AO$1,'UN Treasury'!$A$1:$BQ$1,-1,1),FALSE)</f>
        <v>146.18</v>
      </c>
      <c r="AP54">
        <f>VLOOKUP($A54,'UN Treasury'!$A$1:$BQ$224,_xlfn.XMATCH(AP$1,'UN Treasury'!$A$1:$BQ$1,-1,1),FALSE)</f>
        <v>153.56</v>
      </c>
      <c r="AQ54">
        <f>VLOOKUP($A54,'UN Treasury'!$A$1:$BQ$224,_xlfn.XMATCH(AQ$1,'UN Treasury'!$A$1:$BQ$1,-1,1),FALSE)</f>
        <v>150.97999999999999</v>
      </c>
      <c r="AR54">
        <f>VLOOKUP($A54,'UN Treasury'!$A$1:$BQ$224,_xlfn.XMATCH(AR$1,'UN Treasury'!$A$1:$BQ$1,-1,1),FALSE)</f>
        <v>149.375</v>
      </c>
      <c r="AS54">
        <f>VLOOKUP($A54,'UN Treasury'!$A$1:$BQ$224,_xlfn.XMATCH(AS$1,'UN Treasury'!$A$1:$BQ$1,-1,1),FALSE)</f>
        <v>146.38999999999999</v>
      </c>
      <c r="AT54">
        <f>VLOOKUP($A54,'UN Treasury'!$A$1:$BQ$224,_xlfn.XMATCH(AT$1,'UN Treasury'!$A$1:$BQ$1,-1,1),FALSE)</f>
        <v>141.74</v>
      </c>
      <c r="AU54">
        <f>VLOOKUP($A54,'UN Treasury'!$A$1:$BQ$224,_xlfn.XMATCH(AU$1,'UN Treasury'!$A$1:$BQ$1,-1,1),FALSE)</f>
        <v>129.084</v>
      </c>
      <c r="AV54">
        <f>VLOOKUP($A54,'UN Treasury'!$A$1:$BQ$224,_xlfn.XMATCH(AV$1,'UN Treasury'!$A$1:$BQ$1,-1,1),FALSE)</f>
        <v>118.548</v>
      </c>
      <c r="AW54">
        <f>VLOOKUP($A54,'UN Treasury'!$A$1:$BQ$224,_xlfn.XMATCH(AW$1,'UN Treasury'!$A$1:$BQ$1,-1,1),FALSE)</f>
        <v>115.61</v>
      </c>
      <c r="AX54">
        <f>VLOOKUP($A54,'UN Treasury'!$A$1:$BQ$224,_xlfn.XMATCH(AX$1,'UN Treasury'!$A$1:$BQ$1,-1,1),FALSE)</f>
        <v>121.794</v>
      </c>
      <c r="AY54">
        <f>VLOOKUP($A54,'UN Treasury'!$A$1:$BQ$224,_xlfn.XMATCH(AY$1,'UN Treasury'!$A$1:$BQ$1,-1,1),FALSE)</f>
        <v>114.547</v>
      </c>
      <c r="AZ54">
        <f>VLOOKUP($A54,'UN Treasury'!$A$1:$BQ$224,_xlfn.XMATCH(AZ$1,'UN Treasury'!$A$1:$BQ$1,-1,1),FALSE)</f>
        <v>110.783</v>
      </c>
      <c r="BA54">
        <f>VLOOKUP($A54,'UN Treasury'!$A$1:$BQ$224,_xlfn.XMATCH(BA$1,'UN Treasury'!$A$1:$BQ$1,-1,1),FALSE)</f>
        <v>108.206</v>
      </c>
      <c r="BB54">
        <f>VLOOKUP($A54,'UN Treasury'!$A$1:$BQ$224,_xlfn.XMATCH(BB$1,'UN Treasury'!$A$1:$BQ$1,-1,1),FALSE)</f>
        <v>106.57</v>
      </c>
      <c r="BC54">
        <f>VLOOKUP($A54,'UN Treasury'!$A$1:$BQ$224,_xlfn.XMATCH(BC$1,'UN Treasury'!$A$1:$BQ$1,-1,1),FALSE)</f>
        <v>103.754</v>
      </c>
      <c r="BD54">
        <f>VLOOKUP($A54,'UN Treasury'!$A$1:$BQ$224,_xlfn.XMATCH(BD$1,'UN Treasury'!$A$1:$BQ$1,-1,1),FALSE)</f>
        <v>101.78</v>
      </c>
      <c r="BE54">
        <f>VLOOKUP($A54,'UN Treasury'!$A$1:$BQ$224,_xlfn.XMATCH(BE$1,'UN Treasury'!$A$1:$BQ$1,-1,1),FALSE)</f>
        <v>100.38200000000001</v>
      </c>
      <c r="BF54">
        <f>VLOOKUP($A54,'UN Treasury'!$A$1:$BQ$224,_xlfn.XMATCH(BF$1,'UN Treasury'!$A$1:$BQ$1,-1,1),FALSE)</f>
        <v>98.954999999999998</v>
      </c>
      <c r="BG54">
        <f>VLOOKUP($A54,'UN Treasury'!$A$1:$BQ$224,_xlfn.XMATCH(BG$1,'UN Treasury'!$A$1:$BQ$1,-1,1),FALSE)</f>
        <v>98.930999999999997</v>
      </c>
      <c r="BH54">
        <f>VLOOKUP($A54,'UN Treasury'!$A$1:$BQ$224,_xlfn.XMATCH(BH$1,'UN Treasury'!$A$1:$BQ$1,-1,1),FALSE)</f>
        <v>97.61</v>
      </c>
      <c r="BI54">
        <f>VLOOKUP($A54,'UN Treasury'!$A$1:$BQ$224,_xlfn.XMATCH(BI$1,'UN Treasury'!$A$1:$BQ$1,-1,1),FALSE)</f>
        <v>95.546000000000006</v>
      </c>
      <c r="BJ54">
        <f>VLOOKUP($A54,'UN Treasury'!$A$1:$BQ$224,_xlfn.XMATCH(BJ$1,'UN Treasury'!$A$1:$BQ$1,-1,1),FALSE)</f>
        <v>93.590999999999994</v>
      </c>
      <c r="BK54">
        <f>VLOOKUP($A54,'UN Treasury'!$A$1:$BQ$224,_xlfn.XMATCH(BK$1,'UN Treasury'!$A$1:$BQ$1,-1,1),FALSE)</f>
        <v>90.97</v>
      </c>
      <c r="BL54">
        <f>VLOOKUP($A54,'UN Treasury'!$A$1:$BQ$224,_xlfn.XMATCH(BL$1,'UN Treasury'!$A$1:$BQ$1,-1,1),FALSE)</f>
        <v>88.852999999999994</v>
      </c>
      <c r="BM54">
        <f>VLOOKUP($A54,'UN Treasury'!$A$1:$BQ$224,_xlfn.XMATCH(BM$1,'UN Treasury'!$A$1:$BQ$1,-1,1),FALSE)</f>
        <v>83.444999999999993</v>
      </c>
      <c r="BN54">
        <f>VLOOKUP($A54,'UN Treasury'!$A$1:$BQ$224,_xlfn.XMATCH(BN$1,'UN Treasury'!$A$1:$BQ$1,-1,1),FALSE)</f>
        <v>78.813999999999993</v>
      </c>
      <c r="BO54">
        <f>VLOOKUP($A54,'UN Treasury'!$A$1:$BQ$224,_xlfn.XMATCH(BO$1,'UN Treasury'!$A$1:$BQ$1,-1,1),FALSE)</f>
        <v>74.341999999999999</v>
      </c>
      <c r="BP54">
        <f>VLOOKUP($A54,'UN Treasury'!$A$1:$BQ$224,_xlfn.XMATCH(BP$1,'UN Treasury'!$A$1:$BQ$1,-1,1),FALSE)</f>
        <v>73.203999999999994</v>
      </c>
      <c r="BQ54">
        <f>VLOOKUP($A54,'UN Treasury'!$A$1:$BQ$224,_xlfn.XMATCH(BQ$1,'UN Treasury'!$A$1:$BQ$1,-1,1),FALSE)</f>
        <v>71.337000000000003</v>
      </c>
    </row>
    <row r="55" spans="1:69" x14ac:dyDescent="0.25">
      <c r="A55" t="s">
        <v>137</v>
      </c>
      <c r="B55">
        <f>VLOOKUP($A55,'UN Treasury'!$A$1:$BQ$224,_xlfn.XMATCH(B$1,'UN Treasury'!$A$1:$BQ$1,-1,1),FALSE)</f>
        <v>314.33999999999997</v>
      </c>
      <c r="C55">
        <f>VLOOKUP($A55,'UN Treasury'!$A$1:$BQ$224,_xlfn.XMATCH(C$1,'UN Treasury'!$A$1:$BQ$1,-1,1),FALSE)</f>
        <v>312.3</v>
      </c>
      <c r="D55">
        <f>VLOOKUP($A55,'UN Treasury'!$A$1:$BQ$224,_xlfn.XMATCH(D$1,'UN Treasury'!$A$1:$BQ$1,-1,1),FALSE)</f>
        <v>308.66000000000003</v>
      </c>
      <c r="E55">
        <f>VLOOKUP($A55,'UN Treasury'!$A$1:$BQ$224,_xlfn.XMATCH(E$1,'UN Treasury'!$A$1:$BQ$1,-1,1),FALSE)</f>
        <v>305.7</v>
      </c>
      <c r="F55">
        <f>VLOOKUP($A55,'UN Treasury'!$A$1:$BQ$224,_xlfn.XMATCH(F$1,'UN Treasury'!$A$1:$BQ$1,-1,1),FALSE)</f>
        <v>310.69</v>
      </c>
      <c r="G55">
        <f>VLOOKUP($A55,'UN Treasury'!$A$1:$BQ$224,_xlfn.XMATCH(G$1,'UN Treasury'!$A$1:$BQ$1,-1,1),FALSE)</f>
        <v>338.57</v>
      </c>
      <c r="H55">
        <f>VLOOKUP($A55,'UN Treasury'!$A$1:$BQ$224,_xlfn.XMATCH(H$1,'UN Treasury'!$A$1:$BQ$1,-1,1),FALSE)</f>
        <v>318.75</v>
      </c>
      <c r="I55">
        <f>VLOOKUP($A55,'UN Treasury'!$A$1:$BQ$224,_xlfn.XMATCH(I$1,'UN Treasury'!$A$1:$BQ$1,-1,1),FALSE)</f>
        <v>331.9</v>
      </c>
      <c r="J55">
        <f>VLOOKUP($A55,'UN Treasury'!$A$1:$BQ$224,_xlfn.XMATCH(J$1,'UN Treasury'!$A$1:$BQ$1,-1,1),FALSE)</f>
        <v>326.69</v>
      </c>
      <c r="K55">
        <f>VLOOKUP($A55,'UN Treasury'!$A$1:$BQ$224,_xlfn.XMATCH(K$1,'UN Treasury'!$A$1:$BQ$1,-1,1),FALSE)</f>
        <v>333.15</v>
      </c>
      <c r="L55">
        <f>VLOOKUP($A55,'UN Treasury'!$A$1:$BQ$224,_xlfn.XMATCH(L$1,'UN Treasury'!$A$1:$BQ$1,-1,1),FALSE)</f>
        <v>338.91</v>
      </c>
      <c r="M55">
        <f>VLOOKUP($A55,'UN Treasury'!$A$1:$BQ$224,_xlfn.XMATCH(M$1,'UN Treasury'!$A$1:$BQ$1,-1,1),FALSE)</f>
        <v>334.3</v>
      </c>
      <c r="N55">
        <f>VLOOKUP($A55,'UN Treasury'!$A$1:$BQ$224,_xlfn.XMATCH(N$1,'UN Treasury'!$A$1:$BQ$1,-1,1),FALSE)</f>
        <v>338.07</v>
      </c>
      <c r="O55">
        <f>VLOOKUP($A55,'UN Treasury'!$A$1:$BQ$224,_xlfn.XMATCH(O$1,'UN Treasury'!$A$1:$BQ$1,-1,1),FALSE)</f>
        <v>342.31</v>
      </c>
      <c r="P55">
        <f>VLOOKUP($A55,'UN Treasury'!$A$1:$BQ$224,_xlfn.XMATCH(P$1,'UN Treasury'!$A$1:$BQ$1,-1,1),FALSE)</f>
        <v>349.18</v>
      </c>
      <c r="Q55">
        <f>VLOOKUP($A55,'UN Treasury'!$A$1:$BQ$224,_xlfn.XMATCH(Q$1,'UN Treasury'!$A$1:$BQ$1,-1,1),FALSE)</f>
        <v>363.3</v>
      </c>
      <c r="R55">
        <f>VLOOKUP($A55,'UN Treasury'!$A$1:$BQ$224,_xlfn.XMATCH(R$1,'UN Treasury'!$A$1:$BQ$1,-1,1),FALSE)</f>
        <v>360.63</v>
      </c>
      <c r="S55">
        <f>VLOOKUP($A55,'UN Treasury'!$A$1:$BQ$224,_xlfn.XMATCH(S$1,'UN Treasury'!$A$1:$BQ$1,-1,1),FALSE)</f>
        <v>366.62</v>
      </c>
      <c r="T55">
        <f>VLOOKUP($A55,'UN Treasury'!$A$1:$BQ$224,_xlfn.XMATCH(T$1,'UN Treasury'!$A$1:$BQ$1,-1,1),FALSE)</f>
        <v>389.59</v>
      </c>
      <c r="U55">
        <f>VLOOKUP($A55,'UN Treasury'!$A$1:$BQ$224,_xlfn.XMATCH(U$1,'UN Treasury'!$A$1:$BQ$1,-1,1),FALSE)</f>
        <v>404.92</v>
      </c>
      <c r="V55">
        <f>VLOOKUP($A55,'UN Treasury'!$A$1:$BQ$224,_xlfn.XMATCH(V$1,'UN Treasury'!$A$1:$BQ$1,-1,1),FALSE)</f>
        <v>390.83</v>
      </c>
      <c r="W55">
        <f>VLOOKUP($A55,'UN Treasury'!$A$1:$BQ$224,_xlfn.XMATCH(W$1,'UN Treasury'!$A$1:$BQ$1,-1,1),FALSE)</f>
        <v>386.01</v>
      </c>
      <c r="X55">
        <f>VLOOKUP($A55,'UN Treasury'!$A$1:$BQ$224,_xlfn.XMATCH(X$1,'UN Treasury'!$A$1:$BQ$1,-1,1),FALSE)</f>
        <v>366.58</v>
      </c>
      <c r="Y55">
        <f>VLOOKUP($A55,'UN Treasury'!$A$1:$BQ$224,_xlfn.XMATCH(Y$1,'UN Treasury'!$A$1:$BQ$1,-1,1),FALSE)</f>
        <v>359.5</v>
      </c>
      <c r="Z55">
        <f>VLOOKUP($A55,'UN Treasury'!$A$1:$BQ$224,_xlfn.XMATCH(Z$1,'UN Treasury'!$A$1:$BQ$1,-1,1),FALSE)</f>
        <v>358.84</v>
      </c>
      <c r="AA55">
        <f>VLOOKUP($A55,'UN Treasury'!$A$1:$BQ$224,_xlfn.XMATCH(AA$1,'UN Treasury'!$A$1:$BQ$1,-1,1),FALSE)</f>
        <v>360.78</v>
      </c>
      <c r="AB55">
        <f>VLOOKUP($A55,'UN Treasury'!$A$1:$BQ$224,_xlfn.XMATCH(AB$1,'UN Treasury'!$A$1:$BQ$1,-1,1),FALSE)</f>
        <v>364.35</v>
      </c>
      <c r="AC55">
        <f>VLOOKUP($A55,'UN Treasury'!$A$1:$BQ$224,_xlfn.XMATCH(AC$1,'UN Treasury'!$A$1:$BQ$1,-1,1),FALSE)</f>
        <v>358.22</v>
      </c>
      <c r="AD55">
        <f>VLOOKUP($A55,'UN Treasury'!$A$1:$BQ$224,_xlfn.XMATCH(AD$1,'UN Treasury'!$A$1:$BQ$1,-1,1),FALSE)</f>
        <v>362.91</v>
      </c>
      <c r="AE55">
        <f>VLOOKUP($A55,'UN Treasury'!$A$1:$BQ$224,_xlfn.XMATCH(AE$1,'UN Treasury'!$A$1:$BQ$1,-1,1),FALSE)</f>
        <v>362.36</v>
      </c>
      <c r="AF55">
        <f>VLOOKUP($A55,'UN Treasury'!$A$1:$BQ$224,_xlfn.XMATCH(AF$1,'UN Treasury'!$A$1:$BQ$1,-1,1),FALSE)</f>
        <v>361.31</v>
      </c>
      <c r="AG55">
        <f>VLOOKUP($A55,'UN Treasury'!$A$1:$BQ$224,_xlfn.XMATCH(AG$1,'UN Treasury'!$A$1:$BQ$1,-1,1),FALSE)</f>
        <v>346.18</v>
      </c>
      <c r="AH55">
        <f>VLOOKUP($A55,'UN Treasury'!$A$1:$BQ$224,_xlfn.XMATCH(AH$1,'UN Treasury'!$A$1:$BQ$1,-1,1),FALSE)</f>
        <v>353.45</v>
      </c>
      <c r="AI55">
        <f>VLOOKUP($A55,'UN Treasury'!$A$1:$BQ$224,_xlfn.XMATCH(AI$1,'UN Treasury'!$A$1:$BQ$1,-1,1),FALSE)</f>
        <v>354.13</v>
      </c>
      <c r="AJ55">
        <f>VLOOKUP($A55,'UN Treasury'!$A$1:$BQ$224,_xlfn.XMATCH(AJ$1,'UN Treasury'!$A$1:$BQ$1,-1,1),FALSE)</f>
        <v>363.71</v>
      </c>
      <c r="AK55">
        <f>VLOOKUP($A55,'UN Treasury'!$A$1:$BQ$224,_xlfn.XMATCH(AK$1,'UN Treasury'!$A$1:$BQ$1,-1,1),FALSE)</f>
        <v>357.75</v>
      </c>
      <c r="AL55">
        <f>VLOOKUP($A55,'UN Treasury'!$A$1:$BQ$224,_xlfn.XMATCH(AL$1,'UN Treasury'!$A$1:$BQ$1,-1,1),FALSE)</f>
        <v>349.78</v>
      </c>
      <c r="AM55">
        <f>VLOOKUP($A55,'UN Treasury'!$A$1:$BQ$224,_xlfn.XMATCH(AM$1,'UN Treasury'!$A$1:$BQ$1,-1,1),FALSE)</f>
        <v>338.55</v>
      </c>
      <c r="AN55">
        <f>VLOOKUP($A55,'UN Treasury'!$A$1:$BQ$224,_xlfn.XMATCH(AN$1,'UN Treasury'!$A$1:$BQ$1,-1,1),FALSE)</f>
        <v>343.44</v>
      </c>
      <c r="AO55">
        <f>VLOOKUP($A55,'UN Treasury'!$A$1:$BQ$224,_xlfn.XMATCH(AO$1,'UN Treasury'!$A$1:$BQ$1,-1,1),FALSE)</f>
        <v>340.71</v>
      </c>
      <c r="AP55">
        <f>VLOOKUP($A55,'UN Treasury'!$A$1:$BQ$224,_xlfn.XMATCH(AP$1,'UN Treasury'!$A$1:$BQ$1,-1,1),FALSE)</f>
        <v>341.02</v>
      </c>
      <c r="AQ55">
        <f>VLOOKUP($A55,'UN Treasury'!$A$1:$BQ$224,_xlfn.XMATCH(AQ$1,'UN Treasury'!$A$1:$BQ$1,-1,1),FALSE)</f>
        <v>364.3</v>
      </c>
      <c r="AR55">
        <f>VLOOKUP($A55,'UN Treasury'!$A$1:$BQ$224,_xlfn.XMATCH(AR$1,'UN Treasury'!$A$1:$BQ$1,-1,1),FALSE)</f>
        <v>357.81</v>
      </c>
      <c r="AS55">
        <f>VLOOKUP($A55,'UN Treasury'!$A$1:$BQ$224,_xlfn.XMATCH(AS$1,'UN Treasury'!$A$1:$BQ$1,-1,1),FALSE)</f>
        <v>370.72</v>
      </c>
      <c r="AT55">
        <f>VLOOKUP($A55,'UN Treasury'!$A$1:$BQ$224,_xlfn.XMATCH(AT$1,'UN Treasury'!$A$1:$BQ$1,-1,1),FALSE)</f>
        <v>383.96</v>
      </c>
      <c r="AU55">
        <f>VLOOKUP($A55,'UN Treasury'!$A$1:$BQ$224,_xlfn.XMATCH(AU$1,'UN Treasury'!$A$1:$BQ$1,-1,1),FALSE)</f>
        <v>392.47</v>
      </c>
      <c r="AV55">
        <f>VLOOKUP($A55,'UN Treasury'!$A$1:$BQ$224,_xlfn.XMATCH(AV$1,'UN Treasury'!$A$1:$BQ$1,-1,1),FALSE)</f>
        <v>445.72</v>
      </c>
      <c r="AW55">
        <f>VLOOKUP($A55,'UN Treasury'!$A$1:$BQ$224,_xlfn.XMATCH(AW$1,'UN Treasury'!$A$1:$BQ$1,-1,1),FALSE)</f>
        <v>395.07</v>
      </c>
      <c r="AX55">
        <f>VLOOKUP($A55,'UN Treasury'!$A$1:$BQ$224,_xlfn.XMATCH(AX$1,'UN Treasury'!$A$1:$BQ$1,-1,1),FALSE)</f>
        <v>380.05</v>
      </c>
      <c r="AY55">
        <f>VLOOKUP($A55,'UN Treasury'!$A$1:$BQ$224,_xlfn.XMATCH(AY$1,'UN Treasury'!$A$1:$BQ$1,-1,1),FALSE)</f>
        <v>407.85</v>
      </c>
      <c r="AZ55">
        <f>VLOOKUP($A55,'UN Treasury'!$A$1:$BQ$224,_xlfn.XMATCH(AZ$1,'UN Treasury'!$A$1:$BQ$1,-1,1),FALSE)</f>
        <v>384.16</v>
      </c>
      <c r="BA55">
        <f>VLOOKUP($A55,'UN Treasury'!$A$1:$BQ$224,_xlfn.XMATCH(BA$1,'UN Treasury'!$A$1:$BQ$1,-1,1),FALSE)</f>
        <v>359.31</v>
      </c>
      <c r="BB55">
        <f>VLOOKUP($A55,'UN Treasury'!$A$1:$BQ$224,_xlfn.XMATCH(BB$1,'UN Treasury'!$A$1:$BQ$1,-1,1),FALSE)</f>
        <v>347.41</v>
      </c>
      <c r="BC55">
        <f>VLOOKUP($A55,'UN Treasury'!$A$1:$BQ$224,_xlfn.XMATCH(BC$1,'UN Treasury'!$A$1:$BQ$1,-1,1),FALSE)</f>
        <v>347.79</v>
      </c>
      <c r="BD55">
        <f>VLOOKUP($A55,'UN Treasury'!$A$1:$BQ$224,_xlfn.XMATCH(BD$1,'UN Treasury'!$A$1:$BQ$1,-1,1),FALSE)</f>
        <v>310.54000000000002</v>
      </c>
      <c r="BE55">
        <f>VLOOKUP($A55,'UN Treasury'!$A$1:$BQ$224,_xlfn.XMATCH(BE$1,'UN Treasury'!$A$1:$BQ$1,-1,1),FALSE)</f>
        <v>311.52999999999997</v>
      </c>
      <c r="BF55">
        <f>VLOOKUP($A55,'UN Treasury'!$A$1:$BQ$224,_xlfn.XMATCH(BF$1,'UN Treasury'!$A$1:$BQ$1,-1,1),FALSE)</f>
        <v>326.51</v>
      </c>
      <c r="BG55">
        <f>VLOOKUP($A55,'UN Treasury'!$A$1:$BQ$224,_xlfn.XMATCH(BG$1,'UN Treasury'!$A$1:$BQ$1,-1,1),FALSE)</f>
        <v>318.61</v>
      </c>
      <c r="BH55">
        <f>VLOOKUP($A55,'UN Treasury'!$A$1:$BQ$224,_xlfn.XMATCH(BH$1,'UN Treasury'!$A$1:$BQ$1,-1,1),FALSE)</f>
        <v>309.61</v>
      </c>
      <c r="BI55">
        <f>VLOOKUP($A55,'UN Treasury'!$A$1:$BQ$224,_xlfn.XMATCH(BI$1,'UN Treasury'!$A$1:$BQ$1,-1,1),FALSE)</f>
        <v>296.2</v>
      </c>
      <c r="BJ55">
        <f>VLOOKUP($A55,'UN Treasury'!$A$1:$BQ$224,_xlfn.XMATCH(BJ$1,'UN Treasury'!$A$1:$BQ$1,-1,1),FALSE)</f>
        <v>301.38</v>
      </c>
      <c r="BK55">
        <f>VLOOKUP($A55,'UN Treasury'!$A$1:$BQ$224,_xlfn.XMATCH(BK$1,'UN Treasury'!$A$1:$BQ$1,-1,1),FALSE)</f>
        <v>294.51</v>
      </c>
      <c r="BL55">
        <f>VLOOKUP($A55,'UN Treasury'!$A$1:$BQ$224,_xlfn.XMATCH(BL$1,'UN Treasury'!$A$1:$BQ$1,-1,1),FALSE)</f>
        <v>285.3</v>
      </c>
      <c r="BM55">
        <f>VLOOKUP($A55,'UN Treasury'!$A$1:$BQ$224,_xlfn.XMATCH(BM$1,'UN Treasury'!$A$1:$BQ$1,-1,1),FALSE)</f>
        <v>297.99</v>
      </c>
      <c r="BN55">
        <f>VLOOKUP($A55,'UN Treasury'!$A$1:$BQ$224,_xlfn.XMATCH(BN$1,'UN Treasury'!$A$1:$BQ$1,-1,1),FALSE)</f>
        <v>310.11</v>
      </c>
      <c r="BO55">
        <f>VLOOKUP($A55,'UN Treasury'!$A$1:$BQ$224,_xlfn.XMATCH(BO$1,'UN Treasury'!$A$1:$BQ$1,-1,1),FALSE)</f>
        <v>305.36</v>
      </c>
      <c r="BP55">
        <f>VLOOKUP($A55,'UN Treasury'!$A$1:$BQ$224,_xlfn.XMATCH(BP$1,'UN Treasury'!$A$1:$BQ$1,-1,1),FALSE)</f>
        <v>294.72000000000003</v>
      </c>
      <c r="BQ55">
        <f>VLOOKUP($A55,'UN Treasury'!$A$1:$BQ$224,_xlfn.XMATCH(BQ$1,'UN Treasury'!$A$1:$BQ$1,-1,1),FALSE)</f>
        <v>296.22000000000003</v>
      </c>
    </row>
    <row r="56" spans="1:69" x14ac:dyDescent="0.25">
      <c r="A56" t="s">
        <v>139</v>
      </c>
      <c r="B56">
        <f>VLOOKUP($A56,'UN Treasury'!$A$1:$BQ$224,_xlfn.XMATCH(B$1,'UN Treasury'!$A$1:$BQ$1,-1,1),FALSE)</f>
        <v>17863</v>
      </c>
      <c r="C56">
        <f>VLOOKUP($A56,'UN Treasury'!$A$1:$BQ$224,_xlfn.XMATCH(C$1,'UN Treasury'!$A$1:$BQ$1,-1,1),FALSE)</f>
        <v>18100</v>
      </c>
      <c r="D56">
        <f>VLOOKUP($A56,'UN Treasury'!$A$1:$BQ$224,_xlfn.XMATCH(D$1,'UN Treasury'!$A$1:$BQ$1,-1,1),FALSE)</f>
        <v>17985</v>
      </c>
      <c r="E56">
        <f>VLOOKUP($A56,'UN Treasury'!$A$1:$BQ$224,_xlfn.XMATCH(E$1,'UN Treasury'!$A$1:$BQ$1,-1,1),FALSE)</f>
        <v>17460</v>
      </c>
      <c r="F56">
        <f>VLOOKUP($A56,'UN Treasury'!$A$1:$BQ$224,_xlfn.XMATCH(F$1,'UN Treasury'!$A$1:$BQ$1,-1,1),FALSE)</f>
        <v>17100</v>
      </c>
      <c r="G56">
        <f>VLOOKUP($A56,'UN Treasury'!$A$1:$BQ$224,_xlfn.XMATCH(G$1,'UN Treasury'!$A$1:$BQ$1,-1,1),FALSE)</f>
        <v>16889</v>
      </c>
      <c r="H56">
        <f>VLOOKUP($A56,'UN Treasury'!$A$1:$BQ$224,_xlfn.XMATCH(H$1,'UN Treasury'!$A$1:$BQ$1,-1,1),FALSE)</f>
        <v>16822</v>
      </c>
      <c r="I56">
        <f>VLOOKUP($A56,'UN Treasury'!$A$1:$BQ$224,_xlfn.XMATCH(I$1,'UN Treasury'!$A$1:$BQ$1,-1,1),FALSE)</f>
        <v>16873</v>
      </c>
      <c r="J56">
        <f>VLOOKUP($A56,'UN Treasury'!$A$1:$BQ$224,_xlfn.XMATCH(J$1,'UN Treasury'!$A$1:$BQ$1,-1,1),FALSE)</f>
        <v>16672</v>
      </c>
      <c r="K56">
        <f>VLOOKUP($A56,'UN Treasury'!$A$1:$BQ$224,_xlfn.XMATCH(K$1,'UN Treasury'!$A$1:$BQ$1,-1,1),FALSE)</f>
        <v>16711</v>
      </c>
      <c r="L56">
        <f>VLOOKUP($A56,'UN Treasury'!$A$1:$BQ$224,_xlfn.XMATCH(L$1,'UN Treasury'!$A$1:$BQ$1,-1,1),FALSE)</f>
        <v>16555</v>
      </c>
      <c r="M56">
        <f>VLOOKUP($A56,'UN Treasury'!$A$1:$BQ$224,_xlfn.XMATCH(M$1,'UN Treasury'!$A$1:$BQ$1,-1,1),FALSE)</f>
        <v>16458</v>
      </c>
      <c r="N56">
        <f>VLOOKUP($A56,'UN Treasury'!$A$1:$BQ$224,_xlfn.XMATCH(N$1,'UN Treasury'!$A$1:$BQ$1,-1,1),FALSE)</f>
        <v>16190</v>
      </c>
      <c r="O56">
        <f>VLOOKUP($A56,'UN Treasury'!$A$1:$BQ$224,_xlfn.XMATCH(O$1,'UN Treasury'!$A$1:$BQ$1,-1,1),FALSE)</f>
        <v>16214</v>
      </c>
      <c r="P56">
        <f>VLOOKUP($A56,'UN Treasury'!$A$1:$BQ$224,_xlfn.XMATCH(P$1,'UN Treasury'!$A$1:$BQ$1,-1,1),FALSE)</f>
        <v>16258</v>
      </c>
      <c r="Q56">
        <f>VLOOKUP($A56,'UN Treasury'!$A$1:$BQ$224,_xlfn.XMATCH(Q$1,'UN Treasury'!$A$1:$BQ$1,-1,1),FALSE)</f>
        <v>16622</v>
      </c>
      <c r="R56">
        <f>VLOOKUP($A56,'UN Treasury'!$A$1:$BQ$224,_xlfn.XMATCH(R$1,'UN Treasury'!$A$1:$BQ$1,-1,1),FALSE)</f>
        <v>16791</v>
      </c>
      <c r="S56">
        <f>VLOOKUP($A56,'UN Treasury'!$A$1:$BQ$224,_xlfn.XMATCH(S$1,'UN Treasury'!$A$1:$BQ$1,-1,1),FALSE)</f>
        <v>16448</v>
      </c>
      <c r="T56">
        <f>VLOOKUP($A56,'UN Treasury'!$A$1:$BQ$224,_xlfn.XMATCH(T$1,'UN Treasury'!$A$1:$BQ$1,-1,1),FALSE)</f>
        <v>16369</v>
      </c>
      <c r="U56">
        <f>VLOOKUP($A56,'UN Treasury'!$A$1:$BQ$224,_xlfn.XMATCH(U$1,'UN Treasury'!$A$1:$BQ$1,-1,1),FALSE)</f>
        <v>16278</v>
      </c>
      <c r="V56">
        <f>VLOOKUP($A56,'UN Treasury'!$A$1:$BQ$224,_xlfn.XMATCH(V$1,'UN Treasury'!$A$1:$BQ$1,-1,1),FALSE)</f>
        <v>15914</v>
      </c>
      <c r="W56">
        <f>VLOOKUP($A56,'UN Treasury'!$A$1:$BQ$224,_xlfn.XMATCH(W$1,'UN Treasury'!$A$1:$BQ$1,-1,1),FALSE)</f>
        <v>15779</v>
      </c>
      <c r="X56">
        <f>VLOOKUP($A56,'UN Treasury'!$A$1:$BQ$224,_xlfn.XMATCH(X$1,'UN Treasury'!$A$1:$BQ$1,-1,1),FALSE)</f>
        <v>15575</v>
      </c>
      <c r="Y56">
        <f>VLOOKUP($A56,'UN Treasury'!$A$1:$BQ$224,_xlfn.XMATCH(Y$1,'UN Treasury'!$A$1:$BQ$1,-1,1),FALSE)</f>
        <v>15395</v>
      </c>
      <c r="Z56">
        <f>VLOOKUP($A56,'UN Treasury'!$A$1:$BQ$224,_xlfn.XMATCH(Z$1,'UN Treasury'!$A$1:$BQ$1,-1,1),FALSE)</f>
        <v>15830</v>
      </c>
      <c r="AA56">
        <f>VLOOKUP($A56,'UN Treasury'!$A$1:$BQ$224,_xlfn.XMATCH(AA$1,'UN Treasury'!$A$1:$BQ$1,-1,1),FALSE)</f>
        <v>16190</v>
      </c>
      <c r="AB56">
        <f>VLOOKUP($A56,'UN Treasury'!$A$1:$BQ$224,_xlfn.XMATCH(AB$1,'UN Treasury'!$A$1:$BQ$1,-1,1),FALSE)</f>
        <v>16290</v>
      </c>
      <c r="AC56">
        <f>VLOOKUP($A56,'UN Treasury'!$A$1:$BQ$224,_xlfn.XMATCH(AC$1,'UN Treasury'!$A$1:$BQ$1,-1,1),FALSE)</f>
        <v>16076</v>
      </c>
      <c r="AD56">
        <f>VLOOKUP($A56,'UN Treasury'!$A$1:$BQ$224,_xlfn.XMATCH(AD$1,'UN Treasury'!$A$1:$BQ$1,-1,1),FALSE)</f>
        <v>15848</v>
      </c>
      <c r="AE56">
        <f>VLOOKUP($A56,'UN Treasury'!$A$1:$BQ$224,_xlfn.XMATCH(AE$1,'UN Treasury'!$A$1:$BQ$1,-1,1),FALSE)</f>
        <v>15575</v>
      </c>
      <c r="AF56">
        <f>VLOOKUP($A56,'UN Treasury'!$A$1:$BQ$224,_xlfn.XMATCH(AF$1,'UN Treasury'!$A$1:$BQ$1,-1,1),FALSE)</f>
        <v>15590</v>
      </c>
      <c r="AG56">
        <f>VLOOKUP($A56,'UN Treasury'!$A$1:$BQ$224,_xlfn.XMATCH(AG$1,'UN Treasury'!$A$1:$BQ$1,-1,1),FALSE)</f>
        <v>15545</v>
      </c>
      <c r="AH56">
        <f>VLOOKUP($A56,'UN Treasury'!$A$1:$BQ$224,_xlfn.XMATCH(AH$1,'UN Treasury'!$A$1:$BQ$1,-1,1),FALSE)</f>
        <v>15655</v>
      </c>
      <c r="AI56">
        <f>VLOOKUP($A56,'UN Treasury'!$A$1:$BQ$224,_xlfn.XMATCH(AI$1,'UN Treasury'!$A$1:$BQ$1,-1,1),FALSE)</f>
        <v>15697</v>
      </c>
      <c r="AJ56">
        <f>VLOOKUP($A56,'UN Treasury'!$A$1:$BQ$224,_xlfn.XMATCH(AJ$1,'UN Treasury'!$A$1:$BQ$1,-1,1),FALSE)</f>
        <v>15695</v>
      </c>
      <c r="AK56">
        <f>VLOOKUP($A56,'UN Treasury'!$A$1:$BQ$224,_xlfn.XMATCH(AK$1,'UN Treasury'!$A$1:$BQ$1,-1,1),FALSE)</f>
        <v>15365</v>
      </c>
      <c r="AL56">
        <f>VLOOKUP($A56,'UN Treasury'!$A$1:$BQ$224,_xlfn.XMATCH(AL$1,'UN Treasury'!$A$1:$BQ$1,-1,1),FALSE)</f>
        <v>15215</v>
      </c>
      <c r="AM56">
        <f>VLOOKUP($A56,'UN Treasury'!$A$1:$BQ$224,_xlfn.XMATCH(AM$1,'UN Treasury'!$A$1:$BQ$1,-1,1),FALSE)</f>
        <v>15069</v>
      </c>
      <c r="AN56">
        <f>VLOOKUP($A56,'UN Treasury'!$A$1:$BQ$224,_xlfn.XMATCH(AN$1,'UN Treasury'!$A$1:$BQ$1,-1,1),FALSE)</f>
        <v>14858</v>
      </c>
      <c r="AO56">
        <f>VLOOKUP($A56,'UN Treasury'!$A$1:$BQ$224,_xlfn.XMATCH(AO$1,'UN Treasury'!$A$1:$BQ$1,-1,1),FALSE)</f>
        <v>14716</v>
      </c>
      <c r="AP56">
        <f>VLOOKUP($A56,'UN Treasury'!$A$1:$BQ$224,_xlfn.XMATCH(AP$1,'UN Treasury'!$A$1:$BQ$1,-1,1),FALSE)</f>
        <v>14875</v>
      </c>
      <c r="AQ56">
        <f>VLOOKUP($A56,'UN Treasury'!$A$1:$BQ$224,_xlfn.XMATCH(AQ$1,'UN Treasury'!$A$1:$BQ$1,-1,1),FALSE)</f>
        <v>15372</v>
      </c>
      <c r="AR56">
        <f>VLOOKUP($A56,'UN Treasury'!$A$1:$BQ$224,_xlfn.XMATCH(AR$1,'UN Treasury'!$A$1:$BQ$1,-1,1),FALSE)</f>
        <v>15190</v>
      </c>
      <c r="AS56">
        <f>VLOOKUP($A56,'UN Treasury'!$A$1:$BQ$224,_xlfn.XMATCH(AS$1,'UN Treasury'!$A$1:$BQ$1,-1,1),FALSE)</f>
        <v>15480</v>
      </c>
      <c r="AT56">
        <f>VLOOKUP($A56,'UN Treasury'!$A$1:$BQ$224,_xlfn.XMATCH(AT$1,'UN Treasury'!$A$1:$BQ$1,-1,1),FALSE)</f>
        <v>15655</v>
      </c>
      <c r="AU56">
        <f>VLOOKUP($A56,'UN Treasury'!$A$1:$BQ$224,_xlfn.XMATCH(AU$1,'UN Treasury'!$A$1:$BQ$1,-1,1),FALSE)</f>
        <v>15490</v>
      </c>
      <c r="AV56">
        <f>VLOOKUP($A56,'UN Treasury'!$A$1:$BQ$224,_xlfn.XMATCH(AV$1,'UN Treasury'!$A$1:$BQ$1,-1,1),FALSE)</f>
        <v>15354</v>
      </c>
      <c r="AW56">
        <f>VLOOKUP($A56,'UN Treasury'!$A$1:$BQ$224,_xlfn.XMATCH(AW$1,'UN Treasury'!$A$1:$BQ$1,-1,1),FALSE)</f>
        <v>14850</v>
      </c>
      <c r="AX56">
        <f>VLOOKUP($A56,'UN Treasury'!$A$1:$BQ$224,_xlfn.XMATCH(AX$1,'UN Treasury'!$A$1:$BQ$1,-1,1),FALSE)</f>
        <v>14761</v>
      </c>
      <c r="AY56">
        <f>VLOOKUP($A56,'UN Treasury'!$A$1:$BQ$224,_xlfn.XMATCH(AY$1,'UN Treasury'!$A$1:$BQ$1,-1,1),FALSE)</f>
        <v>14990</v>
      </c>
      <c r="AZ56">
        <f>VLOOKUP($A56,'UN Treasury'!$A$1:$BQ$224,_xlfn.XMATCH(AZ$1,'UN Treasury'!$A$1:$BQ$1,-1,1),FALSE)</f>
        <v>14681</v>
      </c>
      <c r="BA56">
        <f>VLOOKUP($A56,'UN Treasury'!$A$1:$BQ$224,_xlfn.XMATCH(BA$1,'UN Treasury'!$A$1:$BQ$1,-1,1),FALSE)</f>
        <v>14551</v>
      </c>
      <c r="BB56">
        <f>VLOOKUP($A56,'UN Treasury'!$A$1:$BQ$224,_xlfn.XMATCH(BB$1,'UN Treasury'!$A$1:$BQ$1,-1,1),FALSE)</f>
        <v>14364</v>
      </c>
      <c r="BC56">
        <f>VLOOKUP($A56,'UN Treasury'!$A$1:$BQ$224,_xlfn.XMATCH(BC$1,'UN Treasury'!$A$1:$BQ$1,-1,1),FALSE)</f>
        <v>14297</v>
      </c>
      <c r="BD56">
        <f>VLOOKUP($A56,'UN Treasury'!$A$1:$BQ$224,_xlfn.XMATCH(BD$1,'UN Treasury'!$A$1:$BQ$1,-1,1),FALSE)</f>
        <v>14347</v>
      </c>
      <c r="BE56">
        <f>VLOOKUP($A56,'UN Treasury'!$A$1:$BQ$224,_xlfn.XMATCH(BE$1,'UN Treasury'!$A$1:$BQ$1,-1,1),FALSE)</f>
        <v>14319</v>
      </c>
      <c r="BF56">
        <f>VLOOKUP($A56,'UN Treasury'!$A$1:$BQ$224,_xlfn.XMATCH(BF$1,'UN Treasury'!$A$1:$BQ$1,-1,1),FALSE)</f>
        <v>14317</v>
      </c>
      <c r="BG56">
        <f>VLOOKUP($A56,'UN Treasury'!$A$1:$BQ$224,_xlfn.XMATCH(BG$1,'UN Treasury'!$A$1:$BQ$1,-1,1),FALSE)</f>
        <v>14170</v>
      </c>
      <c r="BH56">
        <f>VLOOKUP($A56,'UN Treasury'!$A$1:$BQ$224,_xlfn.XMATCH(BH$1,'UN Treasury'!$A$1:$BQ$1,-1,1),FALSE)</f>
        <v>14290</v>
      </c>
      <c r="BI56">
        <f>VLOOKUP($A56,'UN Treasury'!$A$1:$BQ$224,_xlfn.XMATCH(BI$1,'UN Treasury'!$A$1:$BQ$1,-1,1),FALSE)</f>
        <v>14368</v>
      </c>
      <c r="BJ56">
        <f>VLOOKUP($A56,'UN Treasury'!$A$1:$BQ$224,_xlfn.XMATCH(BJ$1,'UN Treasury'!$A$1:$BQ$1,-1,1),FALSE)</f>
        <v>14480</v>
      </c>
      <c r="BK56">
        <f>VLOOKUP($A56,'UN Treasury'!$A$1:$BQ$224,_xlfn.XMATCH(BK$1,'UN Treasury'!$A$1:$BQ$1,-1,1),FALSE)</f>
        <v>14440</v>
      </c>
      <c r="BL56">
        <f>VLOOKUP($A56,'UN Treasury'!$A$1:$BQ$224,_xlfn.XMATCH(BL$1,'UN Treasury'!$A$1:$BQ$1,-1,1),FALSE)</f>
        <v>14285</v>
      </c>
      <c r="BM56">
        <f>VLOOKUP($A56,'UN Treasury'!$A$1:$BQ$224,_xlfn.XMATCH(BM$1,'UN Treasury'!$A$1:$BQ$1,-1,1),FALSE)</f>
        <v>14445</v>
      </c>
      <c r="BN56">
        <f>VLOOKUP($A56,'UN Treasury'!$A$1:$BQ$224,_xlfn.XMATCH(BN$1,'UN Treasury'!$A$1:$BQ$1,-1,1),FALSE)</f>
        <v>14470</v>
      </c>
      <c r="BO56">
        <f>VLOOKUP($A56,'UN Treasury'!$A$1:$BQ$224,_xlfn.XMATCH(BO$1,'UN Treasury'!$A$1:$BQ$1,-1,1),FALSE)</f>
        <v>14080</v>
      </c>
      <c r="BP56">
        <f>VLOOKUP($A56,'UN Treasury'!$A$1:$BQ$224,_xlfn.XMATCH(BP$1,'UN Treasury'!$A$1:$BQ$1,-1,1),FALSE)</f>
        <v>14055</v>
      </c>
      <c r="BQ56">
        <f>VLOOKUP($A56,'UN Treasury'!$A$1:$BQ$224,_xlfn.XMATCH(BQ$1,'UN Treasury'!$A$1:$BQ$1,-1,1),FALSE)</f>
        <v>14110</v>
      </c>
    </row>
    <row r="57" spans="1:69" x14ac:dyDescent="0.25">
      <c r="A57" t="s">
        <v>141</v>
      </c>
      <c r="B57">
        <f>VLOOKUP($A57,'UN Treasury'!$A$1:$BQ$224,_xlfn.XMATCH(B$1,'UN Treasury'!$A$1:$BQ$1,-1,1),FALSE)</f>
        <v>2.9809999999999999</v>
      </c>
      <c r="C57">
        <f>VLOOKUP($A57,'UN Treasury'!$A$1:$BQ$224,_xlfn.XMATCH(C$1,'UN Treasury'!$A$1:$BQ$1,-1,1),FALSE)</f>
        <v>3.024</v>
      </c>
      <c r="D57">
        <f>VLOOKUP($A57,'UN Treasury'!$A$1:$BQ$224,_xlfn.XMATCH(D$1,'UN Treasury'!$A$1:$BQ$1,-1,1),FALSE)</f>
        <v>2.96</v>
      </c>
      <c r="E57">
        <f>VLOOKUP($A57,'UN Treasury'!$A$1:$BQ$224,_xlfn.XMATCH(E$1,'UN Treasury'!$A$1:$BQ$1,-1,1),FALSE)</f>
        <v>2.9119999999999999</v>
      </c>
      <c r="F57">
        <f>VLOOKUP($A57,'UN Treasury'!$A$1:$BQ$224,_xlfn.XMATCH(F$1,'UN Treasury'!$A$1:$BQ$1,-1,1),FALSE)</f>
        <v>3.0449999999999999</v>
      </c>
      <c r="G57">
        <f>VLOOKUP($A57,'UN Treasury'!$A$1:$BQ$224,_xlfn.XMATCH(G$1,'UN Treasury'!$A$1:$BQ$1,-1,1),FALSE)</f>
        <v>3.125</v>
      </c>
      <c r="H57">
        <f>VLOOKUP($A57,'UN Treasury'!$A$1:$BQ$224,_xlfn.XMATCH(H$1,'UN Treasury'!$A$1:$BQ$1,-1,1),FALSE)</f>
        <v>3.0619999999999998</v>
      </c>
      <c r="I57">
        <f>VLOOKUP($A57,'UN Treasury'!$A$1:$BQ$224,_xlfn.XMATCH(I$1,'UN Treasury'!$A$1:$BQ$1,-1,1),FALSE)</f>
        <v>3.1509999999999998</v>
      </c>
      <c r="J57">
        <f>VLOOKUP($A57,'UN Treasury'!$A$1:$BQ$224,_xlfn.XMATCH(J$1,'UN Treasury'!$A$1:$BQ$1,-1,1),FALSE)</f>
        <v>3.2080000000000002</v>
      </c>
      <c r="K57">
        <f>VLOOKUP($A57,'UN Treasury'!$A$1:$BQ$224,_xlfn.XMATCH(K$1,'UN Treasury'!$A$1:$BQ$1,-1,1),FALSE)</f>
        <v>3.198</v>
      </c>
      <c r="L57">
        <f>VLOOKUP($A57,'UN Treasury'!$A$1:$BQ$224,_xlfn.XMATCH(L$1,'UN Treasury'!$A$1:$BQ$1,-1,1),FALSE)</f>
        <v>3.2829999999999999</v>
      </c>
      <c r="M57">
        <f>VLOOKUP($A57,'UN Treasury'!$A$1:$BQ$224,_xlfn.XMATCH(M$1,'UN Treasury'!$A$1:$BQ$1,-1,1),FALSE)</f>
        <v>3.327</v>
      </c>
      <c r="N57">
        <f>VLOOKUP($A57,'UN Treasury'!$A$1:$BQ$224,_xlfn.XMATCH(N$1,'UN Treasury'!$A$1:$BQ$1,-1,1),FALSE)</f>
        <v>3.3860000000000001</v>
      </c>
      <c r="O57">
        <f>VLOOKUP($A57,'UN Treasury'!$A$1:$BQ$224,_xlfn.XMATCH(O$1,'UN Treasury'!$A$1:$BQ$1,-1,1),FALSE)</f>
        <v>3.3340000000000001</v>
      </c>
      <c r="P57">
        <f>VLOOKUP($A57,'UN Treasury'!$A$1:$BQ$224,_xlfn.XMATCH(P$1,'UN Treasury'!$A$1:$BQ$1,-1,1),FALSE)</f>
        <v>3.49</v>
      </c>
      <c r="Q57">
        <f>VLOOKUP($A57,'UN Treasury'!$A$1:$BQ$224,_xlfn.XMATCH(Q$1,'UN Treasury'!$A$1:$BQ$1,-1,1),FALSE)</f>
        <v>3.569</v>
      </c>
      <c r="R57">
        <f>VLOOKUP($A57,'UN Treasury'!$A$1:$BQ$224,_xlfn.XMATCH(R$1,'UN Treasury'!$A$1:$BQ$1,-1,1),FALSE)</f>
        <v>3.7040000000000002</v>
      </c>
      <c r="S57">
        <f>VLOOKUP($A57,'UN Treasury'!$A$1:$BQ$224,_xlfn.XMATCH(S$1,'UN Treasury'!$A$1:$BQ$1,-1,1),FALSE)</f>
        <v>3.6389999999999998</v>
      </c>
      <c r="T57">
        <f>VLOOKUP($A57,'UN Treasury'!$A$1:$BQ$224,_xlfn.XMATCH(T$1,'UN Treasury'!$A$1:$BQ$1,-1,1),FALSE)</f>
        <v>3.5939999999999999</v>
      </c>
      <c r="U57">
        <f>VLOOKUP($A57,'UN Treasury'!$A$1:$BQ$224,_xlfn.XMATCH(U$1,'UN Treasury'!$A$1:$BQ$1,-1,1),FALSE)</f>
        <v>3.67</v>
      </c>
      <c r="V57">
        <f>VLOOKUP($A57,'UN Treasury'!$A$1:$BQ$224,_xlfn.XMATCH(V$1,'UN Treasury'!$A$1:$BQ$1,-1,1),FALSE)</f>
        <v>3.581</v>
      </c>
      <c r="W57">
        <f>VLOOKUP($A57,'UN Treasury'!$A$1:$BQ$224,_xlfn.XMATCH(W$1,'UN Treasury'!$A$1:$BQ$1,-1,1),FALSE)</f>
        <v>3.746</v>
      </c>
      <c r="X57">
        <f>VLOOKUP($A57,'UN Treasury'!$A$1:$BQ$224,_xlfn.XMATCH(X$1,'UN Treasury'!$A$1:$BQ$1,-1,1),FALSE)</f>
        <v>3.7679999999999998</v>
      </c>
      <c r="Y57">
        <f>VLOOKUP($A57,'UN Treasury'!$A$1:$BQ$224,_xlfn.XMATCH(Y$1,'UN Treasury'!$A$1:$BQ$1,-1,1),FALSE)</f>
        <v>3.758</v>
      </c>
      <c r="Z57">
        <f>VLOOKUP($A57,'UN Treasury'!$A$1:$BQ$224,_xlfn.XMATCH(Z$1,'UN Treasury'!$A$1:$BQ$1,-1,1),FALSE)</f>
        <v>3.7229999999999999</v>
      </c>
      <c r="AA57">
        <f>VLOOKUP($A57,'UN Treasury'!$A$1:$BQ$224,_xlfn.XMATCH(AA$1,'UN Treasury'!$A$1:$BQ$1,-1,1),FALSE)</f>
        <v>3.64</v>
      </c>
      <c r="AB57">
        <f>VLOOKUP($A57,'UN Treasury'!$A$1:$BQ$224,_xlfn.XMATCH(AB$1,'UN Treasury'!$A$1:$BQ$1,-1,1),FALSE)</f>
        <v>3.6850000000000001</v>
      </c>
      <c r="AC57">
        <f>VLOOKUP($A57,'UN Treasury'!$A$1:$BQ$224,_xlfn.XMATCH(AC$1,'UN Treasury'!$A$1:$BQ$1,-1,1),FALSE)</f>
        <v>3.7170000000000001</v>
      </c>
      <c r="AD57">
        <f>VLOOKUP($A57,'UN Treasury'!$A$1:$BQ$224,_xlfn.XMATCH(AD$1,'UN Treasury'!$A$1:$BQ$1,-1,1),FALSE)</f>
        <v>3.7480000000000002</v>
      </c>
      <c r="AE57">
        <f>VLOOKUP($A57,'UN Treasury'!$A$1:$BQ$224,_xlfn.XMATCH(AE$1,'UN Treasury'!$A$1:$BQ$1,-1,1),FALSE)</f>
        <v>3.649</v>
      </c>
      <c r="AF57">
        <f>VLOOKUP($A57,'UN Treasury'!$A$1:$BQ$224,_xlfn.XMATCH(AF$1,'UN Treasury'!$A$1:$BQ$1,-1,1),FALSE)</f>
        <v>3.66</v>
      </c>
      <c r="AG57">
        <f>VLOOKUP($A57,'UN Treasury'!$A$1:$BQ$224,_xlfn.XMATCH(AG$1,'UN Treasury'!$A$1:$BQ$1,-1,1),FALSE)</f>
        <v>3.7360000000000002</v>
      </c>
      <c r="AH57">
        <f>VLOOKUP($A57,'UN Treasury'!$A$1:$BQ$224,_xlfn.XMATCH(AH$1,'UN Treasury'!$A$1:$BQ$1,-1,1),FALSE)</f>
        <v>3.698</v>
      </c>
      <c r="AI57">
        <f>VLOOKUP($A57,'UN Treasury'!$A$1:$BQ$224,_xlfn.XMATCH(AI$1,'UN Treasury'!$A$1:$BQ$1,-1,1),FALSE)</f>
        <v>3.867</v>
      </c>
      <c r="AJ57">
        <f>VLOOKUP($A57,'UN Treasury'!$A$1:$BQ$224,_xlfn.XMATCH(AJ$1,'UN Treasury'!$A$1:$BQ$1,-1,1),FALSE)</f>
        <v>3.9590000000000001</v>
      </c>
      <c r="AK57">
        <f>VLOOKUP($A57,'UN Treasury'!$A$1:$BQ$224,_xlfn.XMATCH(AK$1,'UN Treasury'!$A$1:$BQ$1,-1,1),FALSE)</f>
        <v>3.8239999999999998</v>
      </c>
      <c r="AL57">
        <f>VLOOKUP($A57,'UN Treasury'!$A$1:$BQ$224,_xlfn.XMATCH(AL$1,'UN Treasury'!$A$1:$BQ$1,-1,1),FALSE)</f>
        <v>3.734</v>
      </c>
      <c r="AM57">
        <f>VLOOKUP($A57,'UN Treasury'!$A$1:$BQ$224,_xlfn.XMATCH(AM$1,'UN Treasury'!$A$1:$BQ$1,-1,1),FALSE)</f>
        <v>3.6480000000000001</v>
      </c>
      <c r="AN57">
        <f>VLOOKUP($A57,'UN Treasury'!$A$1:$BQ$224,_xlfn.XMATCH(AN$1,'UN Treasury'!$A$1:$BQ$1,-1,1),FALSE)</f>
        <v>3.5619999999999998</v>
      </c>
      <c r="AO57">
        <f>VLOOKUP($A57,'UN Treasury'!$A$1:$BQ$224,_xlfn.XMATCH(AO$1,'UN Treasury'!$A$1:$BQ$1,-1,1),FALSE)</f>
        <v>3.65</v>
      </c>
      <c r="AP57">
        <f>VLOOKUP($A57,'UN Treasury'!$A$1:$BQ$224,_xlfn.XMATCH(AP$1,'UN Treasury'!$A$1:$BQ$1,-1,1),FALSE)</f>
        <v>3.6669999999999998</v>
      </c>
      <c r="AQ57">
        <f>VLOOKUP($A57,'UN Treasury'!$A$1:$BQ$224,_xlfn.XMATCH(AQ$1,'UN Treasury'!$A$1:$BQ$1,-1,1),FALSE)</f>
        <v>3.6269999999999998</v>
      </c>
      <c r="AR57">
        <f>VLOOKUP($A57,'UN Treasury'!$A$1:$BQ$224,_xlfn.XMATCH(AR$1,'UN Treasury'!$A$1:$BQ$1,-1,1),FALSE)</f>
        <v>3.524</v>
      </c>
      <c r="AS57">
        <f>VLOOKUP($A57,'UN Treasury'!$A$1:$BQ$224,_xlfn.XMATCH(AS$1,'UN Treasury'!$A$1:$BQ$1,-1,1),FALSE)</f>
        <v>3.4329999999999998</v>
      </c>
      <c r="AT57">
        <f>VLOOKUP($A57,'UN Treasury'!$A$1:$BQ$224,_xlfn.XMATCH(AT$1,'UN Treasury'!$A$1:$BQ$1,-1,1),FALSE)</f>
        <v>3.3889999999999998</v>
      </c>
      <c r="AU57">
        <f>VLOOKUP($A57,'UN Treasury'!$A$1:$BQ$224,_xlfn.XMATCH(AU$1,'UN Treasury'!$A$1:$BQ$1,-1,1),FALSE)</f>
        <v>3.4180000000000001</v>
      </c>
      <c r="AV57">
        <f>VLOOKUP($A57,'UN Treasury'!$A$1:$BQ$224,_xlfn.XMATCH(AV$1,'UN Treasury'!$A$1:$BQ$1,-1,1),FALSE)</f>
        <v>3.5670000000000002</v>
      </c>
      <c r="AW57">
        <f>VLOOKUP($A57,'UN Treasury'!$A$1:$BQ$224,_xlfn.XMATCH(AW$1,'UN Treasury'!$A$1:$BQ$1,-1,1),FALSE)</f>
        <v>3.407</v>
      </c>
      <c r="AX57">
        <f>VLOOKUP($A57,'UN Treasury'!$A$1:$BQ$224,_xlfn.XMATCH(AX$1,'UN Treasury'!$A$1:$BQ$1,-1,1),FALSE)</f>
        <v>3.24</v>
      </c>
      <c r="AY57">
        <f>VLOOKUP($A57,'UN Treasury'!$A$1:$BQ$224,_xlfn.XMATCH(AY$1,'UN Treasury'!$A$1:$BQ$1,-1,1),FALSE)</f>
        <v>3.4740000000000002</v>
      </c>
      <c r="AZ57">
        <f>VLOOKUP($A57,'UN Treasury'!$A$1:$BQ$224,_xlfn.XMATCH(AZ$1,'UN Treasury'!$A$1:$BQ$1,-1,1),FALSE)</f>
        <v>3.4390000000000001</v>
      </c>
      <c r="BA57">
        <f>VLOOKUP($A57,'UN Treasury'!$A$1:$BQ$224,_xlfn.XMATCH(BA$1,'UN Treasury'!$A$1:$BQ$1,-1,1),FALSE)</f>
        <v>3.43</v>
      </c>
      <c r="BB57">
        <f>VLOOKUP($A57,'UN Treasury'!$A$1:$BQ$224,_xlfn.XMATCH(BB$1,'UN Treasury'!$A$1:$BQ$1,-1,1),FALSE)</f>
        <v>3.2040000000000002</v>
      </c>
      <c r="BC57">
        <f>VLOOKUP($A57,'UN Treasury'!$A$1:$BQ$224,_xlfn.XMATCH(BC$1,'UN Treasury'!$A$1:$BQ$1,-1,1),FALSE)</f>
        <v>3.2480000000000002</v>
      </c>
      <c r="BD57">
        <f>VLOOKUP($A57,'UN Treasury'!$A$1:$BQ$224,_xlfn.XMATCH(BD$1,'UN Treasury'!$A$1:$BQ$1,-1,1),FALSE)</f>
        <v>3.2330000000000001</v>
      </c>
      <c r="BE57">
        <f>VLOOKUP($A57,'UN Treasury'!$A$1:$BQ$224,_xlfn.XMATCH(BE$1,'UN Treasury'!$A$1:$BQ$1,-1,1),FALSE)</f>
        <v>3.0990000000000002</v>
      </c>
      <c r="BF57">
        <f>VLOOKUP($A57,'UN Treasury'!$A$1:$BQ$224,_xlfn.XMATCH(BF$1,'UN Treasury'!$A$1:$BQ$1,-1,1),FALSE)</f>
        <v>3.1669999999999998</v>
      </c>
      <c r="BG57">
        <f>VLOOKUP($A57,'UN Treasury'!$A$1:$BQ$224,_xlfn.XMATCH(BG$1,'UN Treasury'!$A$1:$BQ$1,-1,1),FALSE)</f>
        <v>3.1680000000000001</v>
      </c>
      <c r="BH57">
        <f>VLOOKUP($A57,'UN Treasury'!$A$1:$BQ$224,_xlfn.XMATCH(BH$1,'UN Treasury'!$A$1:$BQ$1,-1,1),FALSE)</f>
        <v>3.2170000000000001</v>
      </c>
      <c r="BI57">
        <f>VLOOKUP($A57,'UN Treasury'!$A$1:$BQ$224,_xlfn.XMATCH(BI$1,'UN Treasury'!$A$1:$BQ$1,-1,1),FALSE)</f>
        <v>3.218</v>
      </c>
      <c r="BJ57">
        <f>VLOOKUP($A57,'UN Treasury'!$A$1:$BQ$224,_xlfn.XMATCH(BJ$1,'UN Treasury'!$A$1:$BQ$1,-1,1),FALSE)</f>
        <v>3.2429999999999999</v>
      </c>
      <c r="BK57">
        <f>VLOOKUP($A57,'UN Treasury'!$A$1:$BQ$224,_xlfn.XMATCH(BK$1,'UN Treasury'!$A$1:$BQ$1,-1,1),FALSE)</f>
        <v>3.2610000000000001</v>
      </c>
      <c r="BL57">
        <f>VLOOKUP($A57,'UN Treasury'!$A$1:$BQ$224,_xlfn.XMATCH(BL$1,'UN Treasury'!$A$1:$BQ$1,-1,1),FALSE)</f>
        <v>3.2450000000000001</v>
      </c>
      <c r="BM57">
        <f>VLOOKUP($A57,'UN Treasury'!$A$1:$BQ$224,_xlfn.XMATCH(BM$1,'UN Treasury'!$A$1:$BQ$1,-1,1),FALSE)</f>
        <v>3.2450000000000001</v>
      </c>
      <c r="BN57">
        <f>VLOOKUP($A57,'UN Treasury'!$A$1:$BQ$224,_xlfn.XMATCH(BN$1,'UN Treasury'!$A$1:$BQ$1,-1,1),FALSE)</f>
        <v>3.3340000000000001</v>
      </c>
      <c r="BO57">
        <f>VLOOKUP($A57,'UN Treasury'!$A$1:$BQ$224,_xlfn.XMATCH(BO$1,'UN Treasury'!$A$1:$BQ$1,-1,1),FALSE)</f>
        <v>3.274</v>
      </c>
      <c r="BP57">
        <f>VLOOKUP($A57,'UN Treasury'!$A$1:$BQ$224,_xlfn.XMATCH(BP$1,'UN Treasury'!$A$1:$BQ$1,-1,1),FALSE)</f>
        <v>3.286</v>
      </c>
      <c r="BQ57">
        <f>VLOOKUP($A57,'UN Treasury'!$A$1:$BQ$224,_xlfn.XMATCH(BQ$1,'UN Treasury'!$A$1:$BQ$1,-1,1),FALSE)</f>
        <v>3.2090000000000001</v>
      </c>
    </row>
    <row r="58" spans="1:69" x14ac:dyDescent="0.25">
      <c r="A58" t="s">
        <v>143</v>
      </c>
      <c r="B58">
        <f>VLOOKUP($A58,'UN Treasury'!$A$1:$BQ$224,_xlfn.XMATCH(B$1,'UN Treasury'!$A$1:$BQ$1,-1,1),FALSE)</f>
        <v>95.44</v>
      </c>
      <c r="C58">
        <f>VLOOKUP($A58,'UN Treasury'!$A$1:$BQ$224,_xlfn.XMATCH(C$1,'UN Treasury'!$A$1:$BQ$1,-1,1),FALSE)</f>
        <v>95.62</v>
      </c>
      <c r="D58">
        <f>VLOOKUP($A58,'UN Treasury'!$A$1:$BQ$224,_xlfn.XMATCH(D$1,'UN Treasury'!$A$1:$BQ$1,-1,1),FALSE)</f>
        <v>95.754999999999995</v>
      </c>
      <c r="E58">
        <f>VLOOKUP($A58,'UN Treasury'!$A$1:$BQ$224,_xlfn.XMATCH(E$1,'UN Treasury'!$A$1:$BQ$1,-1,1),FALSE)</f>
        <v>95.704999999999998</v>
      </c>
      <c r="F58">
        <f>VLOOKUP($A58,'UN Treasury'!$A$1:$BQ$224,_xlfn.XMATCH(F$1,'UN Treasury'!$A$1:$BQ$1,-1,1),FALSE)</f>
        <v>93.37</v>
      </c>
      <c r="G58">
        <f>VLOOKUP($A58,'UN Treasury'!$A$1:$BQ$224,_xlfn.XMATCH(G$1,'UN Treasury'!$A$1:$BQ$1,-1,1),FALSE)</f>
        <v>92.192999999999998</v>
      </c>
      <c r="H58">
        <f>VLOOKUP($A58,'UN Treasury'!$A$1:$BQ$224,_xlfn.XMATCH(H$1,'UN Treasury'!$A$1:$BQ$1,-1,1),FALSE)</f>
        <v>90.59</v>
      </c>
      <c r="I58">
        <f>VLOOKUP($A58,'UN Treasury'!$A$1:$BQ$224,_xlfn.XMATCH(I$1,'UN Treasury'!$A$1:$BQ$1,-1,1),FALSE)</f>
        <v>90.185000000000002</v>
      </c>
      <c r="J58">
        <f>VLOOKUP($A58,'UN Treasury'!$A$1:$BQ$224,_xlfn.XMATCH(J$1,'UN Treasury'!$A$1:$BQ$1,-1,1),FALSE)</f>
        <v>90.36</v>
      </c>
      <c r="K58">
        <f>VLOOKUP($A58,'UN Treasury'!$A$1:$BQ$224,_xlfn.XMATCH(K$1,'UN Treasury'!$A$1:$BQ$1,-1,1),FALSE)</f>
        <v>88.628</v>
      </c>
      <c r="L58">
        <f>VLOOKUP($A58,'UN Treasury'!$A$1:$BQ$224,_xlfn.XMATCH(L$1,'UN Treasury'!$A$1:$BQ$1,-1,1),FALSE)</f>
        <v>88.673000000000002</v>
      </c>
      <c r="M58">
        <f>VLOOKUP($A58,'UN Treasury'!$A$1:$BQ$224,_xlfn.XMATCH(M$1,'UN Treasury'!$A$1:$BQ$1,-1,1),FALSE)</f>
        <v>88.44</v>
      </c>
      <c r="N58">
        <f>VLOOKUP($A58,'UN Treasury'!$A$1:$BQ$224,_xlfn.XMATCH(N$1,'UN Treasury'!$A$1:$BQ$1,-1,1),FALSE)</f>
        <v>87.49</v>
      </c>
      <c r="O58">
        <f>VLOOKUP($A58,'UN Treasury'!$A$1:$BQ$224,_xlfn.XMATCH(O$1,'UN Treasury'!$A$1:$BQ$1,-1,1),FALSE)</f>
        <v>85.79</v>
      </c>
      <c r="P58">
        <f>VLOOKUP($A58,'UN Treasury'!$A$1:$BQ$224,_xlfn.XMATCH(P$1,'UN Treasury'!$A$1:$BQ$1,-1,1),FALSE)</f>
        <v>85.51</v>
      </c>
      <c r="Q58">
        <f>VLOOKUP($A58,'UN Treasury'!$A$1:$BQ$224,_xlfn.XMATCH(Q$1,'UN Treasury'!$A$1:$BQ$1,-1,1),FALSE)</f>
        <v>85.34</v>
      </c>
      <c r="R58">
        <f>VLOOKUP($A58,'UN Treasury'!$A$1:$BQ$224,_xlfn.XMATCH(R$1,'UN Treasury'!$A$1:$BQ$1,-1,1),FALSE)</f>
        <v>86.04</v>
      </c>
      <c r="S58">
        <f>VLOOKUP($A58,'UN Treasury'!$A$1:$BQ$224,_xlfn.XMATCH(S$1,'UN Treasury'!$A$1:$BQ$1,-1,1),FALSE)</f>
        <v>87.2</v>
      </c>
      <c r="T58">
        <f>VLOOKUP($A58,'UN Treasury'!$A$1:$BQ$224,_xlfn.XMATCH(T$1,'UN Treasury'!$A$1:$BQ$1,-1,1),FALSE)</f>
        <v>86.89</v>
      </c>
      <c r="U58">
        <f>VLOOKUP($A58,'UN Treasury'!$A$1:$BQ$224,_xlfn.XMATCH(U$1,'UN Treasury'!$A$1:$BQ$1,-1,1),FALSE)</f>
        <v>86.58</v>
      </c>
      <c r="V58">
        <f>VLOOKUP($A58,'UN Treasury'!$A$1:$BQ$224,_xlfn.XMATCH(V$1,'UN Treasury'!$A$1:$BQ$1,-1,1),FALSE)</f>
        <v>84.84</v>
      </c>
      <c r="W58">
        <f>VLOOKUP($A58,'UN Treasury'!$A$1:$BQ$224,_xlfn.XMATCH(W$1,'UN Treasury'!$A$1:$BQ$1,-1,1),FALSE)</f>
        <v>84.38</v>
      </c>
      <c r="X58">
        <f>VLOOKUP($A58,'UN Treasury'!$A$1:$BQ$224,_xlfn.XMATCH(X$1,'UN Treasury'!$A$1:$BQ$1,-1,1),FALSE)</f>
        <v>84.07</v>
      </c>
      <c r="Y58">
        <f>VLOOKUP($A58,'UN Treasury'!$A$1:$BQ$224,_xlfn.XMATCH(Y$1,'UN Treasury'!$A$1:$BQ$1,-1,1),FALSE)</f>
        <v>83.97</v>
      </c>
      <c r="Z58">
        <f>VLOOKUP($A58,'UN Treasury'!$A$1:$BQ$224,_xlfn.XMATCH(Z$1,'UN Treasury'!$A$1:$BQ$1,-1,1),FALSE)</f>
        <v>83.97</v>
      </c>
      <c r="AA58">
        <f>VLOOKUP($A58,'UN Treasury'!$A$1:$BQ$224,_xlfn.XMATCH(AA$1,'UN Treasury'!$A$1:$BQ$1,-1,1),FALSE)</f>
        <v>83.56</v>
      </c>
      <c r="AB58">
        <f>VLOOKUP($A58,'UN Treasury'!$A$1:$BQ$224,_xlfn.XMATCH(AB$1,'UN Treasury'!$A$1:$BQ$1,-1,1),FALSE)</f>
        <v>83.54</v>
      </c>
      <c r="AC58">
        <f>VLOOKUP($A58,'UN Treasury'!$A$1:$BQ$224,_xlfn.XMATCH(AC$1,'UN Treasury'!$A$1:$BQ$1,-1,1),FALSE)</f>
        <v>83.52</v>
      </c>
      <c r="AD58">
        <f>VLOOKUP($A58,'UN Treasury'!$A$1:$BQ$224,_xlfn.XMATCH(AD$1,'UN Treasury'!$A$1:$BQ$1,-1,1),FALSE)</f>
        <v>83.19</v>
      </c>
      <c r="AE58">
        <f>VLOOKUP($A58,'UN Treasury'!$A$1:$BQ$224,_xlfn.XMATCH(AE$1,'UN Treasury'!$A$1:$BQ$1,-1,1),FALSE)</f>
        <v>82.85</v>
      </c>
      <c r="AF58">
        <f>VLOOKUP($A58,'UN Treasury'!$A$1:$BQ$224,_xlfn.XMATCH(AF$1,'UN Treasury'!$A$1:$BQ$1,-1,1),FALSE)</f>
        <v>83.01</v>
      </c>
      <c r="AG58">
        <f>VLOOKUP($A58,'UN Treasury'!$A$1:$BQ$224,_xlfn.XMATCH(AG$1,'UN Treasury'!$A$1:$BQ$1,-1,1),FALSE)</f>
        <v>83.03</v>
      </c>
      <c r="AH58">
        <f>VLOOKUP($A58,'UN Treasury'!$A$1:$BQ$224,_xlfn.XMATCH(AH$1,'UN Treasury'!$A$1:$BQ$1,-1,1),FALSE)</f>
        <v>83.4</v>
      </c>
      <c r="AI58">
        <f>VLOOKUP($A58,'UN Treasury'!$A$1:$BQ$224,_xlfn.XMATCH(AI$1,'UN Treasury'!$A$1:$BQ$1,-1,1),FALSE)</f>
        <v>83.33</v>
      </c>
      <c r="AJ58">
        <f>VLOOKUP($A58,'UN Treasury'!$A$1:$BQ$224,_xlfn.XMATCH(AJ$1,'UN Treasury'!$A$1:$BQ$1,-1,1),FALSE)</f>
        <v>83.18</v>
      </c>
      <c r="AK58">
        <f>VLOOKUP($A58,'UN Treasury'!$A$1:$BQ$224,_xlfn.XMATCH(AK$1,'UN Treasury'!$A$1:$BQ$1,-1,1),FALSE)</f>
        <v>82.98</v>
      </c>
      <c r="AL58">
        <f>VLOOKUP($A58,'UN Treasury'!$A$1:$BQ$224,_xlfn.XMATCH(AL$1,'UN Treasury'!$A$1:$BQ$1,-1,1),FALSE)</f>
        <v>82.84</v>
      </c>
      <c r="AM58">
        <f>VLOOKUP($A58,'UN Treasury'!$A$1:$BQ$224,_xlfn.XMATCH(AM$1,'UN Treasury'!$A$1:$BQ$1,-1,1),FALSE)</f>
        <v>82.25</v>
      </c>
      <c r="AN58">
        <f>VLOOKUP($A58,'UN Treasury'!$A$1:$BQ$224,_xlfn.XMATCH(AN$1,'UN Treasury'!$A$1:$BQ$1,-1,1),FALSE)</f>
        <v>82.37</v>
      </c>
      <c r="AO58">
        <f>VLOOKUP($A58,'UN Treasury'!$A$1:$BQ$224,_xlfn.XMATCH(AO$1,'UN Treasury'!$A$1:$BQ$1,-1,1),FALSE)</f>
        <v>82.09</v>
      </c>
      <c r="AP58">
        <f>VLOOKUP($A58,'UN Treasury'!$A$1:$BQ$224,_xlfn.XMATCH(AP$1,'UN Treasury'!$A$1:$BQ$1,-1,1),FALSE)</f>
        <v>82.09</v>
      </c>
      <c r="AQ58">
        <f>VLOOKUP($A58,'UN Treasury'!$A$1:$BQ$224,_xlfn.XMATCH(AQ$1,'UN Treasury'!$A$1:$BQ$1,-1,1),FALSE)</f>
        <v>82.12</v>
      </c>
      <c r="AR58">
        <f>VLOOKUP($A58,'UN Treasury'!$A$1:$BQ$224,_xlfn.XMATCH(AR$1,'UN Treasury'!$A$1:$BQ$1,-1,1),FALSE)</f>
        <v>82.73</v>
      </c>
      <c r="AS58">
        <f>VLOOKUP($A58,'UN Treasury'!$A$1:$BQ$224,_xlfn.XMATCH(AS$1,'UN Treasury'!$A$1:$BQ$1,-1,1),FALSE)</f>
        <v>81.569999999999993</v>
      </c>
      <c r="AT58">
        <f>VLOOKUP($A58,'UN Treasury'!$A$1:$BQ$224,_xlfn.XMATCH(AT$1,'UN Treasury'!$A$1:$BQ$1,-1,1),FALSE)</f>
        <v>82.8</v>
      </c>
      <c r="AU58">
        <f>VLOOKUP($A58,'UN Treasury'!$A$1:$BQ$224,_xlfn.XMATCH(AU$1,'UN Treasury'!$A$1:$BQ$1,-1,1),FALSE)</f>
        <v>80.8</v>
      </c>
      <c r="AV58">
        <f>VLOOKUP($A58,'UN Treasury'!$A$1:$BQ$224,_xlfn.XMATCH(AV$1,'UN Treasury'!$A$1:$BQ$1,-1,1),FALSE)</f>
        <v>82.31</v>
      </c>
      <c r="AW58">
        <f>VLOOKUP($A58,'UN Treasury'!$A$1:$BQ$224,_xlfn.XMATCH(AW$1,'UN Treasury'!$A$1:$BQ$1,-1,1),FALSE)</f>
        <v>79.14</v>
      </c>
      <c r="AX58">
        <f>VLOOKUP($A58,'UN Treasury'!$A$1:$BQ$224,_xlfn.XMATCH(AX$1,'UN Treasury'!$A$1:$BQ$1,-1,1),FALSE)</f>
        <v>79.63</v>
      </c>
      <c r="AY58">
        <f>VLOOKUP($A58,'UN Treasury'!$A$1:$BQ$224,_xlfn.XMATCH(AY$1,'UN Treasury'!$A$1:$BQ$1,-1,1),FALSE)</f>
        <v>79.63</v>
      </c>
      <c r="AZ58">
        <f>VLOOKUP($A58,'UN Treasury'!$A$1:$BQ$224,_xlfn.XMATCH(AZ$1,'UN Treasury'!$A$1:$BQ$1,-1,1),FALSE)</f>
        <v>78.03</v>
      </c>
      <c r="BA58">
        <f>VLOOKUP($A58,'UN Treasury'!$A$1:$BQ$224,_xlfn.XMATCH(BA$1,'UN Treasury'!$A$1:$BQ$1,-1,1),FALSE)</f>
        <v>77.23</v>
      </c>
      <c r="BB58">
        <f>VLOOKUP($A58,'UN Treasury'!$A$1:$BQ$224,_xlfn.XMATCH(BB$1,'UN Treasury'!$A$1:$BQ$1,-1,1),FALSE)</f>
        <v>76.13</v>
      </c>
      <c r="BC58">
        <f>VLOOKUP($A58,'UN Treasury'!$A$1:$BQ$224,_xlfn.XMATCH(BC$1,'UN Treasury'!$A$1:$BQ$1,-1,1),FALSE)</f>
        <v>76.59</v>
      </c>
      <c r="BD58">
        <f>VLOOKUP($A58,'UN Treasury'!$A$1:$BQ$224,_xlfn.XMATCH(BD$1,'UN Treasury'!$A$1:$BQ$1,-1,1),FALSE)</f>
        <v>75.38</v>
      </c>
      <c r="BE58">
        <f>VLOOKUP($A58,'UN Treasury'!$A$1:$BQ$224,_xlfn.XMATCH(BE$1,'UN Treasury'!$A$1:$BQ$1,-1,1),FALSE)</f>
        <v>73.91</v>
      </c>
      <c r="BF58">
        <f>VLOOKUP($A58,'UN Treasury'!$A$1:$BQ$224,_xlfn.XMATCH(BF$1,'UN Treasury'!$A$1:$BQ$1,-1,1),FALSE)</f>
        <v>75.09</v>
      </c>
      <c r="BG58">
        <f>VLOOKUP($A58,'UN Treasury'!$A$1:$BQ$224,_xlfn.XMATCH(BG$1,'UN Treasury'!$A$1:$BQ$1,-1,1),FALSE)</f>
        <v>74.92</v>
      </c>
      <c r="BH58">
        <f>VLOOKUP($A58,'UN Treasury'!$A$1:$BQ$224,_xlfn.XMATCH(BH$1,'UN Treasury'!$A$1:$BQ$1,-1,1),FALSE)</f>
        <v>74.150000000000006</v>
      </c>
      <c r="BI58">
        <f>VLOOKUP($A58,'UN Treasury'!$A$1:$BQ$224,_xlfn.XMATCH(BI$1,'UN Treasury'!$A$1:$BQ$1,-1,1),FALSE)</f>
        <v>73.27</v>
      </c>
      <c r="BJ58">
        <f>VLOOKUP($A58,'UN Treasury'!$A$1:$BQ$224,_xlfn.XMATCH(BJ$1,'UN Treasury'!$A$1:$BQ$1,-1,1),FALSE)</f>
        <v>74.28</v>
      </c>
      <c r="BK58">
        <f>VLOOKUP($A58,'UN Treasury'!$A$1:$BQ$224,_xlfn.XMATCH(BK$1,'UN Treasury'!$A$1:$BQ$1,-1,1),FALSE)</f>
        <v>74.19</v>
      </c>
      <c r="BL58">
        <f>VLOOKUP($A58,'UN Treasury'!$A$1:$BQ$224,_xlfn.XMATCH(BL$1,'UN Treasury'!$A$1:$BQ$1,-1,1),FALSE)</f>
        <v>72.58</v>
      </c>
      <c r="BM58">
        <f>VLOOKUP($A58,'UN Treasury'!$A$1:$BQ$224,_xlfn.XMATCH(BM$1,'UN Treasury'!$A$1:$BQ$1,-1,1),FALSE)</f>
        <v>74.040000000000006</v>
      </c>
      <c r="BN58">
        <f>VLOOKUP($A58,'UN Treasury'!$A$1:$BQ$224,_xlfn.XMATCH(BN$1,'UN Treasury'!$A$1:$BQ$1,-1,1),FALSE)</f>
        <v>73.38</v>
      </c>
      <c r="BO58">
        <f>VLOOKUP($A58,'UN Treasury'!$A$1:$BQ$224,_xlfn.XMATCH(BO$1,'UN Treasury'!$A$1:$BQ$1,-1,1),FALSE)</f>
        <v>72.42</v>
      </c>
      <c r="BP58">
        <f>VLOOKUP($A58,'UN Treasury'!$A$1:$BQ$224,_xlfn.XMATCH(BP$1,'UN Treasury'!$A$1:$BQ$1,-1,1),FALSE)</f>
        <v>73.040000000000006</v>
      </c>
      <c r="BQ58">
        <f>VLOOKUP($A58,'UN Treasury'!$A$1:$BQ$224,_xlfn.XMATCH(BQ$1,'UN Treasury'!$A$1:$BQ$1,-1,1),FALSE)</f>
        <v>73.42</v>
      </c>
    </row>
    <row r="59" spans="1:69" x14ac:dyDescent="0.25">
      <c r="A59" t="s">
        <v>145</v>
      </c>
      <c r="B59">
        <f>VLOOKUP($A59,'UN Treasury'!$A$1:$BQ$224,_xlfn.XMATCH(B$1,'UN Treasury'!$A$1:$BQ$1,-1,1),FALSE)</f>
        <v>1310</v>
      </c>
      <c r="C59">
        <f>VLOOKUP($A59,'UN Treasury'!$A$1:$BQ$224,_xlfn.XMATCH(C$1,'UN Treasury'!$A$1:$BQ$1,-1,1),FALSE)</f>
        <v>1310</v>
      </c>
      <c r="D59">
        <f>VLOOKUP($A59,'UN Treasury'!$A$1:$BQ$224,_xlfn.XMATCH(D$1,'UN Treasury'!$A$1:$BQ$1,-1,1),FALSE)</f>
        <v>1310</v>
      </c>
      <c r="E59">
        <f>VLOOKUP($A59,'UN Treasury'!$A$1:$BQ$224,_xlfn.XMATCH(E$1,'UN Treasury'!$A$1:$BQ$1,-1,1),FALSE)</f>
        <v>1310</v>
      </c>
      <c r="F59">
        <f>VLOOKUP($A59,'UN Treasury'!$A$1:$BQ$224,_xlfn.XMATCH(F$1,'UN Treasury'!$A$1:$BQ$1,-1,1),FALSE)</f>
        <v>1310</v>
      </c>
      <c r="G59">
        <f>VLOOKUP($A59,'UN Treasury'!$A$1:$BQ$224,_xlfn.XMATCH(G$1,'UN Treasury'!$A$1:$BQ$1,-1,1),FALSE)</f>
        <v>1310</v>
      </c>
      <c r="H59">
        <f>VLOOKUP($A59,'UN Treasury'!$A$1:$BQ$224,_xlfn.XMATCH(H$1,'UN Treasury'!$A$1:$BQ$1,-1,1),FALSE)</f>
        <v>1310</v>
      </c>
      <c r="I59">
        <f>VLOOKUP($A59,'UN Treasury'!$A$1:$BQ$224,_xlfn.XMATCH(I$1,'UN Treasury'!$A$1:$BQ$1,-1,1),FALSE)</f>
        <v>1310</v>
      </c>
      <c r="J59">
        <f>VLOOKUP($A59,'UN Treasury'!$A$1:$BQ$224,_xlfn.XMATCH(J$1,'UN Treasury'!$A$1:$BQ$1,-1,1),FALSE)</f>
        <v>1310</v>
      </c>
      <c r="K59">
        <f>VLOOKUP($A59,'UN Treasury'!$A$1:$BQ$224,_xlfn.XMATCH(K$1,'UN Treasury'!$A$1:$BQ$1,-1,1),FALSE)</f>
        <v>1310</v>
      </c>
      <c r="L59">
        <f>VLOOKUP($A59,'UN Treasury'!$A$1:$BQ$224,_xlfn.XMATCH(L$1,'UN Treasury'!$A$1:$BQ$1,-1,1),FALSE)</f>
        <v>1310</v>
      </c>
      <c r="M59">
        <f>VLOOKUP($A59,'UN Treasury'!$A$1:$BQ$224,_xlfn.XMATCH(M$1,'UN Treasury'!$A$1:$BQ$1,-1,1),FALSE)</f>
        <v>1310</v>
      </c>
      <c r="N59">
        <f>VLOOKUP($A59,'UN Treasury'!$A$1:$BQ$224,_xlfn.XMATCH(N$1,'UN Treasury'!$A$1:$BQ$1,-1,1),FALSE)</f>
        <v>1310</v>
      </c>
      <c r="O59">
        <f>VLOOKUP($A59,'UN Treasury'!$A$1:$BQ$224,_xlfn.XMATCH(O$1,'UN Treasury'!$A$1:$BQ$1,-1,1),FALSE)</f>
        <v>1310</v>
      </c>
      <c r="P59">
        <f>VLOOKUP($A59,'UN Treasury'!$A$1:$BQ$224,_xlfn.XMATCH(P$1,'UN Treasury'!$A$1:$BQ$1,-1,1),FALSE)</f>
        <v>1310</v>
      </c>
      <c r="Q59">
        <f>VLOOKUP($A59,'UN Treasury'!$A$1:$BQ$224,_xlfn.XMATCH(Q$1,'UN Treasury'!$A$1:$BQ$1,-1,1),FALSE)</f>
        <v>1310</v>
      </c>
      <c r="R59">
        <f>VLOOKUP($A59,'UN Treasury'!$A$1:$BQ$224,_xlfn.XMATCH(R$1,'UN Treasury'!$A$1:$BQ$1,-1,1),FALSE)</f>
        <v>1310</v>
      </c>
      <c r="S59">
        <f>VLOOKUP($A59,'UN Treasury'!$A$1:$BQ$224,_xlfn.XMATCH(S$1,'UN Treasury'!$A$1:$BQ$1,-1,1),FALSE)</f>
        <v>1310</v>
      </c>
      <c r="T59">
        <f>VLOOKUP($A59,'UN Treasury'!$A$1:$BQ$224,_xlfn.XMATCH(T$1,'UN Treasury'!$A$1:$BQ$1,-1,1),FALSE)</f>
        <v>1310</v>
      </c>
      <c r="U59">
        <f>VLOOKUP($A59,'UN Treasury'!$A$1:$BQ$224,_xlfn.XMATCH(U$1,'UN Treasury'!$A$1:$BQ$1,-1,1),FALSE)</f>
        <v>1310</v>
      </c>
      <c r="V59">
        <f>VLOOKUP($A59,'UN Treasury'!$A$1:$BQ$224,_xlfn.XMATCH(V$1,'UN Treasury'!$A$1:$BQ$1,-1,1),FALSE)</f>
        <v>1310</v>
      </c>
      <c r="W59">
        <f>VLOOKUP($A59,'UN Treasury'!$A$1:$BQ$224,_xlfn.XMATCH(W$1,'UN Treasury'!$A$1:$BQ$1,-1,1),FALSE)</f>
        <v>1310</v>
      </c>
      <c r="X59">
        <f>VLOOKUP($A59,'UN Treasury'!$A$1:$BQ$224,_xlfn.XMATCH(X$1,'UN Treasury'!$A$1:$BQ$1,-1,1),FALSE)</f>
        <v>1310</v>
      </c>
      <c r="Y59">
        <f>VLOOKUP($A59,'UN Treasury'!$A$1:$BQ$224,_xlfn.XMATCH(Y$1,'UN Treasury'!$A$1:$BQ$1,-1,1),FALSE)</f>
        <v>1310</v>
      </c>
      <c r="Z59">
        <f>VLOOKUP($A59,'UN Treasury'!$A$1:$BQ$224,_xlfn.XMATCH(Z$1,'UN Treasury'!$A$1:$BQ$1,-1,1),FALSE)</f>
        <v>1310</v>
      </c>
      <c r="AA59">
        <f>VLOOKUP($A59,'UN Treasury'!$A$1:$BQ$224,_xlfn.XMATCH(AA$1,'UN Treasury'!$A$1:$BQ$1,-1,1),FALSE)</f>
        <v>1310</v>
      </c>
      <c r="AB59">
        <f>VLOOKUP($A59,'UN Treasury'!$A$1:$BQ$224,_xlfn.XMATCH(AB$1,'UN Treasury'!$A$1:$BQ$1,-1,1),FALSE)</f>
        <v>1310</v>
      </c>
      <c r="AC59">
        <f>VLOOKUP($A59,'UN Treasury'!$A$1:$BQ$224,_xlfn.XMATCH(AC$1,'UN Treasury'!$A$1:$BQ$1,-1,1),FALSE)</f>
        <v>1310</v>
      </c>
      <c r="AD59">
        <f>VLOOKUP($A59,'UN Treasury'!$A$1:$BQ$224,_xlfn.XMATCH(AD$1,'UN Treasury'!$A$1:$BQ$1,-1,1),FALSE)</f>
        <v>1310</v>
      </c>
      <c r="AE59">
        <f>VLOOKUP($A59,'UN Treasury'!$A$1:$BQ$224,_xlfn.XMATCH(AE$1,'UN Treasury'!$A$1:$BQ$1,-1,1),FALSE)</f>
        <v>1310</v>
      </c>
      <c r="AF59">
        <f>VLOOKUP($A59,'UN Treasury'!$A$1:$BQ$224,_xlfn.XMATCH(AF$1,'UN Treasury'!$A$1:$BQ$1,-1,1),FALSE)</f>
        <v>1310</v>
      </c>
      <c r="AG59">
        <f>VLOOKUP($A59,'UN Treasury'!$A$1:$BQ$224,_xlfn.XMATCH(AG$1,'UN Treasury'!$A$1:$BQ$1,-1,1),FALSE)</f>
        <v>1310</v>
      </c>
      <c r="AH59">
        <f>VLOOKUP($A59,'UN Treasury'!$A$1:$BQ$224,_xlfn.XMATCH(AH$1,'UN Treasury'!$A$1:$BQ$1,-1,1),FALSE)</f>
        <v>1310</v>
      </c>
      <c r="AI59">
        <f>VLOOKUP($A59,'UN Treasury'!$A$1:$BQ$224,_xlfn.XMATCH(AI$1,'UN Treasury'!$A$1:$BQ$1,-1,1),FALSE)</f>
        <v>1310</v>
      </c>
      <c r="AJ59">
        <f>VLOOKUP($A59,'UN Treasury'!$A$1:$BQ$224,_xlfn.XMATCH(AJ$1,'UN Treasury'!$A$1:$BQ$1,-1,1),FALSE)</f>
        <v>1310</v>
      </c>
      <c r="AK59">
        <f>VLOOKUP($A59,'UN Treasury'!$A$1:$BQ$224,_xlfn.XMATCH(AK$1,'UN Treasury'!$A$1:$BQ$1,-1,1),FALSE)</f>
        <v>1310</v>
      </c>
      <c r="AL59">
        <f>VLOOKUP($A59,'UN Treasury'!$A$1:$BQ$224,_xlfn.XMATCH(AL$1,'UN Treasury'!$A$1:$BQ$1,-1,1),FALSE)</f>
        <v>1310</v>
      </c>
      <c r="AM59">
        <f>VLOOKUP($A59,'UN Treasury'!$A$1:$BQ$224,_xlfn.XMATCH(AM$1,'UN Treasury'!$A$1:$BQ$1,-1,1),FALSE)</f>
        <v>1310</v>
      </c>
      <c r="AN59">
        <f>VLOOKUP($A59,'UN Treasury'!$A$1:$BQ$224,_xlfn.XMATCH(AN$1,'UN Treasury'!$A$1:$BQ$1,-1,1),FALSE)</f>
        <v>1310</v>
      </c>
      <c r="AO59">
        <f>VLOOKUP($A59,'UN Treasury'!$A$1:$BQ$224,_xlfn.XMATCH(AO$1,'UN Treasury'!$A$1:$BQ$1,-1,1),FALSE)</f>
        <v>1310</v>
      </c>
      <c r="AP59">
        <f>VLOOKUP($A59,'UN Treasury'!$A$1:$BQ$224,_xlfn.XMATCH(AP$1,'UN Treasury'!$A$1:$BQ$1,-1,1),FALSE)</f>
        <v>1310</v>
      </c>
      <c r="AQ59">
        <f>VLOOKUP($A59,'UN Treasury'!$A$1:$BQ$224,_xlfn.XMATCH(AQ$1,'UN Treasury'!$A$1:$BQ$1,-1,1),FALSE)</f>
        <v>1310</v>
      </c>
      <c r="AR59">
        <f>VLOOKUP($A59,'UN Treasury'!$A$1:$BQ$224,_xlfn.XMATCH(AR$1,'UN Treasury'!$A$1:$BQ$1,-1,1),FALSE)</f>
        <v>1460</v>
      </c>
      <c r="AS59">
        <f>VLOOKUP($A59,'UN Treasury'!$A$1:$BQ$224,_xlfn.XMATCH(AS$1,'UN Treasury'!$A$1:$BQ$1,-1,1),FALSE)</f>
        <v>1450</v>
      </c>
      <c r="AT59">
        <f>VLOOKUP($A59,'UN Treasury'!$A$1:$BQ$224,_xlfn.XMATCH(AT$1,'UN Treasury'!$A$1:$BQ$1,-1,1),FALSE)</f>
        <v>1450</v>
      </c>
      <c r="AU59">
        <f>VLOOKUP($A59,'UN Treasury'!$A$1:$BQ$224,_xlfn.XMATCH(AU$1,'UN Treasury'!$A$1:$BQ$1,-1,1),FALSE)</f>
        <v>1450</v>
      </c>
      <c r="AV59">
        <f>VLOOKUP($A59,'UN Treasury'!$A$1:$BQ$224,_xlfn.XMATCH(AV$1,'UN Treasury'!$A$1:$BQ$1,-1,1),FALSE)</f>
        <v>1450</v>
      </c>
      <c r="AW59">
        <f>VLOOKUP($A59,'UN Treasury'!$A$1:$BQ$224,_xlfn.XMATCH(AW$1,'UN Treasury'!$A$1:$BQ$1,-1,1),FALSE)</f>
        <v>1450</v>
      </c>
      <c r="AX59">
        <f>VLOOKUP($A59,'UN Treasury'!$A$1:$BQ$224,_xlfn.XMATCH(AX$1,'UN Treasury'!$A$1:$BQ$1,-1,1),FALSE)</f>
        <v>1450</v>
      </c>
      <c r="AY59">
        <f>VLOOKUP($A59,'UN Treasury'!$A$1:$BQ$224,_xlfn.XMATCH(AY$1,'UN Treasury'!$A$1:$BQ$1,-1,1),FALSE)</f>
        <v>1450</v>
      </c>
      <c r="AZ59">
        <f>VLOOKUP($A59,'UN Treasury'!$A$1:$BQ$224,_xlfn.XMATCH(AZ$1,'UN Treasury'!$A$1:$BQ$1,-1,1),FALSE)</f>
        <v>1460</v>
      </c>
      <c r="BA59">
        <f>VLOOKUP($A59,'UN Treasury'!$A$1:$BQ$224,_xlfn.XMATCH(BA$1,'UN Treasury'!$A$1:$BQ$1,-1,1),FALSE)</f>
        <v>1450</v>
      </c>
      <c r="BB59">
        <f>VLOOKUP($A59,'UN Treasury'!$A$1:$BQ$224,_xlfn.XMATCH(BB$1,'UN Treasury'!$A$1:$BQ$1,-1,1),FALSE)</f>
        <v>1450</v>
      </c>
      <c r="BC59">
        <f>VLOOKUP($A59,'UN Treasury'!$A$1:$BQ$224,_xlfn.XMATCH(BC$1,'UN Treasury'!$A$1:$BQ$1,-1,1),FALSE)</f>
        <v>1450</v>
      </c>
      <c r="BD59">
        <f>VLOOKUP($A59,'UN Treasury'!$A$1:$BQ$224,_xlfn.XMATCH(BD$1,'UN Treasury'!$A$1:$BQ$1,-1,1),FALSE)</f>
        <v>1450</v>
      </c>
      <c r="BE59">
        <f>VLOOKUP($A59,'UN Treasury'!$A$1:$BQ$224,_xlfn.XMATCH(BE$1,'UN Treasury'!$A$1:$BQ$1,-1,1),FALSE)</f>
        <v>1450</v>
      </c>
      <c r="BF59">
        <f>VLOOKUP($A59,'UN Treasury'!$A$1:$BQ$224,_xlfn.XMATCH(BF$1,'UN Treasury'!$A$1:$BQ$1,-1,1),FALSE)</f>
        <v>1450</v>
      </c>
      <c r="BG59">
        <f>VLOOKUP($A59,'UN Treasury'!$A$1:$BQ$224,_xlfn.XMATCH(BG$1,'UN Treasury'!$A$1:$BQ$1,-1,1),FALSE)</f>
        <v>1450</v>
      </c>
      <c r="BH59">
        <f>VLOOKUP($A59,'UN Treasury'!$A$1:$BQ$224,_xlfn.XMATCH(BH$1,'UN Treasury'!$A$1:$BQ$1,-1,1),FALSE)</f>
        <v>1450</v>
      </c>
      <c r="BI59">
        <f>VLOOKUP($A59,'UN Treasury'!$A$1:$BQ$224,_xlfn.XMATCH(BI$1,'UN Treasury'!$A$1:$BQ$1,-1,1),FALSE)</f>
        <v>1450</v>
      </c>
      <c r="BJ59">
        <f>VLOOKUP($A59,'UN Treasury'!$A$1:$BQ$224,_xlfn.XMATCH(BJ$1,'UN Treasury'!$A$1:$BQ$1,-1,1),FALSE)</f>
        <v>1450</v>
      </c>
      <c r="BK59">
        <f>VLOOKUP($A59,'UN Treasury'!$A$1:$BQ$224,_xlfn.XMATCH(BK$1,'UN Treasury'!$A$1:$BQ$1,-1,1),FALSE)</f>
        <v>1450</v>
      </c>
      <c r="BL59">
        <f>VLOOKUP($A59,'UN Treasury'!$A$1:$BQ$224,_xlfn.XMATCH(BL$1,'UN Treasury'!$A$1:$BQ$1,-1,1),FALSE)</f>
        <v>1450</v>
      </c>
      <c r="BM59">
        <f>VLOOKUP($A59,'UN Treasury'!$A$1:$BQ$224,_xlfn.XMATCH(BM$1,'UN Treasury'!$A$1:$BQ$1,-1,1),FALSE)</f>
        <v>1450</v>
      </c>
      <c r="BN59">
        <f>VLOOKUP($A59,'UN Treasury'!$A$1:$BQ$224,_xlfn.XMATCH(BN$1,'UN Treasury'!$A$1:$BQ$1,-1,1),FALSE)</f>
        <v>1445</v>
      </c>
      <c r="BO59">
        <f>VLOOKUP($A59,'UN Treasury'!$A$1:$BQ$224,_xlfn.XMATCH(BO$1,'UN Treasury'!$A$1:$BQ$1,-1,1),FALSE)</f>
        <v>1440</v>
      </c>
      <c r="BP59">
        <f>VLOOKUP($A59,'UN Treasury'!$A$1:$BQ$224,_xlfn.XMATCH(BP$1,'UN Treasury'!$A$1:$BQ$1,-1,1),FALSE)</f>
        <v>1445</v>
      </c>
      <c r="BQ59">
        <f>VLOOKUP($A59,'UN Treasury'!$A$1:$BQ$224,_xlfn.XMATCH(BQ$1,'UN Treasury'!$A$1:$BQ$1,-1,1),FALSE)</f>
        <v>1400</v>
      </c>
    </row>
    <row r="60" spans="1:69" x14ac:dyDescent="0.25">
      <c r="A60" t="s">
        <v>147</v>
      </c>
      <c r="B60">
        <f>VLOOKUP($A60,'UN Treasury'!$A$1:$BQ$224,_xlfn.XMATCH(B$1,'UN Treasury'!$A$1:$BQ$1,-1,1),FALSE)</f>
        <v>1534313.5730000001</v>
      </c>
      <c r="C60">
        <f>VLOOKUP($A60,'UN Treasury'!$A$1:$BQ$224,_xlfn.XMATCH(C$1,'UN Treasury'!$A$1:$BQ$1,-1,1),FALSE)</f>
        <v>1479449.125</v>
      </c>
      <c r="D60">
        <f>VLOOKUP($A60,'UN Treasury'!$A$1:$BQ$224,_xlfn.XMATCH(D$1,'UN Treasury'!$A$1:$BQ$1,-1,1),FALSE)</f>
        <v>1463363.1310000001</v>
      </c>
      <c r="E60">
        <f>VLOOKUP($A60,'UN Treasury'!$A$1:$BQ$224,_xlfn.XMATCH(E$1,'UN Treasury'!$A$1:$BQ$1,-1,1),FALSE)</f>
        <v>1473643.04</v>
      </c>
      <c r="F60">
        <f>VLOOKUP($A60,'UN Treasury'!$A$1:$BQ$224,_xlfn.XMATCH(F$1,'UN Treasury'!$A$1:$BQ$1,-1,1),FALSE)</f>
        <v>1391142.6129999999</v>
      </c>
      <c r="G60">
        <f>VLOOKUP($A60,'UN Treasury'!$A$1:$BQ$224,_xlfn.XMATCH(G$1,'UN Treasury'!$A$1:$BQ$1,-1,1),FALSE)</f>
        <v>1381939</v>
      </c>
      <c r="H60">
        <f>VLOOKUP($A60,'UN Treasury'!$A$1:$BQ$224,_xlfn.XMATCH(H$1,'UN Treasury'!$A$1:$BQ$1,-1,1),FALSE)</f>
        <v>1330966.683</v>
      </c>
      <c r="I60">
        <f>VLOOKUP($A60,'UN Treasury'!$A$1:$BQ$224,_xlfn.XMATCH(I$1,'UN Treasury'!$A$1:$BQ$1,-1,1),FALSE)</f>
        <v>1154684.1200000001</v>
      </c>
      <c r="J60">
        <f>VLOOKUP($A60,'UN Treasury'!$A$1:$BQ$224,_xlfn.XMATCH(J$1,'UN Treasury'!$A$1:$BQ$1,-1,1),FALSE)</f>
        <v>914902.68200000003</v>
      </c>
      <c r="K60">
        <f>VLOOKUP($A60,'UN Treasury'!$A$1:$BQ$224,_xlfn.XMATCH(K$1,'UN Treasury'!$A$1:$BQ$1,-1,1),FALSE)</f>
        <v>891656.00100000005</v>
      </c>
      <c r="L60">
        <f>VLOOKUP($A60,'UN Treasury'!$A$1:$BQ$224,_xlfn.XMATCH(L$1,'UN Treasury'!$A$1:$BQ$1,-1,1),FALSE)</f>
        <v>696640</v>
      </c>
      <c r="M60">
        <f>VLOOKUP($A60,'UN Treasury'!$A$1:$BQ$224,_xlfn.XMATCH(M$1,'UN Treasury'!$A$1:$BQ$1,-1,1),FALSE)</f>
        <v>693013</v>
      </c>
      <c r="N60">
        <f>VLOOKUP($A60,'UN Treasury'!$A$1:$BQ$224,_xlfn.XMATCH(N$1,'UN Treasury'!$A$1:$BQ$1,-1,1),FALSE)</f>
        <v>692816</v>
      </c>
      <c r="O60">
        <f>VLOOKUP($A60,'UN Treasury'!$A$1:$BQ$224,_xlfn.XMATCH(O$1,'UN Treasury'!$A$1:$BQ$1,-1,1),FALSE)</f>
        <v>689286</v>
      </c>
      <c r="P60">
        <f>VLOOKUP($A60,'UN Treasury'!$A$1:$BQ$224,_xlfn.XMATCH(P$1,'UN Treasury'!$A$1:$BQ$1,-1,1),FALSE)</f>
        <v>686291</v>
      </c>
      <c r="Q60">
        <f>VLOOKUP($A60,'UN Treasury'!$A$1:$BQ$224,_xlfn.XMATCH(Q$1,'UN Treasury'!$A$1:$BQ$1,-1,1),FALSE)</f>
        <v>688614</v>
      </c>
      <c r="R60">
        <f>VLOOKUP($A60,'UN Treasury'!$A$1:$BQ$224,_xlfn.XMATCH(R$1,'UN Treasury'!$A$1:$BQ$1,-1,1),FALSE)</f>
        <v>683526</v>
      </c>
      <c r="S60">
        <f>VLOOKUP($A60,'UN Treasury'!$A$1:$BQ$224,_xlfn.XMATCH(S$1,'UN Treasury'!$A$1:$BQ$1,-1,1),FALSE)</f>
        <v>678360</v>
      </c>
      <c r="T60">
        <f>VLOOKUP($A60,'UN Treasury'!$A$1:$BQ$224,_xlfn.XMATCH(T$1,'UN Treasury'!$A$1:$BQ$1,-1,1),FALSE)</f>
        <v>665350</v>
      </c>
      <c r="U60">
        <f>VLOOKUP($A60,'UN Treasury'!$A$1:$BQ$224,_xlfn.XMATCH(U$1,'UN Treasury'!$A$1:$BQ$1,-1,1),FALSE)</f>
        <v>661234</v>
      </c>
      <c r="V60">
        <f>VLOOKUP($A60,'UN Treasury'!$A$1:$BQ$224,_xlfn.XMATCH(V$1,'UN Treasury'!$A$1:$BQ$1,-1,1),FALSE)</f>
        <v>539536</v>
      </c>
      <c r="W60">
        <f>VLOOKUP($A60,'UN Treasury'!$A$1:$BQ$224,_xlfn.XMATCH(W$1,'UN Treasury'!$A$1:$BQ$1,-1,1),FALSE)</f>
        <v>497385</v>
      </c>
      <c r="X60">
        <f>VLOOKUP($A60,'UN Treasury'!$A$1:$BQ$224,_xlfn.XMATCH(X$1,'UN Treasury'!$A$1:$BQ$1,-1,1),FALSE)</f>
        <v>471756</v>
      </c>
      <c r="Y60">
        <f>VLOOKUP($A60,'UN Treasury'!$A$1:$BQ$224,_xlfn.XMATCH(Y$1,'UN Treasury'!$A$1:$BQ$1,-1,1),FALSE)</f>
        <v>454409</v>
      </c>
      <c r="Z60">
        <f>VLOOKUP($A60,'UN Treasury'!$A$1:$BQ$224,_xlfn.XMATCH(Z$1,'UN Treasury'!$A$1:$BQ$1,-1,1),FALSE)</f>
        <v>444192</v>
      </c>
      <c r="AA60">
        <f>VLOOKUP($A60,'UN Treasury'!$A$1:$BQ$224,_xlfn.XMATCH(AA$1,'UN Treasury'!$A$1:$BQ$1,-1,1),FALSE)</f>
        <v>430202</v>
      </c>
      <c r="AB60">
        <f>VLOOKUP($A60,'UN Treasury'!$A$1:$BQ$224,_xlfn.XMATCH(AB$1,'UN Treasury'!$A$1:$BQ$1,-1,1),FALSE)</f>
        <v>422164</v>
      </c>
      <c r="AC60">
        <f>VLOOKUP($A60,'UN Treasury'!$A$1:$BQ$224,_xlfn.XMATCH(AC$1,'UN Treasury'!$A$1:$BQ$1,-1,1),FALSE)</f>
        <v>415271</v>
      </c>
      <c r="AD60">
        <f>VLOOKUP($A60,'UN Treasury'!$A$1:$BQ$224,_xlfn.XMATCH(AD$1,'UN Treasury'!$A$1:$BQ$1,-1,1),FALSE)</f>
        <v>402825</v>
      </c>
      <c r="AE60">
        <f>VLOOKUP($A60,'UN Treasury'!$A$1:$BQ$224,_xlfn.XMATCH(AE$1,'UN Treasury'!$A$1:$BQ$1,-1,1),FALSE)</f>
        <v>398803</v>
      </c>
      <c r="AF60">
        <f>VLOOKUP($A60,'UN Treasury'!$A$1:$BQ$224,_xlfn.XMATCH(AF$1,'UN Treasury'!$A$1:$BQ$1,-1,1),FALSE)</f>
        <v>393519</v>
      </c>
      <c r="AG60">
        <f>VLOOKUP($A60,'UN Treasury'!$A$1:$BQ$224,_xlfn.XMATCH(AG$1,'UN Treasury'!$A$1:$BQ$1,-1,1),FALSE)</f>
        <v>391716</v>
      </c>
      <c r="AH60">
        <f>VLOOKUP($A60,'UN Treasury'!$A$1:$BQ$224,_xlfn.XMATCH(AH$1,'UN Treasury'!$A$1:$BQ$1,-1,1),FALSE)</f>
        <v>384283</v>
      </c>
      <c r="AI60">
        <f>VLOOKUP($A60,'UN Treasury'!$A$1:$BQ$224,_xlfn.XMATCH(AI$1,'UN Treasury'!$A$1:$BQ$1,-1,1),FALSE)</f>
        <v>373376</v>
      </c>
      <c r="AJ60">
        <f>VLOOKUP($A60,'UN Treasury'!$A$1:$BQ$224,_xlfn.XMATCH(AJ$1,'UN Treasury'!$A$1:$BQ$1,-1,1),FALSE)</f>
        <v>371240</v>
      </c>
      <c r="AK60">
        <f>VLOOKUP($A60,'UN Treasury'!$A$1:$BQ$224,_xlfn.XMATCH(AK$1,'UN Treasury'!$A$1:$BQ$1,-1,1),FALSE)</f>
        <v>371964</v>
      </c>
      <c r="AL60">
        <f>VLOOKUP($A60,'UN Treasury'!$A$1:$BQ$224,_xlfn.XMATCH(AL$1,'UN Treasury'!$A$1:$BQ$1,-1,1),FALSE)</f>
        <v>372471</v>
      </c>
      <c r="AM60">
        <f>VLOOKUP($A60,'UN Treasury'!$A$1:$BQ$224,_xlfn.XMATCH(AM$1,'UN Treasury'!$A$1:$BQ$1,-1,1),FALSE)</f>
        <v>371697</v>
      </c>
      <c r="AN60">
        <f>VLOOKUP($A60,'UN Treasury'!$A$1:$BQ$224,_xlfn.XMATCH(AN$1,'UN Treasury'!$A$1:$BQ$1,-1,1),FALSE)</f>
        <v>374009</v>
      </c>
      <c r="AO60">
        <f>VLOOKUP($A60,'UN Treasury'!$A$1:$BQ$224,_xlfn.XMATCH(AO$1,'UN Treasury'!$A$1:$BQ$1,-1,1),FALSE)</f>
        <v>381139</v>
      </c>
      <c r="AP60">
        <f>VLOOKUP($A60,'UN Treasury'!$A$1:$BQ$224,_xlfn.XMATCH(AP$1,'UN Treasury'!$A$1:$BQ$1,-1,1),FALSE)</f>
        <v>375793</v>
      </c>
      <c r="AQ60">
        <f>VLOOKUP($A60,'UN Treasury'!$A$1:$BQ$224,_xlfn.XMATCH(AQ$1,'UN Treasury'!$A$1:$BQ$1,-1,1),FALSE)</f>
        <v>381412</v>
      </c>
      <c r="AR60">
        <f>VLOOKUP($A60,'UN Treasury'!$A$1:$BQ$224,_xlfn.XMATCH(AR$1,'UN Treasury'!$A$1:$BQ$1,-1,1),FALSE)</f>
        <v>282435</v>
      </c>
      <c r="AS60">
        <f>VLOOKUP($A60,'UN Treasury'!$A$1:$BQ$224,_xlfn.XMATCH(AS$1,'UN Treasury'!$A$1:$BQ$1,-1,1),FALSE)</f>
        <v>282435</v>
      </c>
      <c r="AT60">
        <f>VLOOKUP($A60,'UN Treasury'!$A$1:$BQ$224,_xlfn.XMATCH(AT$1,'UN Treasury'!$A$1:$BQ$1,-1,1),FALSE)</f>
        <v>286676</v>
      </c>
      <c r="AU60">
        <f>VLOOKUP($A60,'UN Treasury'!$A$1:$BQ$224,_xlfn.XMATCH(AU$1,'UN Treasury'!$A$1:$BQ$1,-1,1),FALSE)</f>
        <v>274313</v>
      </c>
      <c r="AV60">
        <f>VLOOKUP($A60,'UN Treasury'!$A$1:$BQ$224,_xlfn.XMATCH(AV$1,'UN Treasury'!$A$1:$BQ$1,-1,1),FALSE)</f>
        <v>269675</v>
      </c>
      <c r="AW60">
        <f>VLOOKUP($A60,'UN Treasury'!$A$1:$BQ$224,_xlfn.XMATCH(AW$1,'UN Treasury'!$A$1:$BQ$1,-1,1),FALSE)</f>
        <v>267318</v>
      </c>
      <c r="AX60">
        <f>VLOOKUP($A60,'UN Treasury'!$A$1:$BQ$224,_xlfn.XMATCH(AX$1,'UN Treasury'!$A$1:$BQ$1,-1,1),FALSE)</f>
        <v>264730</v>
      </c>
      <c r="AY60">
        <f>VLOOKUP($A60,'UN Treasury'!$A$1:$BQ$224,_xlfn.XMATCH(AY$1,'UN Treasury'!$A$1:$BQ$1,-1,1),FALSE)</f>
        <v>279784</v>
      </c>
      <c r="AZ60">
        <f>VLOOKUP($A60,'UN Treasury'!$A$1:$BQ$224,_xlfn.XMATCH(AZ$1,'UN Treasury'!$A$1:$BQ$1,-1,1),FALSE)</f>
        <v>265036</v>
      </c>
      <c r="BA60">
        <f>VLOOKUP($A60,'UN Treasury'!$A$1:$BQ$224,_xlfn.XMATCH(BA$1,'UN Treasury'!$A$1:$BQ$1,-1,1),FALSE)</f>
        <v>255134</v>
      </c>
      <c r="BB60">
        <f>VLOOKUP($A60,'UN Treasury'!$A$1:$BQ$224,_xlfn.XMATCH(BB$1,'UN Treasury'!$A$1:$BQ$1,-1,1),FALSE)</f>
        <v>252032</v>
      </c>
      <c r="BC60">
        <f>VLOOKUP($A60,'UN Treasury'!$A$1:$BQ$224,_xlfn.XMATCH(BC$1,'UN Treasury'!$A$1:$BQ$1,-1,1),FALSE)</f>
        <v>241045</v>
      </c>
      <c r="BD60">
        <f>VLOOKUP($A60,'UN Treasury'!$A$1:$BQ$224,_xlfn.XMATCH(BD$1,'UN Treasury'!$A$1:$BQ$1,-1,1),FALSE)</f>
        <v>242656</v>
      </c>
      <c r="BE60">
        <f>VLOOKUP($A60,'UN Treasury'!$A$1:$BQ$224,_xlfn.XMATCH(BE$1,'UN Treasury'!$A$1:$BQ$1,-1,1),FALSE)</f>
        <v>257504</v>
      </c>
      <c r="BF60">
        <f>VLOOKUP($A60,'UN Treasury'!$A$1:$BQ$224,_xlfn.XMATCH(BF$1,'UN Treasury'!$A$1:$BQ$1,-1,1),FALSE)</f>
        <v>259377</v>
      </c>
      <c r="BG60">
        <f>VLOOKUP($A60,'UN Treasury'!$A$1:$BQ$224,_xlfn.XMATCH(BG$1,'UN Treasury'!$A$1:$BQ$1,-1,1),FALSE)</f>
        <v>263607</v>
      </c>
      <c r="BH60">
        <f>VLOOKUP($A60,'UN Treasury'!$A$1:$BQ$224,_xlfn.XMATCH(BH$1,'UN Treasury'!$A$1:$BQ$1,-1,1),FALSE)</f>
        <v>268509</v>
      </c>
      <c r="BI60">
        <f>VLOOKUP($A60,'UN Treasury'!$A$1:$BQ$224,_xlfn.XMATCH(BI$1,'UN Treasury'!$A$1:$BQ$1,-1,1),FALSE)</f>
        <v>267982</v>
      </c>
      <c r="BJ60">
        <f>VLOOKUP($A60,'UN Treasury'!$A$1:$BQ$224,_xlfn.XMATCH(BJ$1,'UN Treasury'!$A$1:$BQ$1,-1,1),FALSE)</f>
        <v>239513</v>
      </c>
      <c r="BK60">
        <f>VLOOKUP($A60,'UN Treasury'!$A$1:$BQ$224,_xlfn.XMATCH(BK$1,'UN Treasury'!$A$1:$BQ$1,-1,1),FALSE)</f>
        <v>235130</v>
      </c>
      <c r="BL60">
        <f>VLOOKUP($A60,'UN Treasury'!$A$1:$BQ$224,_xlfn.XMATCH(BL$1,'UN Treasury'!$A$1:$BQ$1,-1,1),FALSE)</f>
        <v>221918</v>
      </c>
      <c r="BM60">
        <f>VLOOKUP($A60,'UN Treasury'!$A$1:$BQ$224,_xlfn.XMATCH(BM$1,'UN Treasury'!$A$1:$BQ$1,-1,1),FALSE)</f>
        <v>229820</v>
      </c>
      <c r="BN60">
        <f>VLOOKUP($A60,'UN Treasury'!$A$1:$BQ$224,_xlfn.XMATCH(BN$1,'UN Treasury'!$A$1:$BQ$1,-1,1),FALSE)</f>
        <v>254246</v>
      </c>
      <c r="BO60">
        <f>VLOOKUP($A60,'UN Treasury'!$A$1:$BQ$224,_xlfn.XMATCH(BO$1,'UN Treasury'!$A$1:$BQ$1,-1,1),FALSE)</f>
        <v>245257</v>
      </c>
      <c r="BP60">
        <f>VLOOKUP($A60,'UN Treasury'!$A$1:$BQ$224,_xlfn.XMATCH(BP$1,'UN Treasury'!$A$1:$BQ$1,-1,1),FALSE)</f>
        <v>234575</v>
      </c>
      <c r="BQ60">
        <f>VLOOKUP($A60,'UN Treasury'!$A$1:$BQ$224,_xlfn.XMATCH(BQ$1,'UN Treasury'!$A$1:$BQ$1,-1,1),FALSE)</f>
        <v>250442</v>
      </c>
    </row>
    <row r="61" spans="1:69" x14ac:dyDescent="0.25">
      <c r="A61" t="s">
        <v>149</v>
      </c>
      <c r="B61">
        <f>VLOOKUP($A61,'UN Treasury'!$A$1:$BQ$224,_xlfn.XMATCH(B$1,'UN Treasury'!$A$1:$BQ$1,-1,1),FALSE)</f>
        <v>123.15</v>
      </c>
      <c r="C61">
        <f>VLOOKUP($A61,'UN Treasury'!$A$1:$BQ$224,_xlfn.XMATCH(C$1,'UN Treasury'!$A$1:$BQ$1,-1,1),FALSE)</f>
        <v>125.41</v>
      </c>
      <c r="D61">
        <f>VLOOKUP($A61,'UN Treasury'!$A$1:$BQ$224,_xlfn.XMATCH(D$1,'UN Treasury'!$A$1:$BQ$1,-1,1),FALSE)</f>
        <v>124.72</v>
      </c>
      <c r="E61">
        <f>VLOOKUP($A61,'UN Treasury'!$A$1:$BQ$224,_xlfn.XMATCH(E$1,'UN Treasury'!$A$1:$BQ$1,-1,1),FALSE)</f>
        <v>122.37</v>
      </c>
      <c r="F61">
        <f>VLOOKUP($A61,'UN Treasury'!$A$1:$BQ$224,_xlfn.XMATCH(F$1,'UN Treasury'!$A$1:$BQ$1,-1,1),FALSE)</f>
        <v>122.21</v>
      </c>
      <c r="G61">
        <f>VLOOKUP($A61,'UN Treasury'!$A$1:$BQ$224,_xlfn.XMATCH(G$1,'UN Treasury'!$A$1:$BQ$1,-1,1),FALSE)</f>
        <v>125.31</v>
      </c>
      <c r="H61">
        <f>VLOOKUP($A61,'UN Treasury'!$A$1:$BQ$224,_xlfn.XMATCH(H$1,'UN Treasury'!$A$1:$BQ$1,-1,1),FALSE)</f>
        <v>122.08</v>
      </c>
      <c r="I61">
        <f>VLOOKUP($A61,'UN Treasury'!$A$1:$BQ$224,_xlfn.XMATCH(I$1,'UN Treasury'!$A$1:$BQ$1,-1,1),FALSE)</f>
        <v>125.76</v>
      </c>
      <c r="J61">
        <f>VLOOKUP($A61,'UN Treasury'!$A$1:$BQ$224,_xlfn.XMATCH(J$1,'UN Treasury'!$A$1:$BQ$1,-1,1),FALSE)</f>
        <v>126.12</v>
      </c>
      <c r="K61">
        <f>VLOOKUP($A61,'UN Treasury'!$A$1:$BQ$224,_xlfn.XMATCH(K$1,'UN Treasury'!$A$1:$BQ$1,-1,1),FALSE)</f>
        <v>127.04</v>
      </c>
      <c r="L61">
        <f>VLOOKUP($A61,'UN Treasury'!$A$1:$BQ$224,_xlfn.XMATCH(L$1,'UN Treasury'!$A$1:$BQ$1,-1,1),FALSE)</f>
        <v>122.36</v>
      </c>
      <c r="M61">
        <f>VLOOKUP($A61,'UN Treasury'!$A$1:$BQ$224,_xlfn.XMATCH(M$1,'UN Treasury'!$A$1:$BQ$1,-1,1),FALSE)</f>
        <v>121.68</v>
      </c>
      <c r="N61">
        <f>VLOOKUP($A61,'UN Treasury'!$A$1:$BQ$224,_xlfn.XMATCH(N$1,'UN Treasury'!$A$1:$BQ$1,-1,1),FALSE)</f>
        <v>122.29</v>
      </c>
      <c r="O61">
        <f>VLOOKUP($A61,'UN Treasury'!$A$1:$BQ$224,_xlfn.XMATCH(O$1,'UN Treasury'!$A$1:$BQ$1,-1,1),FALSE)</f>
        <v>121.74</v>
      </c>
      <c r="P61">
        <f>VLOOKUP($A61,'UN Treasury'!$A$1:$BQ$224,_xlfn.XMATCH(P$1,'UN Treasury'!$A$1:$BQ$1,-1,1),FALSE)</f>
        <v>125.13</v>
      </c>
      <c r="Q61">
        <f>VLOOKUP($A61,'UN Treasury'!$A$1:$BQ$224,_xlfn.XMATCH(Q$1,'UN Treasury'!$A$1:$BQ$1,-1,1),FALSE)</f>
        <v>130.62</v>
      </c>
      <c r="R61">
        <f>VLOOKUP($A61,'UN Treasury'!$A$1:$BQ$224,_xlfn.XMATCH(R$1,'UN Treasury'!$A$1:$BQ$1,-1,1),FALSE)</f>
        <v>127.79</v>
      </c>
      <c r="S61">
        <f>VLOOKUP($A61,'UN Treasury'!$A$1:$BQ$224,_xlfn.XMATCH(S$1,'UN Treasury'!$A$1:$BQ$1,-1,1),FALSE)</f>
        <v>134.27000000000001</v>
      </c>
      <c r="T61">
        <f>VLOOKUP($A61,'UN Treasury'!$A$1:$BQ$224,_xlfn.XMATCH(T$1,'UN Treasury'!$A$1:$BQ$1,-1,1),FALSE)</f>
        <v>141.59</v>
      </c>
      <c r="U61">
        <f>VLOOKUP($A61,'UN Treasury'!$A$1:$BQ$224,_xlfn.XMATCH(U$1,'UN Treasury'!$A$1:$BQ$1,-1,1),FALSE)</f>
        <v>141.66999999999999</v>
      </c>
      <c r="V61">
        <f>VLOOKUP($A61,'UN Treasury'!$A$1:$BQ$224,_xlfn.XMATCH(V$1,'UN Treasury'!$A$1:$BQ$1,-1,1),FALSE)</f>
        <v>138.88</v>
      </c>
      <c r="W61">
        <f>VLOOKUP($A61,'UN Treasury'!$A$1:$BQ$224,_xlfn.XMATCH(W$1,'UN Treasury'!$A$1:$BQ$1,-1,1),FALSE)</f>
        <v>139.37</v>
      </c>
      <c r="X61">
        <f>VLOOKUP($A61,'UN Treasury'!$A$1:$BQ$224,_xlfn.XMATCH(X$1,'UN Treasury'!$A$1:$BQ$1,-1,1),FALSE)</f>
        <v>136.21</v>
      </c>
      <c r="Y61">
        <f>VLOOKUP($A61,'UN Treasury'!$A$1:$BQ$224,_xlfn.XMATCH(Y$1,'UN Treasury'!$A$1:$BQ$1,-1,1),FALSE)</f>
        <v>138.31</v>
      </c>
      <c r="Z61">
        <f>VLOOKUP($A61,'UN Treasury'!$A$1:$BQ$224,_xlfn.XMATCH(Z$1,'UN Treasury'!$A$1:$BQ$1,-1,1),FALSE)</f>
        <v>137.82</v>
      </c>
      <c r="AA61">
        <f>VLOOKUP($A61,'UN Treasury'!$A$1:$BQ$224,_xlfn.XMATCH(AA$1,'UN Treasury'!$A$1:$BQ$1,-1,1),FALSE)</f>
        <v>137</v>
      </c>
      <c r="AB61">
        <f>VLOOKUP($A61,'UN Treasury'!$A$1:$BQ$224,_xlfn.XMATCH(AB$1,'UN Treasury'!$A$1:$BQ$1,-1,1),FALSE)</f>
        <v>137.69</v>
      </c>
      <c r="AC61">
        <f>VLOOKUP($A61,'UN Treasury'!$A$1:$BQ$224,_xlfn.XMATCH(AC$1,'UN Treasury'!$A$1:$BQ$1,-1,1),FALSE)</f>
        <v>139.02000000000001</v>
      </c>
      <c r="AD61">
        <f>VLOOKUP($A61,'UN Treasury'!$A$1:$BQ$224,_xlfn.XMATCH(AD$1,'UN Treasury'!$A$1:$BQ$1,-1,1),FALSE)</f>
        <v>140.12</v>
      </c>
      <c r="AE61">
        <f>VLOOKUP($A61,'UN Treasury'!$A$1:$BQ$224,_xlfn.XMATCH(AE$1,'UN Treasury'!$A$1:$BQ$1,-1,1),FALSE)</f>
        <v>135.66</v>
      </c>
      <c r="AF61">
        <f>VLOOKUP($A61,'UN Treasury'!$A$1:$BQ$224,_xlfn.XMATCH(AF$1,'UN Treasury'!$A$1:$BQ$1,-1,1),FALSE)</f>
        <v>138.58000000000001</v>
      </c>
      <c r="AG61">
        <f>VLOOKUP($A61,'UN Treasury'!$A$1:$BQ$224,_xlfn.XMATCH(AG$1,'UN Treasury'!$A$1:$BQ$1,-1,1),FALSE)</f>
        <v>136.77000000000001</v>
      </c>
      <c r="AH61">
        <f>VLOOKUP($A61,'UN Treasury'!$A$1:$BQ$224,_xlfn.XMATCH(AH$1,'UN Treasury'!$A$1:$BQ$1,-1,1),FALSE)</f>
        <v>139.41</v>
      </c>
      <c r="AI61">
        <f>VLOOKUP($A61,'UN Treasury'!$A$1:$BQ$224,_xlfn.XMATCH(AI$1,'UN Treasury'!$A$1:$BQ$1,-1,1),FALSE)</f>
        <v>143.38</v>
      </c>
      <c r="AJ61">
        <f>VLOOKUP($A61,'UN Treasury'!$A$1:$BQ$224,_xlfn.XMATCH(AJ$1,'UN Treasury'!$A$1:$BQ$1,-1,1),FALSE)</f>
        <v>138.12</v>
      </c>
      <c r="AK61">
        <f>VLOOKUP($A61,'UN Treasury'!$A$1:$BQ$224,_xlfn.XMATCH(AK$1,'UN Treasury'!$A$1:$BQ$1,-1,1),FALSE)</f>
        <v>133.69</v>
      </c>
      <c r="AL61">
        <f>VLOOKUP($A61,'UN Treasury'!$A$1:$BQ$224,_xlfn.XMATCH(AL$1,'UN Treasury'!$A$1:$BQ$1,-1,1),FALSE)</f>
        <v>131.96</v>
      </c>
      <c r="AM61">
        <f>VLOOKUP($A61,'UN Treasury'!$A$1:$BQ$224,_xlfn.XMATCH(AM$1,'UN Treasury'!$A$1:$BQ$1,-1,1),FALSE)</f>
        <v>132.37</v>
      </c>
      <c r="AN61">
        <f>VLOOKUP($A61,'UN Treasury'!$A$1:$BQ$224,_xlfn.XMATCH(AN$1,'UN Treasury'!$A$1:$BQ$1,-1,1),FALSE)</f>
        <v>138.53</v>
      </c>
      <c r="AO61">
        <f>VLOOKUP($A61,'UN Treasury'!$A$1:$BQ$224,_xlfn.XMATCH(AO$1,'UN Treasury'!$A$1:$BQ$1,-1,1),FALSE)</f>
        <v>137.31</v>
      </c>
      <c r="AP61">
        <f>VLOOKUP($A61,'UN Treasury'!$A$1:$BQ$224,_xlfn.XMATCH(AP$1,'UN Treasury'!$A$1:$BQ$1,-1,1),FALSE)</f>
        <v>136.26</v>
      </c>
      <c r="AQ61">
        <f>VLOOKUP($A61,'UN Treasury'!$A$1:$BQ$224,_xlfn.XMATCH(AQ$1,'UN Treasury'!$A$1:$BQ$1,-1,1),FALSE)</f>
        <v>141</v>
      </c>
      <c r="AR61">
        <f>VLOOKUP($A61,'UN Treasury'!$A$1:$BQ$224,_xlfn.XMATCH(AR$1,'UN Treasury'!$A$1:$BQ$1,-1,1),FALSE)</f>
        <v>142.78</v>
      </c>
      <c r="AS61">
        <f>VLOOKUP($A61,'UN Treasury'!$A$1:$BQ$224,_xlfn.XMATCH(AS$1,'UN Treasury'!$A$1:$BQ$1,-1,1),FALSE)</f>
        <v>143.22</v>
      </c>
      <c r="AT61">
        <f>VLOOKUP($A61,'UN Treasury'!$A$1:$BQ$224,_xlfn.XMATCH(AT$1,'UN Treasury'!$A$1:$BQ$1,-1,1),FALSE)</f>
        <v>141.66999999999999</v>
      </c>
      <c r="AU61">
        <f>VLOOKUP($A61,'UN Treasury'!$A$1:$BQ$224,_xlfn.XMATCH(AU$1,'UN Treasury'!$A$1:$BQ$1,-1,1),FALSE)</f>
        <v>144.65</v>
      </c>
      <c r="AV61">
        <f>VLOOKUP($A61,'UN Treasury'!$A$1:$BQ$224,_xlfn.XMATCH(AV$1,'UN Treasury'!$A$1:$BQ$1,-1,1),FALSE)</f>
        <v>144.41</v>
      </c>
      <c r="AW61">
        <f>VLOOKUP($A61,'UN Treasury'!$A$1:$BQ$224,_xlfn.XMATCH(AW$1,'UN Treasury'!$A$1:$BQ$1,-1,1),FALSE)</f>
        <v>139.55000000000001</v>
      </c>
      <c r="AX61">
        <f>VLOOKUP($A61,'UN Treasury'!$A$1:$BQ$224,_xlfn.XMATCH(AX$1,'UN Treasury'!$A$1:$BQ$1,-1,1),FALSE)</f>
        <v>134.93</v>
      </c>
      <c r="AY61">
        <f>VLOOKUP($A61,'UN Treasury'!$A$1:$BQ$224,_xlfn.XMATCH(AY$1,'UN Treasury'!$A$1:$BQ$1,-1,1),FALSE)</f>
        <v>137.44999999999999</v>
      </c>
      <c r="AZ61">
        <f>VLOOKUP($A61,'UN Treasury'!$A$1:$BQ$224,_xlfn.XMATCH(AZ$1,'UN Treasury'!$A$1:$BQ$1,-1,1),FALSE)</f>
        <v>132.69999999999999</v>
      </c>
      <c r="BA61">
        <f>VLOOKUP($A61,'UN Treasury'!$A$1:$BQ$224,_xlfn.XMATCH(BA$1,'UN Treasury'!$A$1:$BQ$1,-1,1),FALSE)</f>
        <v>131.87</v>
      </c>
      <c r="BB61">
        <f>VLOOKUP($A61,'UN Treasury'!$A$1:$BQ$224,_xlfn.XMATCH(BB$1,'UN Treasury'!$A$1:$BQ$1,-1,1),FALSE)</f>
        <v>128.30000000000001</v>
      </c>
      <c r="BC61">
        <f>VLOOKUP($A61,'UN Treasury'!$A$1:$BQ$224,_xlfn.XMATCH(BC$1,'UN Treasury'!$A$1:$BQ$1,-1,1),FALSE)</f>
        <v>132.13999999999999</v>
      </c>
      <c r="BD61">
        <f>VLOOKUP($A61,'UN Treasury'!$A$1:$BQ$224,_xlfn.XMATCH(BD$1,'UN Treasury'!$A$1:$BQ$1,-1,1),FALSE)</f>
        <v>124.36</v>
      </c>
      <c r="BE61">
        <f>VLOOKUP($A61,'UN Treasury'!$A$1:$BQ$224,_xlfn.XMATCH(BE$1,'UN Treasury'!$A$1:$BQ$1,-1,1),FALSE)</f>
        <v>128.63999999999999</v>
      </c>
      <c r="BF61">
        <f>VLOOKUP($A61,'UN Treasury'!$A$1:$BQ$224,_xlfn.XMATCH(BF$1,'UN Treasury'!$A$1:$BQ$1,-1,1),FALSE)</f>
        <v>130.38</v>
      </c>
      <c r="BG61">
        <f>VLOOKUP($A61,'UN Treasury'!$A$1:$BQ$224,_xlfn.XMATCH(BG$1,'UN Treasury'!$A$1:$BQ$1,-1,1),FALSE)</f>
        <v>128.4</v>
      </c>
      <c r="BH61">
        <f>VLOOKUP($A61,'UN Treasury'!$A$1:$BQ$224,_xlfn.XMATCH(BH$1,'UN Treasury'!$A$1:$BQ$1,-1,1),FALSE)</f>
        <v>129.47</v>
      </c>
      <c r="BI61">
        <f>VLOOKUP($A61,'UN Treasury'!$A$1:$BQ$224,_xlfn.XMATCH(BI$1,'UN Treasury'!$A$1:$BQ$1,-1,1),FALSE)</f>
        <v>126.99</v>
      </c>
      <c r="BJ61">
        <f>VLOOKUP($A61,'UN Treasury'!$A$1:$BQ$224,_xlfn.XMATCH(BJ$1,'UN Treasury'!$A$1:$BQ$1,-1,1),FALSE)</f>
        <v>124.06</v>
      </c>
      <c r="BK61">
        <f>VLOOKUP($A61,'UN Treasury'!$A$1:$BQ$224,_xlfn.XMATCH(BK$1,'UN Treasury'!$A$1:$BQ$1,-1,1),FALSE)</f>
        <v>123.4</v>
      </c>
      <c r="BL61">
        <f>VLOOKUP($A61,'UN Treasury'!$A$1:$BQ$224,_xlfn.XMATCH(BL$1,'UN Treasury'!$A$1:$BQ$1,-1,1),FALSE)</f>
        <v>120.33</v>
      </c>
      <c r="BM61">
        <f>VLOOKUP($A61,'UN Treasury'!$A$1:$BQ$224,_xlfn.XMATCH(BM$1,'UN Treasury'!$A$1:$BQ$1,-1,1),FALSE)</f>
        <v>122.67</v>
      </c>
      <c r="BN61">
        <f>VLOOKUP($A61,'UN Treasury'!$A$1:$BQ$224,_xlfn.XMATCH(BN$1,'UN Treasury'!$A$1:$BQ$1,-1,1),FALSE)</f>
        <v>126.6</v>
      </c>
      <c r="BO61">
        <f>VLOOKUP($A61,'UN Treasury'!$A$1:$BQ$224,_xlfn.XMATCH(BO$1,'UN Treasury'!$A$1:$BQ$1,-1,1),FALSE)</f>
        <v>125.15</v>
      </c>
      <c r="BP61">
        <f>VLOOKUP($A61,'UN Treasury'!$A$1:$BQ$224,_xlfn.XMATCH(BP$1,'UN Treasury'!$A$1:$BQ$1,-1,1),FALSE)</f>
        <v>128.59</v>
      </c>
      <c r="BQ61">
        <f>VLOOKUP($A61,'UN Treasury'!$A$1:$BQ$224,_xlfn.XMATCH(BQ$1,'UN Treasury'!$A$1:$BQ$1,-1,1),FALSE)</f>
        <v>127.29</v>
      </c>
    </row>
    <row r="62" spans="1:69" x14ac:dyDescent="0.25">
      <c r="A62" t="s">
        <v>151</v>
      </c>
      <c r="B62">
        <f>VLOOKUP($A62,'UN Treasury'!$A$1:$BQ$224,_xlfn.XMATCH(B$1,'UN Treasury'!$A$1:$BQ$1,-1,1),FALSE)</f>
        <v>158.21</v>
      </c>
      <c r="C62">
        <f>VLOOKUP($A62,'UN Treasury'!$A$1:$BQ$224,_xlfn.XMATCH(C$1,'UN Treasury'!$A$1:$BQ$1,-1,1),FALSE)</f>
        <v>157.292</v>
      </c>
      <c r="D62">
        <f>VLOOKUP($A62,'UN Treasury'!$A$1:$BQ$224,_xlfn.XMATCH(D$1,'UN Treasury'!$A$1:$BQ$1,-1,1),FALSE)</f>
        <v>157.327</v>
      </c>
      <c r="E62">
        <f>VLOOKUP($A62,'UN Treasury'!$A$1:$BQ$224,_xlfn.XMATCH(E$1,'UN Treasury'!$A$1:$BQ$1,-1,1),FALSE)</f>
        <v>156.797</v>
      </c>
      <c r="F62">
        <f>VLOOKUP($A62,'UN Treasury'!$A$1:$BQ$224,_xlfn.XMATCH(F$1,'UN Treasury'!$A$1:$BQ$1,-1,1),FALSE)</f>
        <v>156.71100000000001</v>
      </c>
      <c r="G62">
        <f>VLOOKUP($A62,'UN Treasury'!$A$1:$BQ$224,_xlfn.XMATCH(G$1,'UN Treasury'!$A$1:$BQ$1,-1,1),FALSE)</f>
        <v>155.398</v>
      </c>
      <c r="H62">
        <f>VLOOKUP($A62,'UN Treasury'!$A$1:$BQ$224,_xlfn.XMATCH(H$1,'UN Treasury'!$A$1:$BQ$1,-1,1),FALSE)</f>
        <v>155.31</v>
      </c>
      <c r="I62">
        <f>VLOOKUP($A62,'UN Treasury'!$A$1:$BQ$224,_xlfn.XMATCH(I$1,'UN Treasury'!$A$1:$BQ$1,-1,1),FALSE)</f>
        <v>157.36000000000001</v>
      </c>
      <c r="J62">
        <f>VLOOKUP($A62,'UN Treasury'!$A$1:$BQ$224,_xlfn.XMATCH(J$1,'UN Treasury'!$A$1:$BQ$1,-1,1),FALSE)</f>
        <v>159.51</v>
      </c>
      <c r="K62">
        <f>VLOOKUP($A62,'UN Treasury'!$A$1:$BQ$224,_xlfn.XMATCH(K$1,'UN Treasury'!$A$1:$BQ$1,-1,1),FALSE)</f>
        <v>159.51</v>
      </c>
      <c r="L62">
        <f>VLOOKUP($A62,'UN Treasury'!$A$1:$BQ$224,_xlfn.XMATCH(L$1,'UN Treasury'!$A$1:$BQ$1,-1,1),FALSE)</f>
        <v>159.678</v>
      </c>
      <c r="M62">
        <f>VLOOKUP($A62,'UN Treasury'!$A$1:$BQ$224,_xlfn.XMATCH(M$1,'UN Treasury'!$A$1:$BQ$1,-1,1),FALSE)</f>
        <v>159.084</v>
      </c>
      <c r="N62">
        <f>VLOOKUP($A62,'UN Treasury'!$A$1:$BQ$224,_xlfn.XMATCH(N$1,'UN Treasury'!$A$1:$BQ$1,-1,1),FALSE)</f>
        <v>159.11699999999999</v>
      </c>
      <c r="O62">
        <f>VLOOKUP($A62,'UN Treasury'!$A$1:$BQ$224,_xlfn.XMATCH(O$1,'UN Treasury'!$A$1:$BQ$1,-1,1),FALSE)</f>
        <v>159.03200000000001</v>
      </c>
      <c r="P62">
        <f>VLOOKUP($A62,'UN Treasury'!$A$1:$BQ$224,_xlfn.XMATCH(P$1,'UN Treasury'!$A$1:$BQ$1,-1,1),FALSE)</f>
        <v>158.59100000000001</v>
      </c>
      <c r="Q62">
        <f>VLOOKUP($A62,'UN Treasury'!$A$1:$BQ$224,_xlfn.XMATCH(Q$1,'UN Treasury'!$A$1:$BQ$1,-1,1),FALSE)</f>
        <v>158.24799999999999</v>
      </c>
      <c r="R62">
        <f>VLOOKUP($A62,'UN Treasury'!$A$1:$BQ$224,_xlfn.XMATCH(R$1,'UN Treasury'!$A$1:$BQ$1,-1,1),FALSE)</f>
        <v>157.03100000000001</v>
      </c>
      <c r="S62">
        <f>VLOOKUP($A62,'UN Treasury'!$A$1:$BQ$224,_xlfn.XMATCH(S$1,'UN Treasury'!$A$1:$BQ$1,-1,1),FALSE)</f>
        <v>156.47499999999999</v>
      </c>
      <c r="T62">
        <f>VLOOKUP($A62,'UN Treasury'!$A$1:$BQ$224,_xlfn.XMATCH(T$1,'UN Treasury'!$A$1:$BQ$1,-1,1),FALSE)</f>
        <v>156.45699999999999</v>
      </c>
      <c r="U62">
        <f>VLOOKUP($A62,'UN Treasury'!$A$1:$BQ$224,_xlfn.XMATCH(U$1,'UN Treasury'!$A$1:$BQ$1,-1,1),FALSE)</f>
        <v>155.64699999999999</v>
      </c>
      <c r="V62">
        <f>VLOOKUP($A62,'UN Treasury'!$A$1:$BQ$224,_xlfn.XMATCH(V$1,'UN Treasury'!$A$1:$BQ$1,-1,1),FALSE)</f>
        <v>155.447</v>
      </c>
      <c r="W62">
        <f>VLOOKUP($A62,'UN Treasury'!$A$1:$BQ$224,_xlfn.XMATCH(W$1,'UN Treasury'!$A$1:$BQ$1,-1,1),FALSE)</f>
        <v>157.40799999999999</v>
      </c>
      <c r="X62">
        <f>VLOOKUP($A62,'UN Treasury'!$A$1:$BQ$224,_xlfn.XMATCH(X$1,'UN Treasury'!$A$1:$BQ$1,-1,1),FALSE)</f>
        <v>157.096</v>
      </c>
      <c r="Y62">
        <f>VLOOKUP($A62,'UN Treasury'!$A$1:$BQ$224,_xlfn.XMATCH(Y$1,'UN Treasury'!$A$1:$BQ$1,-1,1),FALSE)</f>
        <v>156.65799999999999</v>
      </c>
      <c r="Z62">
        <f>VLOOKUP($A62,'UN Treasury'!$A$1:$BQ$224,_xlfn.XMATCH(Z$1,'UN Treasury'!$A$1:$BQ$1,-1,1),FALSE)</f>
        <v>156.02000000000001</v>
      </c>
      <c r="AA62">
        <f>VLOOKUP($A62,'UN Treasury'!$A$1:$BQ$224,_xlfn.XMATCH(AA$1,'UN Treasury'!$A$1:$BQ$1,-1,1),FALSE)</f>
        <v>155.90100000000001</v>
      </c>
      <c r="AB62">
        <f>VLOOKUP($A62,'UN Treasury'!$A$1:$BQ$224,_xlfn.XMATCH(AB$1,'UN Treasury'!$A$1:$BQ$1,-1,1),FALSE)</f>
        <v>155.41999999999999</v>
      </c>
      <c r="AC62">
        <f>VLOOKUP($A62,'UN Treasury'!$A$1:$BQ$224,_xlfn.XMATCH(AC$1,'UN Treasury'!$A$1:$BQ$1,-1,1),FALSE)</f>
        <v>155.65</v>
      </c>
      <c r="AD62">
        <f>VLOOKUP($A62,'UN Treasury'!$A$1:$BQ$224,_xlfn.XMATCH(AD$1,'UN Treasury'!$A$1:$BQ$1,-1,1),FALSE)</f>
        <v>153.501</v>
      </c>
      <c r="AE62">
        <f>VLOOKUP($A62,'UN Treasury'!$A$1:$BQ$224,_xlfn.XMATCH(AE$1,'UN Treasury'!$A$1:$BQ$1,-1,1),FALSE)</f>
        <v>154.09200000000001</v>
      </c>
      <c r="AF62">
        <f>VLOOKUP($A62,'UN Treasury'!$A$1:$BQ$224,_xlfn.XMATCH(AF$1,'UN Treasury'!$A$1:$BQ$1,-1,1),FALSE)</f>
        <v>154.70099999999999</v>
      </c>
      <c r="AG62">
        <f>VLOOKUP($A62,'UN Treasury'!$A$1:$BQ$224,_xlfn.XMATCH(AG$1,'UN Treasury'!$A$1:$BQ$1,-1,1),FALSE)</f>
        <v>153.768</v>
      </c>
      <c r="AH62">
        <f>VLOOKUP($A62,'UN Treasury'!$A$1:$BQ$224,_xlfn.XMATCH(AH$1,'UN Treasury'!$A$1:$BQ$1,-1,1),FALSE)</f>
        <v>154.51499999999999</v>
      </c>
      <c r="AI62">
        <f>VLOOKUP($A62,'UN Treasury'!$A$1:$BQ$224,_xlfn.XMATCH(AI$1,'UN Treasury'!$A$1:$BQ$1,-1,1),FALSE)</f>
        <v>153.726</v>
      </c>
      <c r="AJ62">
        <f>VLOOKUP($A62,'UN Treasury'!$A$1:$BQ$224,_xlfn.XMATCH(AJ$1,'UN Treasury'!$A$1:$BQ$1,-1,1),FALSE)</f>
        <v>153.88300000000001</v>
      </c>
      <c r="AK62">
        <f>VLOOKUP($A62,'UN Treasury'!$A$1:$BQ$224,_xlfn.XMATCH(AK$1,'UN Treasury'!$A$1:$BQ$1,-1,1),FALSE)</f>
        <v>153.42699999999999</v>
      </c>
      <c r="AL62">
        <f>VLOOKUP($A62,'UN Treasury'!$A$1:$BQ$224,_xlfn.XMATCH(AL$1,'UN Treasury'!$A$1:$BQ$1,-1,1),FALSE)</f>
        <v>153.41399999999999</v>
      </c>
      <c r="AM62">
        <f>VLOOKUP($A62,'UN Treasury'!$A$1:$BQ$224,_xlfn.XMATCH(AM$1,'UN Treasury'!$A$1:$BQ$1,-1,1),FALSE)</f>
        <v>153.328</v>
      </c>
      <c r="AN62">
        <f>VLOOKUP($A62,'UN Treasury'!$A$1:$BQ$224,_xlfn.XMATCH(AN$1,'UN Treasury'!$A$1:$BQ$1,-1,1),FALSE)</f>
        <v>153.203</v>
      </c>
      <c r="AO62">
        <f>VLOOKUP($A62,'UN Treasury'!$A$1:$BQ$224,_xlfn.XMATCH(AO$1,'UN Treasury'!$A$1:$BQ$1,-1,1),FALSE)</f>
        <v>152.78399999999999</v>
      </c>
      <c r="AP62">
        <f>VLOOKUP($A62,'UN Treasury'!$A$1:$BQ$224,_xlfn.XMATCH(AP$1,'UN Treasury'!$A$1:$BQ$1,-1,1),FALSE)</f>
        <v>150.62200000000001</v>
      </c>
      <c r="AQ62">
        <f>VLOOKUP($A62,'UN Treasury'!$A$1:$BQ$224,_xlfn.XMATCH(AQ$1,'UN Treasury'!$A$1:$BQ$1,-1,1),FALSE)</f>
        <v>152.99799999999999</v>
      </c>
      <c r="AR62">
        <f>VLOOKUP($A62,'UN Treasury'!$A$1:$BQ$224,_xlfn.XMATCH(AR$1,'UN Treasury'!$A$1:$BQ$1,-1,1),FALSE)</f>
        <v>153.20699999999999</v>
      </c>
      <c r="AS62">
        <f>VLOOKUP($A62,'UN Treasury'!$A$1:$BQ$224,_xlfn.XMATCH(AS$1,'UN Treasury'!$A$1:$BQ$1,-1,1),FALSE)</f>
        <v>152.08099999999999</v>
      </c>
      <c r="AT62">
        <f>VLOOKUP($A62,'UN Treasury'!$A$1:$BQ$224,_xlfn.XMATCH(AT$1,'UN Treasury'!$A$1:$BQ$1,-1,1),FALSE)</f>
        <v>153.47</v>
      </c>
      <c r="AU62">
        <f>VLOOKUP($A62,'UN Treasury'!$A$1:$BQ$224,_xlfn.XMATCH(AU$1,'UN Treasury'!$A$1:$BQ$1,-1,1),FALSE)</f>
        <v>152.67599999999999</v>
      </c>
      <c r="AV62">
        <f>VLOOKUP($A62,'UN Treasury'!$A$1:$BQ$224,_xlfn.XMATCH(AV$1,'UN Treasury'!$A$1:$BQ$1,-1,1),FALSE)</f>
        <v>151.79900000000001</v>
      </c>
      <c r="AW62">
        <f>VLOOKUP($A62,'UN Treasury'!$A$1:$BQ$224,_xlfn.XMATCH(AW$1,'UN Treasury'!$A$1:$BQ$1,-1,1),FALSE)</f>
        <v>150.779</v>
      </c>
      <c r="AX62">
        <f>VLOOKUP($A62,'UN Treasury'!$A$1:$BQ$224,_xlfn.XMATCH(AX$1,'UN Treasury'!$A$1:$BQ$1,-1,1),FALSE)</f>
        <v>151.02199999999999</v>
      </c>
      <c r="AY62">
        <f>VLOOKUP($A62,'UN Treasury'!$A$1:$BQ$224,_xlfn.XMATCH(AY$1,'UN Treasury'!$A$1:$BQ$1,-1,1),FALSE)</f>
        <v>150.54</v>
      </c>
      <c r="AZ62">
        <f>VLOOKUP($A62,'UN Treasury'!$A$1:$BQ$224,_xlfn.XMATCH(AZ$1,'UN Treasury'!$A$1:$BQ$1,-1,1),FALSE)</f>
        <v>152.72399999999999</v>
      </c>
      <c r="BA62">
        <f>VLOOKUP($A62,'UN Treasury'!$A$1:$BQ$224,_xlfn.XMATCH(BA$1,'UN Treasury'!$A$1:$BQ$1,-1,1),FALSE)</f>
        <v>153.68</v>
      </c>
      <c r="BB62">
        <f>VLOOKUP($A62,'UN Treasury'!$A$1:$BQ$224,_xlfn.XMATCH(BB$1,'UN Treasury'!$A$1:$BQ$1,-1,1),FALSE)</f>
        <v>153.47300000000001</v>
      </c>
      <c r="BC62">
        <f>VLOOKUP($A62,'UN Treasury'!$A$1:$BQ$224,_xlfn.XMATCH(BC$1,'UN Treasury'!$A$1:$BQ$1,-1,1),FALSE)</f>
        <v>152.27600000000001</v>
      </c>
      <c r="BD62">
        <f>VLOOKUP($A62,'UN Treasury'!$A$1:$BQ$224,_xlfn.XMATCH(BD$1,'UN Treasury'!$A$1:$BQ$1,-1,1),FALSE)</f>
        <v>156.17099999999999</v>
      </c>
      <c r="BE62">
        <f>VLOOKUP($A62,'UN Treasury'!$A$1:$BQ$224,_xlfn.XMATCH(BE$1,'UN Treasury'!$A$1:$BQ$1,-1,1),FALSE)</f>
        <v>153.40899999999999</v>
      </c>
      <c r="BF62">
        <f>VLOOKUP($A62,'UN Treasury'!$A$1:$BQ$224,_xlfn.XMATCH(BF$1,'UN Treasury'!$A$1:$BQ$1,-1,1),FALSE)</f>
        <v>154.518</v>
      </c>
      <c r="BG62">
        <f>VLOOKUP($A62,'UN Treasury'!$A$1:$BQ$224,_xlfn.XMATCH(BG$1,'UN Treasury'!$A$1:$BQ$1,-1,1),FALSE)</f>
        <v>153.37</v>
      </c>
      <c r="BH62">
        <f>VLOOKUP($A62,'UN Treasury'!$A$1:$BQ$224,_xlfn.XMATCH(BH$1,'UN Treasury'!$A$1:$BQ$1,-1,1),FALSE)</f>
        <v>147.34399999999999</v>
      </c>
      <c r="BI62">
        <f>VLOOKUP($A62,'UN Treasury'!$A$1:$BQ$224,_xlfn.XMATCH(BI$1,'UN Treasury'!$A$1:$BQ$1,-1,1),FALSE)</f>
        <v>150.75399999999999</v>
      </c>
      <c r="BJ62">
        <f>VLOOKUP($A62,'UN Treasury'!$A$1:$BQ$224,_xlfn.XMATCH(BJ$1,'UN Treasury'!$A$1:$BQ$1,-1,1),FALSE)</f>
        <v>153.18299999999999</v>
      </c>
      <c r="BK62">
        <f>VLOOKUP($A62,'UN Treasury'!$A$1:$BQ$224,_xlfn.XMATCH(BK$1,'UN Treasury'!$A$1:$BQ$1,-1,1),FALSE)</f>
        <v>148.982</v>
      </c>
      <c r="BL62">
        <f>VLOOKUP($A62,'UN Treasury'!$A$1:$BQ$224,_xlfn.XMATCH(BL$1,'UN Treasury'!$A$1:$BQ$1,-1,1),FALSE)</f>
        <v>148.38900000000001</v>
      </c>
      <c r="BM62">
        <f>VLOOKUP($A62,'UN Treasury'!$A$1:$BQ$224,_xlfn.XMATCH(BM$1,'UN Treasury'!$A$1:$BQ$1,-1,1),FALSE)</f>
        <v>152.79</v>
      </c>
      <c r="BN62">
        <f>VLOOKUP($A62,'UN Treasury'!$A$1:$BQ$224,_xlfn.XMATCH(BN$1,'UN Treasury'!$A$1:$BQ$1,-1,1),FALSE)</f>
        <v>144.52600000000001</v>
      </c>
      <c r="BO62">
        <f>VLOOKUP($A62,'UN Treasury'!$A$1:$BQ$224,_xlfn.XMATCH(BO$1,'UN Treasury'!$A$1:$BQ$1,-1,1),FALSE)</f>
        <v>150.25299999999999</v>
      </c>
      <c r="BP62">
        <f>VLOOKUP($A62,'UN Treasury'!$A$1:$BQ$224,_xlfn.XMATCH(BP$1,'UN Treasury'!$A$1:$BQ$1,-1,1),FALSE)</f>
        <v>145.334</v>
      </c>
      <c r="BQ62">
        <f>VLOOKUP($A62,'UN Treasury'!$A$1:$BQ$224,_xlfn.XMATCH(BQ$1,'UN Treasury'!$A$1:$BQ$1,-1,1),FALSE)</f>
        <v>141.072</v>
      </c>
    </row>
    <row r="63" spans="1:69" x14ac:dyDescent="0.25">
      <c r="A63" t="s">
        <v>153</v>
      </c>
      <c r="B63">
        <f>VLOOKUP($A63,'UN Treasury'!$A$1:$BQ$224,_xlfn.XMATCH(B$1,'UN Treasury'!$A$1:$BQ$1,-1,1),FALSE)</f>
        <v>0.70799999999999996</v>
      </c>
      <c r="C63">
        <f>VLOOKUP($A63,'UN Treasury'!$A$1:$BQ$224,_xlfn.XMATCH(C$1,'UN Treasury'!$A$1:$BQ$1,-1,1),FALSE)</f>
        <v>0.70799999999999996</v>
      </c>
      <c r="D63">
        <f>VLOOKUP($A63,'UN Treasury'!$A$1:$BQ$224,_xlfn.XMATCH(D$1,'UN Treasury'!$A$1:$BQ$1,-1,1),FALSE)</f>
        <v>0.70799999999999996</v>
      </c>
      <c r="E63">
        <f>VLOOKUP($A63,'UN Treasury'!$A$1:$BQ$224,_xlfn.XMATCH(E$1,'UN Treasury'!$A$1:$BQ$1,-1,1),FALSE)</f>
        <v>0.70799999999999996</v>
      </c>
      <c r="F63">
        <f>VLOOKUP($A63,'UN Treasury'!$A$1:$BQ$224,_xlfn.XMATCH(F$1,'UN Treasury'!$A$1:$BQ$1,-1,1),FALSE)</f>
        <v>0.70799999999999996</v>
      </c>
      <c r="G63">
        <f>VLOOKUP($A63,'UN Treasury'!$A$1:$BQ$224,_xlfn.XMATCH(G$1,'UN Treasury'!$A$1:$BQ$1,-1,1),FALSE)</f>
        <v>0.70799999999999996</v>
      </c>
      <c r="H63">
        <f>VLOOKUP($A63,'UN Treasury'!$A$1:$BQ$224,_xlfn.XMATCH(H$1,'UN Treasury'!$A$1:$BQ$1,-1,1),FALSE)</f>
        <v>0.70799999999999996</v>
      </c>
      <c r="I63">
        <f>VLOOKUP($A63,'UN Treasury'!$A$1:$BQ$224,_xlfn.XMATCH(I$1,'UN Treasury'!$A$1:$BQ$1,-1,1),FALSE)</f>
        <v>0.70799999999999996</v>
      </c>
      <c r="J63">
        <f>VLOOKUP($A63,'UN Treasury'!$A$1:$BQ$224,_xlfn.XMATCH(J$1,'UN Treasury'!$A$1:$BQ$1,-1,1),FALSE)</f>
        <v>0.70799999999999996</v>
      </c>
      <c r="K63">
        <f>VLOOKUP($A63,'UN Treasury'!$A$1:$BQ$224,_xlfn.XMATCH(K$1,'UN Treasury'!$A$1:$BQ$1,-1,1),FALSE)</f>
        <v>0.70799999999999996</v>
      </c>
      <c r="L63">
        <f>VLOOKUP($A63,'UN Treasury'!$A$1:$BQ$224,_xlfn.XMATCH(L$1,'UN Treasury'!$A$1:$BQ$1,-1,1),FALSE)</f>
        <v>0.70799999999999996</v>
      </c>
      <c r="M63">
        <f>VLOOKUP($A63,'UN Treasury'!$A$1:$BQ$224,_xlfn.XMATCH(M$1,'UN Treasury'!$A$1:$BQ$1,-1,1),FALSE)</f>
        <v>0.70799999999999996</v>
      </c>
      <c r="N63">
        <f>VLOOKUP($A63,'UN Treasury'!$A$1:$BQ$224,_xlfn.XMATCH(N$1,'UN Treasury'!$A$1:$BQ$1,-1,1),FALSE)</f>
        <v>0.70799999999999996</v>
      </c>
      <c r="O63">
        <f>VLOOKUP($A63,'UN Treasury'!$A$1:$BQ$224,_xlfn.XMATCH(O$1,'UN Treasury'!$A$1:$BQ$1,-1,1),FALSE)</f>
        <v>0.70799999999999996</v>
      </c>
      <c r="P63">
        <f>VLOOKUP($A63,'UN Treasury'!$A$1:$BQ$224,_xlfn.XMATCH(P$1,'UN Treasury'!$A$1:$BQ$1,-1,1),FALSE)</f>
        <v>0.70799999999999996</v>
      </c>
      <c r="Q63">
        <f>VLOOKUP($A63,'UN Treasury'!$A$1:$BQ$224,_xlfn.XMATCH(Q$1,'UN Treasury'!$A$1:$BQ$1,-1,1),FALSE)</f>
        <v>0.70799999999999996</v>
      </c>
      <c r="R63">
        <f>VLOOKUP($A63,'UN Treasury'!$A$1:$BQ$224,_xlfn.XMATCH(R$1,'UN Treasury'!$A$1:$BQ$1,-1,1),FALSE)</f>
        <v>0.70799999999999996</v>
      </c>
      <c r="S63">
        <f>VLOOKUP($A63,'UN Treasury'!$A$1:$BQ$224,_xlfn.XMATCH(S$1,'UN Treasury'!$A$1:$BQ$1,-1,1),FALSE)</f>
        <v>0.70799999999999996</v>
      </c>
      <c r="T63">
        <f>VLOOKUP($A63,'UN Treasury'!$A$1:$BQ$224,_xlfn.XMATCH(T$1,'UN Treasury'!$A$1:$BQ$1,-1,1),FALSE)</f>
        <v>0.70799999999999996</v>
      </c>
      <c r="U63">
        <f>VLOOKUP($A63,'UN Treasury'!$A$1:$BQ$224,_xlfn.XMATCH(U$1,'UN Treasury'!$A$1:$BQ$1,-1,1),FALSE)</f>
        <v>0.70799999999999996</v>
      </c>
      <c r="V63">
        <f>VLOOKUP($A63,'UN Treasury'!$A$1:$BQ$224,_xlfn.XMATCH(V$1,'UN Treasury'!$A$1:$BQ$1,-1,1),FALSE)</f>
        <v>0.70799999999999996</v>
      </c>
      <c r="W63">
        <f>VLOOKUP($A63,'UN Treasury'!$A$1:$BQ$224,_xlfn.XMATCH(W$1,'UN Treasury'!$A$1:$BQ$1,-1,1),FALSE)</f>
        <v>0.70799999999999996</v>
      </c>
      <c r="X63">
        <f>VLOOKUP($A63,'UN Treasury'!$A$1:$BQ$224,_xlfn.XMATCH(X$1,'UN Treasury'!$A$1:$BQ$1,-1,1),FALSE)</f>
        <v>0.70799999999999996</v>
      </c>
      <c r="Y63">
        <f>VLOOKUP($A63,'UN Treasury'!$A$1:$BQ$224,_xlfn.XMATCH(Y$1,'UN Treasury'!$A$1:$BQ$1,-1,1),FALSE)</f>
        <v>0.70799999999999996</v>
      </c>
      <c r="Z63">
        <f>VLOOKUP($A63,'UN Treasury'!$A$1:$BQ$224,_xlfn.XMATCH(Z$1,'UN Treasury'!$A$1:$BQ$1,-1,1),FALSE)</f>
        <v>0.70799999999999996</v>
      </c>
      <c r="AA63">
        <f>VLOOKUP($A63,'UN Treasury'!$A$1:$BQ$224,_xlfn.XMATCH(AA$1,'UN Treasury'!$A$1:$BQ$1,-1,1),FALSE)</f>
        <v>0.70799999999999996</v>
      </c>
      <c r="AB63">
        <f>VLOOKUP($A63,'UN Treasury'!$A$1:$BQ$224,_xlfn.XMATCH(AB$1,'UN Treasury'!$A$1:$BQ$1,-1,1),FALSE)</f>
        <v>0.70799999999999996</v>
      </c>
      <c r="AC63">
        <f>VLOOKUP($A63,'UN Treasury'!$A$1:$BQ$224,_xlfn.XMATCH(AC$1,'UN Treasury'!$A$1:$BQ$1,-1,1),FALSE)</f>
        <v>0.70799999999999996</v>
      </c>
      <c r="AD63">
        <f>VLOOKUP($A63,'UN Treasury'!$A$1:$BQ$224,_xlfn.XMATCH(AD$1,'UN Treasury'!$A$1:$BQ$1,-1,1),FALSE)</f>
        <v>0.70799999999999996</v>
      </c>
      <c r="AE63">
        <f>VLOOKUP($A63,'UN Treasury'!$A$1:$BQ$224,_xlfn.XMATCH(AE$1,'UN Treasury'!$A$1:$BQ$1,-1,1),FALSE)</f>
        <v>0.70799999999999996</v>
      </c>
      <c r="AF63">
        <f>VLOOKUP($A63,'UN Treasury'!$A$1:$BQ$224,_xlfn.XMATCH(AF$1,'UN Treasury'!$A$1:$BQ$1,-1,1),FALSE)</f>
        <v>0.70799999999999996</v>
      </c>
      <c r="AG63">
        <f>VLOOKUP($A63,'UN Treasury'!$A$1:$BQ$224,_xlfn.XMATCH(AG$1,'UN Treasury'!$A$1:$BQ$1,-1,1),FALSE)</f>
        <v>0.70799999999999996</v>
      </c>
      <c r="AH63">
        <f>VLOOKUP($A63,'UN Treasury'!$A$1:$BQ$224,_xlfn.XMATCH(AH$1,'UN Treasury'!$A$1:$BQ$1,-1,1),FALSE)</f>
        <v>0.70799999999999996</v>
      </c>
      <c r="AI63">
        <f>VLOOKUP($A63,'UN Treasury'!$A$1:$BQ$224,_xlfn.XMATCH(AI$1,'UN Treasury'!$A$1:$BQ$1,-1,1),FALSE)</f>
        <v>0.70799999999999996</v>
      </c>
      <c r="AJ63">
        <f>VLOOKUP($A63,'UN Treasury'!$A$1:$BQ$224,_xlfn.XMATCH(AJ$1,'UN Treasury'!$A$1:$BQ$1,-1,1),FALSE)</f>
        <v>0.70799999999999996</v>
      </c>
      <c r="AK63">
        <f>VLOOKUP($A63,'UN Treasury'!$A$1:$BQ$224,_xlfn.XMATCH(AK$1,'UN Treasury'!$A$1:$BQ$1,-1,1),FALSE)</f>
        <v>0.70799999999999996</v>
      </c>
      <c r="AL63">
        <f>VLOOKUP($A63,'UN Treasury'!$A$1:$BQ$224,_xlfn.XMATCH(AL$1,'UN Treasury'!$A$1:$BQ$1,-1,1),FALSE)</f>
        <v>0.70799999999999996</v>
      </c>
      <c r="AM63">
        <f>VLOOKUP($A63,'UN Treasury'!$A$1:$BQ$224,_xlfn.XMATCH(AM$1,'UN Treasury'!$A$1:$BQ$1,-1,1),FALSE)</f>
        <v>0.70799999999999996</v>
      </c>
      <c r="AN63">
        <f>VLOOKUP($A63,'UN Treasury'!$A$1:$BQ$224,_xlfn.XMATCH(AN$1,'UN Treasury'!$A$1:$BQ$1,-1,1),FALSE)</f>
        <v>0.70799999999999996</v>
      </c>
      <c r="AO63">
        <f>VLOOKUP($A63,'UN Treasury'!$A$1:$BQ$224,_xlfn.XMATCH(AO$1,'UN Treasury'!$A$1:$BQ$1,-1,1),FALSE)</f>
        <v>0.70799999999999996</v>
      </c>
      <c r="AP63">
        <f>VLOOKUP($A63,'UN Treasury'!$A$1:$BQ$224,_xlfn.XMATCH(AP$1,'UN Treasury'!$A$1:$BQ$1,-1,1),FALSE)</f>
        <v>0.70799999999999996</v>
      </c>
      <c r="AQ63">
        <f>VLOOKUP($A63,'UN Treasury'!$A$1:$BQ$224,_xlfn.XMATCH(AQ$1,'UN Treasury'!$A$1:$BQ$1,-1,1),FALSE)</f>
        <v>0.70799999999999996</v>
      </c>
      <c r="AR63">
        <f>VLOOKUP($A63,'UN Treasury'!$A$1:$BQ$224,_xlfn.XMATCH(AR$1,'UN Treasury'!$A$1:$BQ$1,-1,1),FALSE)</f>
        <v>0.70799999999999996</v>
      </c>
      <c r="AS63">
        <f>VLOOKUP($A63,'UN Treasury'!$A$1:$BQ$224,_xlfn.XMATCH(AS$1,'UN Treasury'!$A$1:$BQ$1,-1,1),FALSE)</f>
        <v>0.70799999999999996</v>
      </c>
      <c r="AT63">
        <f>VLOOKUP($A63,'UN Treasury'!$A$1:$BQ$224,_xlfn.XMATCH(AT$1,'UN Treasury'!$A$1:$BQ$1,-1,1),FALSE)</f>
        <v>0.70799999999999996</v>
      </c>
      <c r="AU63">
        <f>VLOOKUP($A63,'UN Treasury'!$A$1:$BQ$224,_xlfn.XMATCH(AU$1,'UN Treasury'!$A$1:$BQ$1,-1,1),FALSE)</f>
        <v>0.70799999999999996</v>
      </c>
      <c r="AV63">
        <f>VLOOKUP($A63,'UN Treasury'!$A$1:$BQ$224,_xlfn.XMATCH(AV$1,'UN Treasury'!$A$1:$BQ$1,-1,1),FALSE)</f>
        <v>0.70799999999999996</v>
      </c>
      <c r="AW63">
        <f>VLOOKUP($A63,'UN Treasury'!$A$1:$BQ$224,_xlfn.XMATCH(AW$1,'UN Treasury'!$A$1:$BQ$1,-1,1),FALSE)</f>
        <v>0.70799999999999996</v>
      </c>
      <c r="AX63">
        <f>VLOOKUP($A63,'UN Treasury'!$A$1:$BQ$224,_xlfn.XMATCH(AX$1,'UN Treasury'!$A$1:$BQ$1,-1,1),FALSE)</f>
        <v>0.70799999999999996</v>
      </c>
      <c r="AY63">
        <f>VLOOKUP($A63,'UN Treasury'!$A$1:$BQ$224,_xlfn.XMATCH(AY$1,'UN Treasury'!$A$1:$BQ$1,-1,1),FALSE)</f>
        <v>0.70799999999999996</v>
      </c>
      <c r="AZ63">
        <f>VLOOKUP($A63,'UN Treasury'!$A$1:$BQ$224,_xlfn.XMATCH(AZ$1,'UN Treasury'!$A$1:$BQ$1,-1,1),FALSE)</f>
        <v>0.70799999999999996</v>
      </c>
      <c r="BA63">
        <f>VLOOKUP($A63,'UN Treasury'!$A$1:$BQ$224,_xlfn.XMATCH(BA$1,'UN Treasury'!$A$1:$BQ$1,-1,1),FALSE)</f>
        <v>0.70799999999999996</v>
      </c>
      <c r="BB63">
        <f>VLOOKUP($A63,'UN Treasury'!$A$1:$BQ$224,_xlfn.XMATCH(BB$1,'UN Treasury'!$A$1:$BQ$1,-1,1),FALSE)</f>
        <v>0.70799999999999996</v>
      </c>
      <c r="BC63">
        <f>VLOOKUP($A63,'UN Treasury'!$A$1:$BQ$224,_xlfn.XMATCH(BC$1,'UN Treasury'!$A$1:$BQ$1,-1,1),FALSE)</f>
        <v>0.70799999999999996</v>
      </c>
      <c r="BD63">
        <f>VLOOKUP($A63,'UN Treasury'!$A$1:$BQ$224,_xlfn.XMATCH(BD$1,'UN Treasury'!$A$1:$BQ$1,-1,1),FALSE)</f>
        <v>0.70799999999999996</v>
      </c>
      <c r="BE63">
        <f>VLOOKUP($A63,'UN Treasury'!$A$1:$BQ$224,_xlfn.XMATCH(BE$1,'UN Treasury'!$A$1:$BQ$1,-1,1),FALSE)</f>
        <v>0.70799999999999996</v>
      </c>
      <c r="BF63">
        <f>VLOOKUP($A63,'UN Treasury'!$A$1:$BQ$224,_xlfn.XMATCH(BF$1,'UN Treasury'!$A$1:$BQ$1,-1,1),FALSE)</f>
        <v>0.70799999999999996</v>
      </c>
      <c r="BG63">
        <f>VLOOKUP($A63,'UN Treasury'!$A$1:$BQ$224,_xlfn.XMATCH(BG$1,'UN Treasury'!$A$1:$BQ$1,-1,1),FALSE)</f>
        <v>0.70799999999999996</v>
      </c>
      <c r="BH63">
        <f>VLOOKUP($A63,'UN Treasury'!$A$1:$BQ$224,_xlfn.XMATCH(BH$1,'UN Treasury'!$A$1:$BQ$1,-1,1),FALSE)</f>
        <v>0.70799999999999996</v>
      </c>
      <c r="BI63">
        <f>VLOOKUP($A63,'UN Treasury'!$A$1:$BQ$224,_xlfn.XMATCH(BI$1,'UN Treasury'!$A$1:$BQ$1,-1,1),FALSE)</f>
        <v>0.70799999999999996</v>
      </c>
      <c r="BJ63">
        <f>VLOOKUP($A63,'UN Treasury'!$A$1:$BQ$224,_xlfn.XMATCH(BJ$1,'UN Treasury'!$A$1:$BQ$1,-1,1),FALSE)</f>
        <v>0.70799999999999996</v>
      </c>
      <c r="BK63">
        <f>VLOOKUP($A63,'UN Treasury'!$A$1:$BQ$224,_xlfn.XMATCH(BK$1,'UN Treasury'!$A$1:$BQ$1,-1,1),FALSE)</f>
        <v>0.70799999999999996</v>
      </c>
      <c r="BL63">
        <f>VLOOKUP($A63,'UN Treasury'!$A$1:$BQ$224,_xlfn.XMATCH(BL$1,'UN Treasury'!$A$1:$BQ$1,-1,1),FALSE)</f>
        <v>0.70799999999999996</v>
      </c>
      <c r="BM63">
        <f>VLOOKUP($A63,'UN Treasury'!$A$1:$BQ$224,_xlfn.XMATCH(BM$1,'UN Treasury'!$A$1:$BQ$1,-1,1),FALSE)</f>
        <v>0.70799999999999996</v>
      </c>
      <c r="BN63">
        <f>VLOOKUP($A63,'UN Treasury'!$A$1:$BQ$224,_xlfn.XMATCH(BN$1,'UN Treasury'!$A$1:$BQ$1,-1,1),FALSE)</f>
        <v>0.70799999999999996</v>
      </c>
      <c r="BO63">
        <f>VLOOKUP($A63,'UN Treasury'!$A$1:$BQ$224,_xlfn.XMATCH(BO$1,'UN Treasury'!$A$1:$BQ$1,-1,1),FALSE)</f>
        <v>0.70799999999999996</v>
      </c>
      <c r="BP63">
        <f>VLOOKUP($A63,'UN Treasury'!$A$1:$BQ$224,_xlfn.XMATCH(BP$1,'UN Treasury'!$A$1:$BQ$1,-1,1),FALSE)</f>
        <v>0.70799999999999996</v>
      </c>
      <c r="BQ63">
        <f>VLOOKUP($A63,'UN Treasury'!$A$1:$BQ$224,_xlfn.XMATCH(BQ$1,'UN Treasury'!$A$1:$BQ$1,-1,1),FALSE)</f>
        <v>0.70799999999999996</v>
      </c>
    </row>
    <row r="64" spans="1:69" x14ac:dyDescent="0.25">
      <c r="A64" t="s">
        <v>155</v>
      </c>
      <c r="B64">
        <f>VLOOKUP($A64,'UN Treasury'!$A$1:$BQ$224,_xlfn.XMATCH(B$1,'UN Treasury'!$A$1:$BQ$1,-1,1),FALSE)</f>
        <v>159.33000000000001</v>
      </c>
      <c r="C64">
        <f>VLOOKUP($A64,'UN Treasury'!$A$1:$BQ$224,_xlfn.XMATCH(C$1,'UN Treasury'!$A$1:$BQ$1,-1,1),FALSE)</f>
        <v>162.13</v>
      </c>
      <c r="D64">
        <f>VLOOKUP($A64,'UN Treasury'!$A$1:$BQ$224,_xlfn.XMATCH(D$1,'UN Treasury'!$A$1:$BQ$1,-1,1),FALSE)</f>
        <v>160.55000000000001</v>
      </c>
      <c r="E64">
        <f>VLOOKUP($A64,'UN Treasury'!$A$1:$BQ$224,_xlfn.XMATCH(E$1,'UN Treasury'!$A$1:$BQ$1,-1,1),FALSE)</f>
        <v>157.78</v>
      </c>
      <c r="F64">
        <f>VLOOKUP($A64,'UN Treasury'!$A$1:$BQ$224,_xlfn.XMATCH(F$1,'UN Treasury'!$A$1:$BQ$1,-1,1),FALSE)</f>
        <v>159.62</v>
      </c>
      <c r="G64">
        <f>VLOOKUP($A64,'UN Treasury'!$A$1:$BQ$224,_xlfn.XMATCH(G$1,'UN Treasury'!$A$1:$BQ$1,-1,1),FALSE)</f>
        <v>158.97999999999999</v>
      </c>
      <c r="H64">
        <f>VLOOKUP($A64,'UN Treasury'!$A$1:$BQ$224,_xlfn.XMATCH(H$1,'UN Treasury'!$A$1:$BQ$1,-1,1),FALSE)</f>
        <v>152.97</v>
      </c>
      <c r="I64">
        <f>VLOOKUP($A64,'UN Treasury'!$A$1:$BQ$224,_xlfn.XMATCH(I$1,'UN Treasury'!$A$1:$BQ$1,-1,1),FALSE)</f>
        <v>159.01</v>
      </c>
      <c r="J64">
        <f>VLOOKUP($A64,'UN Treasury'!$A$1:$BQ$224,_xlfn.XMATCH(J$1,'UN Treasury'!$A$1:$BQ$1,-1,1),FALSE)</f>
        <v>155.09</v>
      </c>
      <c r="K64">
        <f>VLOOKUP($A64,'UN Treasury'!$A$1:$BQ$224,_xlfn.XMATCH(K$1,'UN Treasury'!$A$1:$BQ$1,-1,1),FALSE)</f>
        <v>154.99</v>
      </c>
      <c r="L64">
        <f>VLOOKUP($A64,'UN Treasury'!$A$1:$BQ$224,_xlfn.XMATCH(L$1,'UN Treasury'!$A$1:$BQ$1,-1,1),FALSE)</f>
        <v>152.32</v>
      </c>
      <c r="M64">
        <f>VLOOKUP($A64,'UN Treasury'!$A$1:$BQ$224,_xlfn.XMATCH(M$1,'UN Treasury'!$A$1:$BQ$1,-1,1),FALSE)</f>
        <v>147.44999999999999</v>
      </c>
      <c r="N64">
        <f>VLOOKUP($A64,'UN Treasury'!$A$1:$BQ$224,_xlfn.XMATCH(N$1,'UN Treasury'!$A$1:$BQ$1,-1,1),FALSE)</f>
        <v>147.24</v>
      </c>
      <c r="O64">
        <f>VLOOKUP($A64,'UN Treasury'!$A$1:$BQ$224,_xlfn.XMATCH(O$1,'UN Treasury'!$A$1:$BQ$1,-1,1),FALSE)</f>
        <v>147.05000000000001</v>
      </c>
      <c r="P64">
        <f>VLOOKUP($A64,'UN Treasury'!$A$1:$BQ$224,_xlfn.XMATCH(P$1,'UN Treasury'!$A$1:$BQ$1,-1,1),FALSE)</f>
        <v>144.65</v>
      </c>
      <c r="Q64">
        <f>VLOOKUP($A64,'UN Treasury'!$A$1:$BQ$224,_xlfn.XMATCH(Q$1,'UN Treasury'!$A$1:$BQ$1,-1,1),FALSE)</f>
        <v>147.77000000000001</v>
      </c>
      <c r="R64">
        <f>VLOOKUP($A64,'UN Treasury'!$A$1:$BQ$224,_xlfn.XMATCH(R$1,'UN Treasury'!$A$1:$BQ$1,-1,1),FALSE)</f>
        <v>143.13</v>
      </c>
      <c r="S64">
        <f>VLOOKUP($A64,'UN Treasury'!$A$1:$BQ$224,_xlfn.XMATCH(S$1,'UN Treasury'!$A$1:$BQ$1,-1,1),FALSE)</f>
        <v>148.62</v>
      </c>
      <c r="T64">
        <f>VLOOKUP($A64,'UN Treasury'!$A$1:$BQ$224,_xlfn.XMATCH(T$1,'UN Treasury'!$A$1:$BQ$1,-1,1),FALSE)</f>
        <v>154.38999999999999</v>
      </c>
      <c r="U64">
        <f>VLOOKUP($A64,'UN Treasury'!$A$1:$BQ$224,_xlfn.XMATCH(U$1,'UN Treasury'!$A$1:$BQ$1,-1,1),FALSE)</f>
        <v>157.41</v>
      </c>
      <c r="V64">
        <f>VLOOKUP($A64,'UN Treasury'!$A$1:$BQ$224,_xlfn.XMATCH(V$1,'UN Treasury'!$A$1:$BQ$1,-1,1),FALSE)</f>
        <v>152.30000000000001</v>
      </c>
      <c r="W64">
        <f>VLOOKUP($A64,'UN Treasury'!$A$1:$BQ$224,_xlfn.XMATCH(W$1,'UN Treasury'!$A$1:$BQ$1,-1,1),FALSE)</f>
        <v>154.78</v>
      </c>
      <c r="X64">
        <f>VLOOKUP($A64,'UN Treasury'!$A$1:$BQ$224,_xlfn.XMATCH(X$1,'UN Treasury'!$A$1:$BQ$1,-1,1),FALSE)</f>
        <v>149.05000000000001</v>
      </c>
      <c r="Y64">
        <f>VLOOKUP($A64,'UN Treasury'!$A$1:$BQ$224,_xlfn.XMATCH(Y$1,'UN Treasury'!$A$1:$BQ$1,-1,1),FALSE)</f>
        <v>142.28</v>
      </c>
      <c r="Z64">
        <f>VLOOKUP($A64,'UN Treasury'!$A$1:$BQ$224,_xlfn.XMATCH(Z$1,'UN Treasury'!$A$1:$BQ$1,-1,1),FALSE)</f>
        <v>147.05000000000001</v>
      </c>
      <c r="AA64">
        <f>VLOOKUP($A64,'UN Treasury'!$A$1:$BQ$224,_xlfn.XMATCH(AA$1,'UN Treasury'!$A$1:$BQ$1,-1,1),FALSE)</f>
        <v>158.36000000000001</v>
      </c>
      <c r="AB64">
        <f>VLOOKUP($A64,'UN Treasury'!$A$1:$BQ$224,_xlfn.XMATCH(AB$1,'UN Treasury'!$A$1:$BQ$1,-1,1),FALSE)</f>
        <v>155.82</v>
      </c>
      <c r="AC64">
        <f>VLOOKUP($A64,'UN Treasury'!$A$1:$BQ$224,_xlfn.XMATCH(AC$1,'UN Treasury'!$A$1:$BQ$1,-1,1),FALSE)</f>
        <v>155.81</v>
      </c>
      <c r="AD64">
        <f>VLOOKUP($A64,'UN Treasury'!$A$1:$BQ$224,_xlfn.XMATCH(AD$1,'UN Treasury'!$A$1:$BQ$1,-1,1),FALSE)</f>
        <v>153.12</v>
      </c>
      <c r="AE64">
        <f>VLOOKUP($A64,'UN Treasury'!$A$1:$BQ$224,_xlfn.XMATCH(AE$1,'UN Treasury'!$A$1:$BQ$1,-1,1),FALSE)</f>
        <v>147.80000000000001</v>
      </c>
      <c r="AF64">
        <f>VLOOKUP($A64,'UN Treasury'!$A$1:$BQ$224,_xlfn.XMATCH(AF$1,'UN Treasury'!$A$1:$BQ$1,-1,1),FALSE)</f>
        <v>150.38999999999999</v>
      </c>
      <c r="AG64">
        <f>VLOOKUP($A64,'UN Treasury'!$A$1:$BQ$224,_xlfn.XMATCH(AG$1,'UN Treasury'!$A$1:$BQ$1,-1,1),FALSE)</f>
        <v>145.97</v>
      </c>
      <c r="AH64">
        <f>VLOOKUP($A64,'UN Treasury'!$A$1:$BQ$224,_xlfn.XMATCH(AH$1,'UN Treasury'!$A$1:$BQ$1,-1,1),FALSE)</f>
        <v>145.41</v>
      </c>
      <c r="AI64">
        <f>VLOOKUP($A64,'UN Treasury'!$A$1:$BQ$224,_xlfn.XMATCH(AI$1,'UN Treasury'!$A$1:$BQ$1,-1,1),FALSE)</f>
        <v>151.9</v>
      </c>
      <c r="AJ64">
        <f>VLOOKUP($A64,'UN Treasury'!$A$1:$BQ$224,_xlfn.XMATCH(AJ$1,'UN Treasury'!$A$1:$BQ$1,-1,1),FALSE)</f>
        <v>148.94999999999999</v>
      </c>
      <c r="AK64">
        <f>VLOOKUP($A64,'UN Treasury'!$A$1:$BQ$224,_xlfn.XMATCH(AK$1,'UN Treasury'!$A$1:$BQ$1,-1,1),FALSE)</f>
        <v>147.38</v>
      </c>
      <c r="AL64">
        <f>VLOOKUP($A64,'UN Treasury'!$A$1:$BQ$224,_xlfn.XMATCH(AL$1,'UN Treasury'!$A$1:$BQ$1,-1,1),FALSE)</f>
        <v>144.82</v>
      </c>
      <c r="AM64">
        <f>VLOOKUP($A64,'UN Treasury'!$A$1:$BQ$224,_xlfn.XMATCH(AM$1,'UN Treasury'!$A$1:$BQ$1,-1,1),FALSE)</f>
        <v>138.88999999999999</v>
      </c>
      <c r="AN64">
        <f>VLOOKUP($A64,'UN Treasury'!$A$1:$BQ$224,_xlfn.XMATCH(AN$1,'UN Treasury'!$A$1:$BQ$1,-1,1),FALSE)</f>
        <v>139.93</v>
      </c>
      <c r="AO64">
        <f>VLOOKUP($A64,'UN Treasury'!$A$1:$BQ$224,_xlfn.XMATCH(AO$1,'UN Treasury'!$A$1:$BQ$1,-1,1),FALSE)</f>
        <v>134.35</v>
      </c>
      <c r="AP64">
        <f>VLOOKUP($A64,'UN Treasury'!$A$1:$BQ$224,_xlfn.XMATCH(AP$1,'UN Treasury'!$A$1:$BQ$1,-1,1),FALSE)</f>
        <v>133.19999999999999</v>
      </c>
      <c r="AQ64">
        <f>VLOOKUP($A64,'UN Treasury'!$A$1:$BQ$224,_xlfn.XMATCH(AQ$1,'UN Treasury'!$A$1:$BQ$1,-1,1),FALSE)</f>
        <v>133.05000000000001</v>
      </c>
      <c r="AR64">
        <f>VLOOKUP($A64,'UN Treasury'!$A$1:$BQ$224,_xlfn.XMATCH(AR$1,'UN Treasury'!$A$1:$BQ$1,-1,1),FALSE)</f>
        <v>132.58000000000001</v>
      </c>
      <c r="AS64">
        <f>VLOOKUP($A64,'UN Treasury'!$A$1:$BQ$224,_xlfn.XMATCH(AS$1,'UN Treasury'!$A$1:$BQ$1,-1,1),FALSE)</f>
        <v>132.54</v>
      </c>
      <c r="AT64">
        <f>VLOOKUP($A64,'UN Treasury'!$A$1:$BQ$224,_xlfn.XMATCH(AT$1,'UN Treasury'!$A$1:$BQ$1,-1,1),FALSE)</f>
        <v>134.87</v>
      </c>
      <c r="AU64">
        <f>VLOOKUP($A64,'UN Treasury'!$A$1:$BQ$224,_xlfn.XMATCH(AU$1,'UN Treasury'!$A$1:$BQ$1,-1,1),FALSE)</f>
        <v>139.27000000000001</v>
      </c>
      <c r="AV64">
        <f>VLOOKUP($A64,'UN Treasury'!$A$1:$BQ$224,_xlfn.XMATCH(AV$1,'UN Treasury'!$A$1:$BQ$1,-1,1),FALSE)</f>
        <v>146.87</v>
      </c>
      <c r="AW64">
        <f>VLOOKUP($A64,'UN Treasury'!$A$1:$BQ$224,_xlfn.XMATCH(AW$1,'UN Treasury'!$A$1:$BQ$1,-1,1),FALSE)</f>
        <v>144.07</v>
      </c>
      <c r="AX64">
        <f>VLOOKUP($A64,'UN Treasury'!$A$1:$BQ$224,_xlfn.XMATCH(AX$1,'UN Treasury'!$A$1:$BQ$1,-1,1),FALSE)</f>
        <v>132.1</v>
      </c>
      <c r="AY64">
        <f>VLOOKUP($A64,'UN Treasury'!$A$1:$BQ$224,_xlfn.XMATCH(AY$1,'UN Treasury'!$A$1:$BQ$1,-1,1),FALSE)</f>
        <v>137.63</v>
      </c>
      <c r="AZ64">
        <f>VLOOKUP($A64,'UN Treasury'!$A$1:$BQ$224,_xlfn.XMATCH(AZ$1,'UN Treasury'!$A$1:$BQ$1,-1,1),FALSE)</f>
        <v>133.88</v>
      </c>
      <c r="BA64">
        <f>VLOOKUP($A64,'UN Treasury'!$A$1:$BQ$224,_xlfn.XMATCH(BA$1,'UN Treasury'!$A$1:$BQ$1,-1,1),FALSE)</f>
        <v>130.16999999999999</v>
      </c>
      <c r="BB64">
        <f>VLOOKUP($A64,'UN Treasury'!$A$1:$BQ$224,_xlfn.XMATCH(BB$1,'UN Treasury'!$A$1:$BQ$1,-1,1),FALSE)</f>
        <v>125.25</v>
      </c>
      <c r="BC64">
        <f>VLOOKUP($A64,'UN Treasury'!$A$1:$BQ$224,_xlfn.XMATCH(BC$1,'UN Treasury'!$A$1:$BQ$1,-1,1),FALSE)</f>
        <v>116.89</v>
      </c>
      <c r="BD64">
        <f>VLOOKUP($A64,'UN Treasury'!$A$1:$BQ$224,_xlfn.XMATCH(BD$1,'UN Treasury'!$A$1:$BQ$1,-1,1),FALSE)</f>
        <v>115.83</v>
      </c>
      <c r="BE64">
        <f>VLOOKUP($A64,'UN Treasury'!$A$1:$BQ$224,_xlfn.XMATCH(BE$1,'UN Treasury'!$A$1:$BQ$1,-1,1),FALSE)</f>
        <v>115.11</v>
      </c>
      <c r="BF64">
        <f>VLOOKUP($A64,'UN Treasury'!$A$1:$BQ$224,_xlfn.XMATCH(BF$1,'UN Treasury'!$A$1:$BQ$1,-1,1),FALSE)</f>
        <v>113.8</v>
      </c>
      <c r="BG64">
        <f>VLOOKUP($A64,'UN Treasury'!$A$1:$BQ$224,_xlfn.XMATCH(BG$1,'UN Treasury'!$A$1:$BQ$1,-1,1),FALSE)</f>
        <v>113.97</v>
      </c>
      <c r="BH64">
        <f>VLOOKUP($A64,'UN Treasury'!$A$1:$BQ$224,_xlfn.XMATCH(BH$1,'UN Treasury'!$A$1:$BQ$1,-1,1),FALSE)</f>
        <v>111.63</v>
      </c>
      <c r="BI64">
        <f>VLOOKUP($A64,'UN Treasury'!$A$1:$BQ$224,_xlfn.XMATCH(BI$1,'UN Treasury'!$A$1:$BQ$1,-1,1),FALSE)</f>
        <v>109.95</v>
      </c>
      <c r="BJ64">
        <f>VLOOKUP($A64,'UN Treasury'!$A$1:$BQ$224,_xlfn.XMATCH(BJ$1,'UN Treasury'!$A$1:$BQ$1,-1,1),FALSE)</f>
        <v>109.69</v>
      </c>
      <c r="BK64">
        <f>VLOOKUP($A64,'UN Treasury'!$A$1:$BQ$224,_xlfn.XMATCH(BK$1,'UN Treasury'!$A$1:$BQ$1,-1,1),FALSE)</f>
        <v>110.74</v>
      </c>
      <c r="BL64">
        <f>VLOOKUP($A64,'UN Treasury'!$A$1:$BQ$224,_xlfn.XMATCH(BL$1,'UN Treasury'!$A$1:$BQ$1,-1,1),FALSE)</f>
        <v>109.46</v>
      </c>
      <c r="BM64">
        <f>VLOOKUP($A64,'UN Treasury'!$A$1:$BQ$224,_xlfn.XMATCH(BM$1,'UN Treasury'!$A$1:$BQ$1,-1,1),FALSE)</f>
        <v>109.19</v>
      </c>
      <c r="BN64">
        <f>VLOOKUP($A64,'UN Treasury'!$A$1:$BQ$224,_xlfn.XMATCH(BN$1,'UN Treasury'!$A$1:$BQ$1,-1,1),FALSE)</f>
        <v>110.4</v>
      </c>
      <c r="BO64">
        <f>VLOOKUP($A64,'UN Treasury'!$A$1:$BQ$224,_xlfn.XMATCH(BO$1,'UN Treasury'!$A$1:$BQ$1,-1,1),FALSE)</f>
        <v>108.57</v>
      </c>
      <c r="BP64">
        <f>VLOOKUP($A64,'UN Treasury'!$A$1:$BQ$224,_xlfn.XMATCH(BP$1,'UN Treasury'!$A$1:$BQ$1,-1,1),FALSE)</f>
        <v>104.7</v>
      </c>
      <c r="BQ64">
        <f>VLOOKUP($A64,'UN Treasury'!$A$1:$BQ$224,_xlfn.XMATCH(BQ$1,'UN Treasury'!$A$1:$BQ$1,-1,1),FALSE)</f>
        <v>103.9</v>
      </c>
    </row>
    <row r="65" spans="1:69" x14ac:dyDescent="0.25">
      <c r="A65" t="s">
        <v>157</v>
      </c>
      <c r="B65">
        <f>VLOOKUP($A65,'UN Treasury'!$A$1:$BQ$224,_xlfn.XMATCH(B$1,'UN Treasury'!$A$1:$BQ$1,-1,1),FALSE)</f>
        <v>129.24</v>
      </c>
      <c r="C65">
        <f>VLOOKUP($A65,'UN Treasury'!$A$1:$BQ$224,_xlfn.XMATCH(C$1,'UN Treasury'!$A$1:$BQ$1,-1,1),FALSE)</f>
        <v>129.1</v>
      </c>
      <c r="D65">
        <f>VLOOKUP($A65,'UN Treasury'!$A$1:$BQ$224,_xlfn.XMATCH(D$1,'UN Treasury'!$A$1:$BQ$1,-1,1),FALSE)</f>
        <v>129.41999999999999</v>
      </c>
      <c r="E65">
        <f>VLOOKUP($A65,'UN Treasury'!$A$1:$BQ$224,_xlfn.XMATCH(E$1,'UN Treasury'!$A$1:$BQ$1,-1,1),FALSE)</f>
        <v>129</v>
      </c>
      <c r="F65">
        <f>VLOOKUP($A65,'UN Treasury'!$A$1:$BQ$224,_xlfn.XMATCH(F$1,'UN Treasury'!$A$1:$BQ$1,-1,1),FALSE)</f>
        <v>129.1</v>
      </c>
      <c r="G65">
        <f>VLOOKUP($A65,'UN Treasury'!$A$1:$BQ$224,_xlfn.XMATCH(G$1,'UN Treasury'!$A$1:$BQ$1,-1,1),FALSE)</f>
        <v>129.15</v>
      </c>
      <c r="H65">
        <f>VLOOKUP($A65,'UN Treasury'!$A$1:$BQ$224,_xlfn.XMATCH(H$1,'UN Treasury'!$A$1:$BQ$1,-1,1),FALSE)</f>
        <v>128.86000000000001</v>
      </c>
      <c r="I65">
        <f>VLOOKUP($A65,'UN Treasury'!$A$1:$BQ$224,_xlfn.XMATCH(I$1,'UN Treasury'!$A$1:$BQ$1,-1,1),FALSE)</f>
        <v>128.88</v>
      </c>
      <c r="J65">
        <f>VLOOKUP($A65,'UN Treasury'!$A$1:$BQ$224,_xlfn.XMATCH(J$1,'UN Treasury'!$A$1:$BQ$1,-1,1),FALSE)</f>
        <v>128.83000000000001</v>
      </c>
      <c r="K65">
        <f>VLOOKUP($A65,'UN Treasury'!$A$1:$BQ$224,_xlfn.XMATCH(K$1,'UN Treasury'!$A$1:$BQ$1,-1,1),FALSE)</f>
        <v>129.01</v>
      </c>
      <c r="L65">
        <f>VLOOKUP($A65,'UN Treasury'!$A$1:$BQ$224,_xlfn.XMATCH(L$1,'UN Treasury'!$A$1:$BQ$1,-1,1),FALSE)</f>
        <v>129.05000000000001</v>
      </c>
      <c r="M65">
        <f>VLOOKUP($A65,'UN Treasury'!$A$1:$BQ$224,_xlfn.XMATCH(M$1,'UN Treasury'!$A$1:$BQ$1,-1,1),FALSE)</f>
        <v>129.15</v>
      </c>
      <c r="N65">
        <f>VLOOKUP($A65,'UN Treasury'!$A$1:$BQ$224,_xlfn.XMATCH(N$1,'UN Treasury'!$A$1:$BQ$1,-1,1),FALSE)</f>
        <v>129</v>
      </c>
      <c r="O65">
        <f>VLOOKUP($A65,'UN Treasury'!$A$1:$BQ$224,_xlfn.XMATCH(O$1,'UN Treasury'!$A$1:$BQ$1,-1,1),FALSE)</f>
        <v>129</v>
      </c>
      <c r="P65">
        <f>VLOOKUP($A65,'UN Treasury'!$A$1:$BQ$224,_xlfn.XMATCH(P$1,'UN Treasury'!$A$1:$BQ$1,-1,1),FALSE)</f>
        <v>129.02000000000001</v>
      </c>
      <c r="Q65">
        <f>VLOOKUP($A65,'UN Treasury'!$A$1:$BQ$224,_xlfn.XMATCH(Q$1,'UN Treasury'!$A$1:$BQ$1,-1,1),FALSE)</f>
        <v>129</v>
      </c>
      <c r="R65">
        <f>VLOOKUP($A65,'UN Treasury'!$A$1:$BQ$224,_xlfn.XMATCH(R$1,'UN Treasury'!$A$1:$BQ$1,-1,1),FALSE)</f>
        <v>129.19999999999999</v>
      </c>
      <c r="S65">
        <f>VLOOKUP($A65,'UN Treasury'!$A$1:$BQ$224,_xlfn.XMATCH(S$1,'UN Treasury'!$A$1:$BQ$1,-1,1),FALSE)</f>
        <v>129</v>
      </c>
      <c r="T65">
        <f>VLOOKUP($A65,'UN Treasury'!$A$1:$BQ$224,_xlfn.XMATCH(T$1,'UN Treasury'!$A$1:$BQ$1,-1,1),FALSE)</f>
        <v>128.81</v>
      </c>
      <c r="U65">
        <f>VLOOKUP($A65,'UN Treasury'!$A$1:$BQ$224,_xlfn.XMATCH(U$1,'UN Treasury'!$A$1:$BQ$1,-1,1),FALSE)</f>
        <v>129.16</v>
      </c>
      <c r="V65">
        <f>VLOOKUP($A65,'UN Treasury'!$A$1:$BQ$224,_xlfn.XMATCH(V$1,'UN Treasury'!$A$1:$BQ$1,-1,1),FALSE)</f>
        <v>129</v>
      </c>
      <c r="W65">
        <f>VLOOKUP($A65,'UN Treasury'!$A$1:$BQ$224,_xlfn.XMATCH(W$1,'UN Treasury'!$A$1:$BQ$1,-1,1),FALSE)</f>
        <v>128.5</v>
      </c>
      <c r="X65">
        <f>VLOOKUP($A65,'UN Treasury'!$A$1:$BQ$224,_xlfn.XMATCH(X$1,'UN Treasury'!$A$1:$BQ$1,-1,1),FALSE)</f>
        <v>128.4</v>
      </c>
      <c r="Y65">
        <f>VLOOKUP($A65,'UN Treasury'!$A$1:$BQ$224,_xlfn.XMATCH(Y$1,'UN Treasury'!$A$1:$BQ$1,-1,1),FALSE)</f>
        <v>128.35</v>
      </c>
      <c r="Z65">
        <f>VLOOKUP($A65,'UN Treasury'!$A$1:$BQ$224,_xlfn.XMATCH(Z$1,'UN Treasury'!$A$1:$BQ$1,-1,1),FALSE)</f>
        <v>128.5</v>
      </c>
      <c r="AA65">
        <f>VLOOKUP($A65,'UN Treasury'!$A$1:$BQ$224,_xlfn.XMATCH(AA$1,'UN Treasury'!$A$1:$BQ$1,-1,1),FALSE)</f>
        <v>128.85</v>
      </c>
      <c r="AB65">
        <f>VLOOKUP($A65,'UN Treasury'!$A$1:$BQ$224,_xlfn.XMATCH(AB$1,'UN Treasury'!$A$1:$BQ$1,-1,1),FALSE)</f>
        <v>128.03</v>
      </c>
      <c r="AC65">
        <f>VLOOKUP($A65,'UN Treasury'!$A$1:$BQ$224,_xlfn.XMATCH(AC$1,'UN Treasury'!$A$1:$BQ$1,-1,1),FALSE)</f>
        <v>130.27000000000001</v>
      </c>
      <c r="AD65">
        <f>VLOOKUP($A65,'UN Treasury'!$A$1:$BQ$224,_xlfn.XMATCH(AD$1,'UN Treasury'!$A$1:$BQ$1,-1,1),FALSE)</f>
        <v>129.63</v>
      </c>
      <c r="AE65">
        <f>VLOOKUP($A65,'UN Treasury'!$A$1:$BQ$224,_xlfn.XMATCH(AE$1,'UN Treasury'!$A$1:$BQ$1,-1,1),FALSE)</f>
        <v>137</v>
      </c>
      <c r="AF65">
        <f>VLOOKUP($A65,'UN Treasury'!$A$1:$BQ$224,_xlfn.XMATCH(AF$1,'UN Treasury'!$A$1:$BQ$1,-1,1),FALSE)</f>
        <v>156.5</v>
      </c>
      <c r="AG65">
        <f>VLOOKUP($A65,'UN Treasury'!$A$1:$BQ$224,_xlfn.XMATCH(AG$1,'UN Treasury'!$A$1:$BQ$1,-1,1),FALSE)</f>
        <v>159.25</v>
      </c>
      <c r="AH65">
        <f>VLOOKUP($A65,'UN Treasury'!$A$1:$BQ$224,_xlfn.XMATCH(AH$1,'UN Treasury'!$A$1:$BQ$1,-1,1),FALSE)</f>
        <v>153.30000000000001</v>
      </c>
      <c r="AI65">
        <f>VLOOKUP($A65,'UN Treasury'!$A$1:$BQ$224,_xlfn.XMATCH(AI$1,'UN Treasury'!$A$1:$BQ$1,-1,1),FALSE)</f>
        <v>151.44</v>
      </c>
      <c r="AJ65">
        <f>VLOOKUP($A65,'UN Treasury'!$A$1:$BQ$224,_xlfn.XMATCH(AJ$1,'UN Treasury'!$A$1:$BQ$1,-1,1),FALSE)</f>
        <v>148.87</v>
      </c>
      <c r="AK65">
        <f>VLOOKUP($A65,'UN Treasury'!$A$1:$BQ$224,_xlfn.XMATCH(AK$1,'UN Treasury'!$A$1:$BQ$1,-1,1),FALSE)</f>
        <v>146.46</v>
      </c>
      <c r="AL65">
        <f>VLOOKUP($A65,'UN Treasury'!$A$1:$BQ$224,_xlfn.XMATCH(AL$1,'UN Treasury'!$A$1:$BQ$1,-1,1),FALSE)</f>
        <v>143.49</v>
      </c>
      <c r="AM65">
        <f>VLOOKUP($A65,'UN Treasury'!$A$1:$BQ$224,_xlfn.XMATCH(AM$1,'UN Treasury'!$A$1:$BQ$1,-1,1),FALSE)</f>
        <v>141.11000000000001</v>
      </c>
      <c r="AN65">
        <f>VLOOKUP($A65,'UN Treasury'!$A$1:$BQ$224,_xlfn.XMATCH(AN$1,'UN Treasury'!$A$1:$BQ$1,-1,1),FALSE)</f>
        <v>139.41</v>
      </c>
      <c r="AO65">
        <f>VLOOKUP($A65,'UN Treasury'!$A$1:$BQ$224,_xlfn.XMATCH(AO$1,'UN Treasury'!$A$1:$BQ$1,-1,1),FALSE)</f>
        <v>136.77000000000001</v>
      </c>
      <c r="AP65">
        <f>VLOOKUP($A65,'UN Treasury'!$A$1:$BQ$224,_xlfn.XMATCH(AP$1,'UN Treasury'!$A$1:$BQ$1,-1,1),FALSE)</f>
        <v>133.80000000000001</v>
      </c>
      <c r="AQ65">
        <f>VLOOKUP($A65,'UN Treasury'!$A$1:$BQ$224,_xlfn.XMATCH(AQ$1,'UN Treasury'!$A$1:$BQ$1,-1,1),FALSE)</f>
        <v>129.24</v>
      </c>
      <c r="AR65">
        <f>VLOOKUP($A65,'UN Treasury'!$A$1:$BQ$224,_xlfn.XMATCH(AR$1,'UN Treasury'!$A$1:$BQ$1,-1,1),FALSE)</f>
        <v>125.09</v>
      </c>
      <c r="AS65">
        <f>VLOOKUP($A65,'UN Treasury'!$A$1:$BQ$224,_xlfn.XMATCH(AS$1,'UN Treasury'!$A$1:$BQ$1,-1,1),FALSE)</f>
        <v>123.55</v>
      </c>
      <c r="AT65">
        <f>VLOOKUP($A65,'UN Treasury'!$A$1:$BQ$224,_xlfn.XMATCH(AT$1,'UN Treasury'!$A$1:$BQ$1,-1,1),FALSE)</f>
        <v>122.74</v>
      </c>
      <c r="AU65">
        <f>VLOOKUP($A65,'UN Treasury'!$A$1:$BQ$224,_xlfn.XMATCH(AU$1,'UN Treasury'!$A$1:$BQ$1,-1,1),FALSE)</f>
        <v>121.68</v>
      </c>
      <c r="AV65">
        <f>VLOOKUP($A65,'UN Treasury'!$A$1:$BQ$224,_xlfn.XMATCH(AV$1,'UN Treasury'!$A$1:$BQ$1,-1,1),FALSE)</f>
        <v>120.77</v>
      </c>
      <c r="AW65">
        <f>VLOOKUP($A65,'UN Treasury'!$A$1:$BQ$224,_xlfn.XMATCH(AW$1,'UN Treasury'!$A$1:$BQ$1,-1,1),FALSE)</f>
        <v>120.24</v>
      </c>
      <c r="AX65">
        <f>VLOOKUP($A65,'UN Treasury'!$A$1:$BQ$224,_xlfn.XMATCH(AX$1,'UN Treasury'!$A$1:$BQ$1,-1,1),FALSE)</f>
        <v>119.23</v>
      </c>
      <c r="AY65">
        <f>VLOOKUP($A65,'UN Treasury'!$A$1:$BQ$224,_xlfn.XMATCH(AY$1,'UN Treasury'!$A$1:$BQ$1,-1,1),FALSE)</f>
        <v>118.13</v>
      </c>
      <c r="AZ65">
        <f>VLOOKUP($A65,'UN Treasury'!$A$1:$BQ$224,_xlfn.XMATCH(AZ$1,'UN Treasury'!$A$1:$BQ$1,-1,1),FALSE)</f>
        <v>116.98</v>
      </c>
      <c r="BA65">
        <f>VLOOKUP($A65,'UN Treasury'!$A$1:$BQ$224,_xlfn.XMATCH(BA$1,'UN Treasury'!$A$1:$BQ$1,-1,1),FALSE)</f>
        <v>116</v>
      </c>
      <c r="BB65">
        <f>VLOOKUP($A65,'UN Treasury'!$A$1:$BQ$224,_xlfn.XMATCH(BB$1,'UN Treasury'!$A$1:$BQ$1,-1,1),FALSE)</f>
        <v>115.28</v>
      </c>
      <c r="BC65">
        <f>VLOOKUP($A65,'UN Treasury'!$A$1:$BQ$224,_xlfn.XMATCH(BC$1,'UN Treasury'!$A$1:$BQ$1,-1,1),FALSE)</f>
        <v>114.09</v>
      </c>
      <c r="BD65">
        <f>VLOOKUP($A65,'UN Treasury'!$A$1:$BQ$224,_xlfn.XMATCH(BD$1,'UN Treasury'!$A$1:$BQ$1,-1,1),FALSE)</f>
        <v>113.51</v>
      </c>
      <c r="BE65">
        <f>VLOOKUP($A65,'UN Treasury'!$A$1:$BQ$224,_xlfn.XMATCH(BE$1,'UN Treasury'!$A$1:$BQ$1,-1,1),FALSE)</f>
        <v>113.17</v>
      </c>
      <c r="BF65">
        <f>VLOOKUP($A65,'UN Treasury'!$A$1:$BQ$224,_xlfn.XMATCH(BF$1,'UN Treasury'!$A$1:$BQ$1,-1,1),FALSE)</f>
        <v>112.37</v>
      </c>
      <c r="BG65">
        <f>VLOOKUP($A65,'UN Treasury'!$A$1:$BQ$224,_xlfn.XMATCH(BG$1,'UN Treasury'!$A$1:$BQ$1,-1,1),FALSE)</f>
        <v>111.07</v>
      </c>
      <c r="BH65">
        <f>VLOOKUP($A65,'UN Treasury'!$A$1:$BQ$224,_xlfn.XMATCH(BH$1,'UN Treasury'!$A$1:$BQ$1,-1,1),FALSE)</f>
        <v>110.4</v>
      </c>
      <c r="BI65">
        <f>VLOOKUP($A65,'UN Treasury'!$A$1:$BQ$224,_xlfn.XMATCH(BI$1,'UN Treasury'!$A$1:$BQ$1,-1,1),FALSE)</f>
        <v>109.72</v>
      </c>
      <c r="BJ65">
        <f>VLOOKUP($A65,'UN Treasury'!$A$1:$BQ$224,_xlfn.XMATCH(BJ$1,'UN Treasury'!$A$1:$BQ$1,-1,1),FALSE)</f>
        <v>108.49</v>
      </c>
      <c r="BK65">
        <f>VLOOKUP($A65,'UN Treasury'!$A$1:$BQ$224,_xlfn.XMATCH(BK$1,'UN Treasury'!$A$1:$BQ$1,-1,1),FALSE)</f>
        <v>107.69</v>
      </c>
      <c r="BL65">
        <f>VLOOKUP($A65,'UN Treasury'!$A$1:$BQ$224,_xlfn.XMATCH(BL$1,'UN Treasury'!$A$1:$BQ$1,-1,1),FALSE)</f>
        <v>107.41</v>
      </c>
      <c r="BM65">
        <f>VLOOKUP($A65,'UN Treasury'!$A$1:$BQ$224,_xlfn.XMATCH(BM$1,'UN Treasury'!$A$1:$BQ$1,-1,1),FALSE)</f>
        <v>107.73</v>
      </c>
      <c r="BN65">
        <f>VLOOKUP($A65,'UN Treasury'!$A$1:$BQ$224,_xlfn.XMATCH(BN$1,'UN Treasury'!$A$1:$BQ$1,-1,1),FALSE)</f>
        <v>109.46</v>
      </c>
      <c r="BO65">
        <f>VLOOKUP($A65,'UN Treasury'!$A$1:$BQ$224,_xlfn.XMATCH(BO$1,'UN Treasury'!$A$1:$BQ$1,-1,1),FALSE)</f>
        <v>109.68</v>
      </c>
      <c r="BP65">
        <f>VLOOKUP($A65,'UN Treasury'!$A$1:$BQ$224,_xlfn.XMATCH(BP$1,'UN Treasury'!$A$1:$BQ$1,-1,1),FALSE)</f>
        <v>109.98</v>
      </c>
      <c r="BQ65">
        <f>VLOOKUP($A65,'UN Treasury'!$A$1:$BQ$224,_xlfn.XMATCH(BQ$1,'UN Treasury'!$A$1:$BQ$1,-1,1),FALSE)</f>
        <v>108.94</v>
      </c>
    </row>
    <row r="66" spans="1:69" x14ac:dyDescent="0.25">
      <c r="A66" t="s">
        <v>159</v>
      </c>
      <c r="B66">
        <f>VLOOKUP($A66,'UN Treasury'!$A$1:$BQ$224,_xlfn.XMATCH(B$1,'UN Treasury'!$A$1:$BQ$1,-1,1),FALSE)</f>
        <v>87.453000000000003</v>
      </c>
      <c r="C66">
        <f>VLOOKUP($A66,'UN Treasury'!$A$1:$BQ$224,_xlfn.XMATCH(C$1,'UN Treasury'!$A$1:$BQ$1,-1,1),FALSE)</f>
        <v>87.32</v>
      </c>
      <c r="D66">
        <f>VLOOKUP($A66,'UN Treasury'!$A$1:$BQ$224,_xlfn.XMATCH(D$1,'UN Treasury'!$A$1:$BQ$1,-1,1),FALSE)</f>
        <v>87.44</v>
      </c>
      <c r="E66">
        <f>VLOOKUP($A66,'UN Treasury'!$A$1:$BQ$224,_xlfn.XMATCH(E$1,'UN Treasury'!$A$1:$BQ$1,-1,1),FALSE)</f>
        <v>87.528000000000006</v>
      </c>
      <c r="F66">
        <f>VLOOKUP($A66,'UN Treasury'!$A$1:$BQ$224,_xlfn.XMATCH(F$1,'UN Treasury'!$A$1:$BQ$1,-1,1),FALSE)</f>
        <v>87.745999999999995</v>
      </c>
      <c r="G66">
        <f>VLOOKUP($A66,'UN Treasury'!$A$1:$BQ$224,_xlfn.XMATCH(G$1,'UN Treasury'!$A$1:$BQ$1,-1,1),FALSE)</f>
        <v>87.396000000000001</v>
      </c>
      <c r="H66">
        <f>VLOOKUP($A66,'UN Treasury'!$A$1:$BQ$224,_xlfn.XMATCH(H$1,'UN Treasury'!$A$1:$BQ$1,-1,1),FALSE)</f>
        <v>87.396000000000001</v>
      </c>
      <c r="I66">
        <f>VLOOKUP($A66,'UN Treasury'!$A$1:$BQ$224,_xlfn.XMATCH(I$1,'UN Treasury'!$A$1:$BQ$1,-1,1),FALSE)</f>
        <v>87.358000000000004</v>
      </c>
      <c r="J66">
        <f>VLOOKUP($A66,'UN Treasury'!$A$1:$BQ$224,_xlfn.XMATCH(J$1,'UN Treasury'!$A$1:$BQ$1,-1,1),FALSE)</f>
        <v>87.256</v>
      </c>
      <c r="K66">
        <f>VLOOKUP($A66,'UN Treasury'!$A$1:$BQ$224,_xlfn.XMATCH(K$1,'UN Treasury'!$A$1:$BQ$1,-1,1),FALSE)</f>
        <v>87.2</v>
      </c>
      <c r="L66">
        <f>VLOOKUP($A66,'UN Treasury'!$A$1:$BQ$224,_xlfn.XMATCH(L$1,'UN Treasury'!$A$1:$BQ$1,-1,1),FALSE)</f>
        <v>87.2</v>
      </c>
      <c r="M66">
        <f>VLOOKUP($A66,'UN Treasury'!$A$1:$BQ$224,_xlfn.XMATCH(M$1,'UN Treasury'!$A$1:$BQ$1,-1,1),FALSE)</f>
        <v>87.2</v>
      </c>
      <c r="N66">
        <f>VLOOKUP($A66,'UN Treasury'!$A$1:$BQ$224,_xlfn.XMATCH(N$1,'UN Treasury'!$A$1:$BQ$1,-1,1),FALSE)</f>
        <v>87.1</v>
      </c>
      <c r="O66">
        <f>VLOOKUP($A66,'UN Treasury'!$A$1:$BQ$224,_xlfn.XMATCH(O$1,'UN Treasury'!$A$1:$BQ$1,-1,1),FALSE)</f>
        <v>87.15</v>
      </c>
      <c r="P66">
        <f>VLOOKUP($A66,'UN Treasury'!$A$1:$BQ$224,_xlfn.XMATCH(P$1,'UN Treasury'!$A$1:$BQ$1,-1,1),FALSE)</f>
        <v>87.25</v>
      </c>
      <c r="Q66">
        <f>VLOOKUP($A66,'UN Treasury'!$A$1:$BQ$224,_xlfn.XMATCH(Q$1,'UN Treasury'!$A$1:$BQ$1,-1,1),FALSE)</f>
        <v>87.2</v>
      </c>
      <c r="R66">
        <f>VLOOKUP($A66,'UN Treasury'!$A$1:$BQ$224,_xlfn.XMATCH(R$1,'UN Treasury'!$A$1:$BQ$1,-1,1),FALSE)</f>
        <v>86.5</v>
      </c>
      <c r="S66">
        <f>VLOOKUP($A66,'UN Treasury'!$A$1:$BQ$224,_xlfn.XMATCH(S$1,'UN Treasury'!$A$1:$BQ$1,-1,1),FALSE)</f>
        <v>87.2</v>
      </c>
      <c r="T66">
        <f>VLOOKUP($A66,'UN Treasury'!$A$1:$BQ$224,_xlfn.XMATCH(T$1,'UN Treasury'!$A$1:$BQ$1,-1,1),FALSE)</f>
        <v>87.2</v>
      </c>
      <c r="U66">
        <f>VLOOKUP($A66,'UN Treasury'!$A$1:$BQ$224,_xlfn.XMATCH(U$1,'UN Treasury'!$A$1:$BQ$1,-1,1),FALSE)</f>
        <v>86.75</v>
      </c>
      <c r="V66">
        <f>VLOOKUP($A66,'UN Treasury'!$A$1:$BQ$224,_xlfn.XMATCH(V$1,'UN Treasury'!$A$1:$BQ$1,-1,1),FALSE)</f>
        <v>86.6</v>
      </c>
      <c r="W66">
        <f>VLOOKUP($A66,'UN Treasury'!$A$1:$BQ$224,_xlfn.XMATCH(W$1,'UN Treasury'!$A$1:$BQ$1,-1,1),FALSE)</f>
        <v>85.6</v>
      </c>
      <c r="X66">
        <f>VLOOKUP($A66,'UN Treasury'!$A$1:$BQ$224,_xlfn.XMATCH(X$1,'UN Treasury'!$A$1:$BQ$1,-1,1),FALSE)</f>
        <v>84</v>
      </c>
      <c r="Y66">
        <f>VLOOKUP($A66,'UN Treasury'!$A$1:$BQ$224,_xlfn.XMATCH(Y$1,'UN Treasury'!$A$1:$BQ$1,-1,1),FALSE)</f>
        <v>83.92</v>
      </c>
      <c r="Z66">
        <f>VLOOKUP($A66,'UN Treasury'!$A$1:$BQ$224,_xlfn.XMATCH(Z$1,'UN Treasury'!$A$1:$BQ$1,-1,1),FALSE)</f>
        <v>84.3</v>
      </c>
      <c r="AA66">
        <f>VLOOKUP($A66,'UN Treasury'!$A$1:$BQ$224,_xlfn.XMATCH(AA$1,'UN Treasury'!$A$1:$BQ$1,-1,1),FALSE)</f>
        <v>85.6</v>
      </c>
      <c r="AB66">
        <f>VLOOKUP($A66,'UN Treasury'!$A$1:$BQ$224,_xlfn.XMATCH(AB$1,'UN Treasury'!$A$1:$BQ$1,-1,1),FALSE)</f>
        <v>86.8</v>
      </c>
      <c r="AC66">
        <f>VLOOKUP($A66,'UN Treasury'!$A$1:$BQ$224,_xlfn.XMATCH(AC$1,'UN Treasury'!$A$1:$BQ$1,-1,1),FALSE)</f>
        <v>88.1</v>
      </c>
      <c r="AD66">
        <f>VLOOKUP($A66,'UN Treasury'!$A$1:$BQ$224,_xlfn.XMATCH(AD$1,'UN Treasury'!$A$1:$BQ$1,-1,1),FALSE)</f>
        <v>89.168000000000006</v>
      </c>
      <c r="AE66">
        <f>VLOOKUP($A66,'UN Treasury'!$A$1:$BQ$224,_xlfn.XMATCH(AE$1,'UN Treasury'!$A$1:$BQ$1,-1,1),FALSE)</f>
        <v>88.9</v>
      </c>
      <c r="AF66">
        <f>VLOOKUP($A66,'UN Treasury'!$A$1:$BQ$224,_xlfn.XMATCH(AF$1,'UN Treasury'!$A$1:$BQ$1,-1,1),FALSE)</f>
        <v>88.8</v>
      </c>
      <c r="AG66">
        <f>VLOOKUP($A66,'UN Treasury'!$A$1:$BQ$224,_xlfn.XMATCH(AG$1,'UN Treasury'!$A$1:$BQ$1,-1,1),FALSE)</f>
        <v>88.7</v>
      </c>
      <c r="AH66">
        <f>VLOOKUP($A66,'UN Treasury'!$A$1:$BQ$224,_xlfn.XMATCH(AH$1,'UN Treasury'!$A$1:$BQ$1,-1,1),FALSE)</f>
        <v>88.7</v>
      </c>
      <c r="AI66">
        <f>VLOOKUP($A66,'UN Treasury'!$A$1:$BQ$224,_xlfn.XMATCH(AI$1,'UN Treasury'!$A$1:$BQ$1,-1,1),FALSE)</f>
        <v>88.5</v>
      </c>
      <c r="AJ66">
        <f>VLOOKUP($A66,'UN Treasury'!$A$1:$BQ$224,_xlfn.XMATCH(AJ$1,'UN Treasury'!$A$1:$BQ$1,-1,1),FALSE)</f>
        <v>88.2</v>
      </c>
      <c r="AK66">
        <f>VLOOKUP($A66,'UN Treasury'!$A$1:$BQ$224,_xlfn.XMATCH(AK$1,'UN Treasury'!$A$1:$BQ$1,-1,1),FALSE)</f>
        <v>87.7</v>
      </c>
      <c r="AL66">
        <f>VLOOKUP($A66,'UN Treasury'!$A$1:$BQ$224,_xlfn.XMATCH(AL$1,'UN Treasury'!$A$1:$BQ$1,-1,1),FALSE)</f>
        <v>87.856999999999999</v>
      </c>
      <c r="AM66">
        <f>VLOOKUP($A66,'UN Treasury'!$A$1:$BQ$224,_xlfn.XMATCH(AM$1,'UN Treasury'!$A$1:$BQ$1,-1,1),FALSE)</f>
        <v>87.694000000000003</v>
      </c>
      <c r="AN66">
        <f>VLOOKUP($A66,'UN Treasury'!$A$1:$BQ$224,_xlfn.XMATCH(AN$1,'UN Treasury'!$A$1:$BQ$1,-1,1),FALSE)</f>
        <v>87</v>
      </c>
      <c r="AO66">
        <f>VLOOKUP($A66,'UN Treasury'!$A$1:$BQ$224,_xlfn.XMATCH(AO$1,'UN Treasury'!$A$1:$BQ$1,-1,1),FALSE)</f>
        <v>87.57</v>
      </c>
      <c r="AP66">
        <f>VLOOKUP($A66,'UN Treasury'!$A$1:$BQ$224,_xlfn.XMATCH(AP$1,'UN Treasury'!$A$1:$BQ$1,-1,1),FALSE)</f>
        <v>87.483000000000004</v>
      </c>
      <c r="AQ66">
        <f>VLOOKUP($A66,'UN Treasury'!$A$1:$BQ$224,_xlfn.XMATCH(AQ$1,'UN Treasury'!$A$1:$BQ$1,-1,1),FALSE)</f>
        <v>86.7</v>
      </c>
      <c r="AR66">
        <f>VLOOKUP($A66,'UN Treasury'!$A$1:$BQ$224,_xlfn.XMATCH(AR$1,'UN Treasury'!$A$1:$BQ$1,-1,1),FALSE)</f>
        <v>85.7</v>
      </c>
      <c r="AS66">
        <f>VLOOKUP($A66,'UN Treasury'!$A$1:$BQ$224,_xlfn.XMATCH(AS$1,'UN Treasury'!$A$1:$BQ$1,-1,1),FALSE)</f>
        <v>85.2</v>
      </c>
      <c r="AT66">
        <f>VLOOKUP($A66,'UN Treasury'!$A$1:$BQ$224,_xlfn.XMATCH(AT$1,'UN Treasury'!$A$1:$BQ$1,-1,1),FALSE)</f>
        <v>84</v>
      </c>
      <c r="AU66">
        <f>VLOOKUP($A66,'UN Treasury'!$A$1:$BQ$224,_xlfn.XMATCH(AU$1,'UN Treasury'!$A$1:$BQ$1,-1,1),FALSE)</f>
        <v>83</v>
      </c>
      <c r="AV66">
        <f>VLOOKUP($A66,'UN Treasury'!$A$1:$BQ$224,_xlfn.XMATCH(AV$1,'UN Treasury'!$A$1:$BQ$1,-1,1),FALSE)</f>
        <v>81.5</v>
      </c>
      <c r="AW66">
        <f>VLOOKUP($A66,'UN Treasury'!$A$1:$BQ$224,_xlfn.XMATCH(AW$1,'UN Treasury'!$A$1:$BQ$1,-1,1),FALSE)</f>
        <v>82.5</v>
      </c>
      <c r="AX66">
        <f>VLOOKUP($A66,'UN Treasury'!$A$1:$BQ$224,_xlfn.XMATCH(AX$1,'UN Treasury'!$A$1:$BQ$1,-1,1),FALSE)</f>
        <v>82.5</v>
      </c>
      <c r="AY66">
        <f>VLOOKUP($A66,'UN Treasury'!$A$1:$BQ$224,_xlfn.XMATCH(AY$1,'UN Treasury'!$A$1:$BQ$1,-1,1),FALSE)</f>
        <v>81.290000000000006</v>
      </c>
      <c r="AZ66">
        <f>VLOOKUP($A66,'UN Treasury'!$A$1:$BQ$224,_xlfn.XMATCH(AZ$1,'UN Treasury'!$A$1:$BQ$1,-1,1),FALSE)</f>
        <v>81.251000000000005</v>
      </c>
      <c r="BA66">
        <f>VLOOKUP($A66,'UN Treasury'!$A$1:$BQ$224,_xlfn.XMATCH(BA$1,'UN Treasury'!$A$1:$BQ$1,-1,1),FALSE)</f>
        <v>84</v>
      </c>
      <c r="BB66">
        <f>VLOOKUP($A66,'UN Treasury'!$A$1:$BQ$224,_xlfn.XMATCH(BB$1,'UN Treasury'!$A$1:$BQ$1,-1,1),FALSE)</f>
        <v>87</v>
      </c>
      <c r="BC66">
        <f>VLOOKUP($A66,'UN Treasury'!$A$1:$BQ$224,_xlfn.XMATCH(BC$1,'UN Treasury'!$A$1:$BQ$1,-1,1),FALSE)</f>
        <v>103</v>
      </c>
      <c r="BD66">
        <f>VLOOKUP($A66,'UN Treasury'!$A$1:$BQ$224,_xlfn.XMATCH(BD$1,'UN Treasury'!$A$1:$BQ$1,-1,1),FALSE)</f>
        <v>84.5</v>
      </c>
      <c r="BE66">
        <f>VLOOKUP($A66,'UN Treasury'!$A$1:$BQ$224,_xlfn.XMATCH(BE$1,'UN Treasury'!$A$1:$BQ$1,-1,1),FALSE)</f>
        <v>84.5</v>
      </c>
      <c r="BF66">
        <f>VLOOKUP($A66,'UN Treasury'!$A$1:$BQ$224,_xlfn.XMATCH(BF$1,'UN Treasury'!$A$1:$BQ$1,-1,1),FALSE)</f>
        <v>84.5</v>
      </c>
      <c r="BG66">
        <f>VLOOKUP($A66,'UN Treasury'!$A$1:$BQ$224,_xlfn.XMATCH(BG$1,'UN Treasury'!$A$1:$BQ$1,-1,1),FALSE)</f>
        <v>84.5</v>
      </c>
      <c r="BH66">
        <f>VLOOKUP($A66,'UN Treasury'!$A$1:$BQ$224,_xlfn.XMATCH(BH$1,'UN Treasury'!$A$1:$BQ$1,-1,1),FALSE)</f>
        <v>84.5</v>
      </c>
      <c r="BI66">
        <f>VLOOKUP($A66,'UN Treasury'!$A$1:$BQ$224,_xlfn.XMATCH(BI$1,'UN Treasury'!$A$1:$BQ$1,-1,1),FALSE)</f>
        <v>84.4</v>
      </c>
      <c r="BJ66">
        <f>VLOOKUP($A66,'UN Treasury'!$A$1:$BQ$224,_xlfn.XMATCH(BJ$1,'UN Treasury'!$A$1:$BQ$1,-1,1),FALSE)</f>
        <v>84.5</v>
      </c>
      <c r="BK66">
        <f>VLOOKUP($A66,'UN Treasury'!$A$1:$BQ$224,_xlfn.XMATCH(BK$1,'UN Treasury'!$A$1:$BQ$1,-1,1),FALSE)</f>
        <v>84.2</v>
      </c>
      <c r="BL66">
        <f>VLOOKUP($A66,'UN Treasury'!$A$1:$BQ$224,_xlfn.XMATCH(BL$1,'UN Treasury'!$A$1:$BQ$1,-1,1),FALSE)</f>
        <v>84.6</v>
      </c>
      <c r="BM66">
        <f>VLOOKUP($A66,'UN Treasury'!$A$1:$BQ$224,_xlfn.XMATCH(BM$1,'UN Treasury'!$A$1:$BQ$1,-1,1),FALSE)</f>
        <v>84.6</v>
      </c>
      <c r="BN66">
        <f>VLOOKUP($A66,'UN Treasury'!$A$1:$BQ$224,_xlfn.XMATCH(BN$1,'UN Treasury'!$A$1:$BQ$1,-1,1),FALSE)</f>
        <v>84.4</v>
      </c>
      <c r="BO66">
        <f>VLOOKUP($A66,'UN Treasury'!$A$1:$BQ$224,_xlfn.XMATCH(BO$1,'UN Treasury'!$A$1:$BQ$1,-1,1),FALSE)</f>
        <v>84.3</v>
      </c>
      <c r="BP66">
        <f>VLOOKUP($A66,'UN Treasury'!$A$1:$BQ$224,_xlfn.XMATCH(BP$1,'UN Treasury'!$A$1:$BQ$1,-1,1),FALSE)</f>
        <v>84.3</v>
      </c>
      <c r="BQ66">
        <f>VLOOKUP($A66,'UN Treasury'!$A$1:$BQ$224,_xlfn.XMATCH(BQ$1,'UN Treasury'!$A$1:$BQ$1,-1,1),FALSE)</f>
        <v>84.6</v>
      </c>
    </row>
    <row r="67" spans="1:69" x14ac:dyDescent="0.25">
      <c r="A67" t="s">
        <v>82</v>
      </c>
      <c r="B67">
        <f>VLOOKUP($A67,'UN Treasury'!$A$1:$BQ$224,_xlfn.XMATCH(B$1,'UN Treasury'!$A$1:$BQ$1,-1,1),FALSE)</f>
        <v>4039</v>
      </c>
      <c r="C67">
        <f>VLOOKUP($A67,'UN Treasury'!$A$1:$BQ$224,_xlfn.XMATCH(C$1,'UN Treasury'!$A$1:$BQ$1,-1,1),FALSE)</f>
        <v>4029</v>
      </c>
      <c r="D67">
        <f>VLOOKUP($A67,'UN Treasury'!$A$1:$BQ$224,_xlfn.XMATCH(D$1,'UN Treasury'!$A$1:$BQ$1,-1,1),FALSE)</f>
        <v>4019</v>
      </c>
      <c r="E67">
        <f>VLOOKUP($A67,'UN Treasury'!$A$1:$BQ$224,_xlfn.XMATCH(E$1,'UN Treasury'!$A$1:$BQ$1,-1,1),FALSE)</f>
        <v>4003.9969999999998</v>
      </c>
      <c r="F67">
        <f>VLOOKUP($A67,'UN Treasury'!$A$1:$BQ$224,_xlfn.XMATCH(F$1,'UN Treasury'!$A$1:$BQ$1,-1,1),FALSE)</f>
        <v>3994.5</v>
      </c>
      <c r="G67">
        <f>VLOOKUP($A67,'UN Treasury'!$A$1:$BQ$224,_xlfn.XMATCH(G$1,'UN Treasury'!$A$1:$BQ$1,-1,1),FALSE)</f>
        <v>4003</v>
      </c>
      <c r="H67">
        <f>VLOOKUP($A67,'UN Treasury'!$A$1:$BQ$224,_xlfn.XMATCH(H$1,'UN Treasury'!$A$1:$BQ$1,-1,1),FALSE)</f>
        <v>4015</v>
      </c>
      <c r="I67">
        <f>VLOOKUP($A67,'UN Treasury'!$A$1:$BQ$224,_xlfn.XMATCH(I$1,'UN Treasury'!$A$1:$BQ$1,-1,1),FALSE)</f>
        <v>4008.5</v>
      </c>
      <c r="J67">
        <f>VLOOKUP($A67,'UN Treasury'!$A$1:$BQ$224,_xlfn.XMATCH(J$1,'UN Treasury'!$A$1:$BQ$1,-1,1),FALSE)</f>
        <v>4002</v>
      </c>
      <c r="K67">
        <f>VLOOKUP($A67,'UN Treasury'!$A$1:$BQ$224,_xlfn.XMATCH(K$1,'UN Treasury'!$A$1:$BQ$1,-1,1),FALSE)</f>
        <v>4015</v>
      </c>
      <c r="L67">
        <f>VLOOKUP($A67,'UN Treasury'!$A$1:$BQ$224,_xlfn.XMATCH(L$1,'UN Treasury'!$A$1:$BQ$1,-1,1),FALSE)</f>
        <v>4018</v>
      </c>
      <c r="M67">
        <f>VLOOKUP($A67,'UN Treasury'!$A$1:$BQ$224,_xlfn.XMATCH(M$1,'UN Treasury'!$A$1:$BQ$1,-1,1),FALSE)</f>
        <v>4005</v>
      </c>
      <c r="N67">
        <f>VLOOKUP($A67,'UN Treasury'!$A$1:$BQ$224,_xlfn.XMATCH(N$1,'UN Treasury'!$A$1:$BQ$1,-1,1),FALSE)</f>
        <v>4000</v>
      </c>
      <c r="O67">
        <f>VLOOKUP($A67,'UN Treasury'!$A$1:$BQ$224,_xlfn.XMATCH(O$1,'UN Treasury'!$A$1:$BQ$1,-1,1),FALSE)</f>
        <v>4009</v>
      </c>
      <c r="P67">
        <f>VLOOKUP($A67,'UN Treasury'!$A$1:$BQ$224,_xlfn.XMATCH(P$1,'UN Treasury'!$A$1:$BQ$1,-1,1),FALSE)</f>
        <v>4010</v>
      </c>
      <c r="Q67">
        <f>VLOOKUP($A67,'UN Treasury'!$A$1:$BQ$224,_xlfn.XMATCH(Q$1,'UN Treasury'!$A$1:$BQ$1,-1,1),FALSE)</f>
        <v>4000</v>
      </c>
      <c r="R67">
        <f>VLOOKUP($A67,'UN Treasury'!$A$1:$BQ$224,_xlfn.XMATCH(R$1,'UN Treasury'!$A$1:$BQ$1,-1,1),FALSE)</f>
        <v>3996</v>
      </c>
      <c r="S67">
        <f>VLOOKUP($A67,'UN Treasury'!$A$1:$BQ$224,_xlfn.XMATCH(S$1,'UN Treasury'!$A$1:$BQ$1,-1,1),FALSE)</f>
        <v>4000</v>
      </c>
      <c r="T67">
        <f>VLOOKUP($A67,'UN Treasury'!$A$1:$BQ$224,_xlfn.XMATCH(T$1,'UN Treasury'!$A$1:$BQ$1,-1,1),FALSE)</f>
        <v>4007</v>
      </c>
      <c r="U67">
        <f>VLOOKUP($A67,'UN Treasury'!$A$1:$BQ$224,_xlfn.XMATCH(U$1,'UN Treasury'!$A$1:$BQ$1,-1,1),FALSE)</f>
        <v>4032</v>
      </c>
      <c r="V67">
        <f>VLOOKUP($A67,'UN Treasury'!$A$1:$BQ$224,_xlfn.XMATCH(V$1,'UN Treasury'!$A$1:$BQ$1,-1,1),FALSE)</f>
        <v>4023</v>
      </c>
      <c r="W67">
        <f>VLOOKUP($A67,'UN Treasury'!$A$1:$BQ$224,_xlfn.XMATCH(W$1,'UN Treasury'!$A$1:$BQ$1,-1,1),FALSE)</f>
        <v>4058</v>
      </c>
      <c r="X67">
        <f>VLOOKUP($A67,'UN Treasury'!$A$1:$BQ$224,_xlfn.XMATCH(X$1,'UN Treasury'!$A$1:$BQ$1,-1,1),FALSE)</f>
        <v>4055</v>
      </c>
      <c r="Y67">
        <f>VLOOKUP($A67,'UN Treasury'!$A$1:$BQ$224,_xlfn.XMATCH(Y$1,'UN Treasury'!$A$1:$BQ$1,-1,1),FALSE)</f>
        <v>4072.0010000000002</v>
      </c>
      <c r="Z67">
        <f>VLOOKUP($A67,'UN Treasury'!$A$1:$BQ$224,_xlfn.XMATCH(Z$1,'UN Treasury'!$A$1:$BQ$1,-1,1),FALSE)</f>
        <v>4104</v>
      </c>
      <c r="AA67">
        <f>VLOOKUP($A67,'UN Treasury'!$A$1:$BQ$224,_xlfn.XMATCH(AA$1,'UN Treasury'!$A$1:$BQ$1,-1,1),FALSE)</f>
        <v>4112</v>
      </c>
      <c r="AB67">
        <f>VLOOKUP($A67,'UN Treasury'!$A$1:$BQ$224,_xlfn.XMATCH(AB$1,'UN Treasury'!$A$1:$BQ$1,-1,1),FALSE)</f>
        <v>4106</v>
      </c>
      <c r="AC67">
        <f>VLOOKUP($A67,'UN Treasury'!$A$1:$BQ$224,_xlfn.XMATCH(AC$1,'UN Treasury'!$A$1:$BQ$1,-1,1),FALSE)</f>
        <v>4073</v>
      </c>
      <c r="AD67">
        <f>VLOOKUP($A67,'UN Treasury'!$A$1:$BQ$224,_xlfn.XMATCH(AD$1,'UN Treasury'!$A$1:$BQ$1,-1,1),FALSE)</f>
        <v>4039</v>
      </c>
      <c r="AE67">
        <f>VLOOKUP($A67,'UN Treasury'!$A$1:$BQ$224,_xlfn.XMATCH(AE$1,'UN Treasury'!$A$1:$BQ$1,-1,1),FALSE)</f>
        <v>4041</v>
      </c>
      <c r="AF67">
        <f>VLOOKUP($A67,'UN Treasury'!$A$1:$BQ$224,_xlfn.XMATCH(AF$1,'UN Treasury'!$A$1:$BQ$1,-1,1),FALSE)</f>
        <v>4076</v>
      </c>
      <c r="AG67">
        <f>VLOOKUP($A67,'UN Treasury'!$A$1:$BQ$224,_xlfn.XMATCH(AG$1,'UN Treasury'!$A$1:$BQ$1,-1,1),FALSE)</f>
        <v>4093</v>
      </c>
      <c r="AH67">
        <f>VLOOKUP($A67,'UN Treasury'!$A$1:$BQ$224,_xlfn.XMATCH(AH$1,'UN Treasury'!$A$1:$BQ$1,-1,1),FALSE)</f>
        <v>4112</v>
      </c>
      <c r="AI67">
        <f>VLOOKUP($A67,'UN Treasury'!$A$1:$BQ$224,_xlfn.XMATCH(AI$1,'UN Treasury'!$A$1:$BQ$1,-1,1),FALSE)</f>
        <v>4121</v>
      </c>
      <c r="AJ67">
        <f>VLOOKUP($A67,'UN Treasury'!$A$1:$BQ$224,_xlfn.XMATCH(AJ$1,'UN Treasury'!$A$1:$BQ$1,-1,1),FALSE)</f>
        <v>4126</v>
      </c>
      <c r="AK67">
        <f>VLOOKUP($A67,'UN Treasury'!$A$1:$BQ$224,_xlfn.XMATCH(AK$1,'UN Treasury'!$A$1:$BQ$1,-1,1),FALSE)</f>
        <v>4138</v>
      </c>
      <c r="AL67">
        <f>VLOOKUP($A67,'UN Treasury'!$A$1:$BQ$224,_xlfn.XMATCH(AL$1,'UN Treasury'!$A$1:$BQ$1,-1,1),FALSE)</f>
        <v>4123</v>
      </c>
      <c r="AM67">
        <f>VLOOKUP($A67,'UN Treasury'!$A$1:$BQ$224,_xlfn.XMATCH(AM$1,'UN Treasury'!$A$1:$BQ$1,-1,1),FALSE)</f>
        <v>4121</v>
      </c>
      <c r="AN67">
        <f>VLOOKUP($A67,'UN Treasury'!$A$1:$BQ$224,_xlfn.XMATCH(AN$1,'UN Treasury'!$A$1:$BQ$1,-1,1),FALSE)</f>
        <v>4106</v>
      </c>
      <c r="AO67">
        <f>VLOOKUP($A67,'UN Treasury'!$A$1:$BQ$224,_xlfn.XMATCH(AO$1,'UN Treasury'!$A$1:$BQ$1,-1,1),FALSE)</f>
        <v>4066</v>
      </c>
      <c r="AP67">
        <f>VLOOKUP($A67,'UN Treasury'!$A$1:$BQ$224,_xlfn.XMATCH(AP$1,'UN Treasury'!$A$1:$BQ$1,-1,1),FALSE)</f>
        <v>4050</v>
      </c>
      <c r="AQ67">
        <f>VLOOKUP($A67,'UN Treasury'!$A$1:$BQ$224,_xlfn.XMATCH(AQ$1,'UN Treasury'!$A$1:$BQ$1,-1,1),FALSE)</f>
        <v>4031</v>
      </c>
      <c r="AR67">
        <f>VLOOKUP($A67,'UN Treasury'!$A$1:$BQ$224,_xlfn.XMATCH(AR$1,'UN Treasury'!$A$1:$BQ$1,-1,1),FALSE)</f>
        <v>4112</v>
      </c>
      <c r="AS67">
        <f>VLOOKUP($A67,'UN Treasury'!$A$1:$BQ$224,_xlfn.XMATCH(AS$1,'UN Treasury'!$A$1:$BQ$1,-1,1),FALSE)</f>
        <v>4110</v>
      </c>
      <c r="AT67">
        <f>VLOOKUP($A67,'UN Treasury'!$A$1:$BQ$224,_xlfn.XMATCH(AT$1,'UN Treasury'!$A$1:$BQ$1,-1,1),FALSE)</f>
        <v>4130</v>
      </c>
      <c r="AU67">
        <f>VLOOKUP($A67,'UN Treasury'!$A$1:$BQ$224,_xlfn.XMATCH(AU$1,'UN Treasury'!$A$1:$BQ$1,-1,1),FALSE)</f>
        <v>4130</v>
      </c>
      <c r="AV67">
        <f>VLOOKUP($A67,'UN Treasury'!$A$1:$BQ$224,_xlfn.XMATCH(AV$1,'UN Treasury'!$A$1:$BQ$1,-1,1),FALSE)</f>
        <v>4110</v>
      </c>
      <c r="AW67">
        <f>VLOOKUP($A67,'UN Treasury'!$A$1:$BQ$224,_xlfn.XMATCH(AW$1,'UN Treasury'!$A$1:$BQ$1,-1,1),FALSE)</f>
        <v>4097</v>
      </c>
      <c r="AX67">
        <f>VLOOKUP($A67,'UN Treasury'!$A$1:$BQ$224,_xlfn.XMATCH(AX$1,'UN Treasury'!$A$1:$BQ$1,-1,1),FALSE)</f>
        <v>4092</v>
      </c>
      <c r="AY67">
        <f>VLOOKUP($A67,'UN Treasury'!$A$1:$BQ$224,_xlfn.XMATCH(AY$1,'UN Treasury'!$A$1:$BQ$1,-1,1),FALSE)</f>
        <v>4072.5010000000002</v>
      </c>
      <c r="AZ67">
        <f>VLOOKUP($A67,'UN Treasury'!$A$1:$BQ$224,_xlfn.XMATCH(AZ$1,'UN Treasury'!$A$1:$BQ$1,-1,1),FALSE)</f>
        <v>4071.7510000000002</v>
      </c>
      <c r="BA67">
        <f>VLOOKUP($A67,'UN Treasury'!$A$1:$BQ$224,_xlfn.XMATCH(BA$1,'UN Treasury'!$A$1:$BQ$1,-1,1),FALSE)</f>
        <v>4055</v>
      </c>
      <c r="BB67">
        <f>VLOOKUP($A67,'UN Treasury'!$A$1:$BQ$224,_xlfn.XMATCH(BB$1,'UN Treasury'!$A$1:$BQ$1,-1,1),FALSE)</f>
        <v>4050</v>
      </c>
      <c r="BC67">
        <f>VLOOKUP($A67,'UN Treasury'!$A$1:$BQ$224,_xlfn.XMATCH(BC$1,'UN Treasury'!$A$1:$BQ$1,-1,1),FALSE)</f>
        <v>4085</v>
      </c>
      <c r="BD67">
        <f>VLOOKUP($A67,'UN Treasury'!$A$1:$BQ$224,_xlfn.XMATCH(BD$1,'UN Treasury'!$A$1:$BQ$1,-1,1),FALSE)</f>
        <v>4060</v>
      </c>
      <c r="BE67">
        <f>VLOOKUP($A67,'UN Treasury'!$A$1:$BQ$224,_xlfn.XMATCH(BE$1,'UN Treasury'!$A$1:$BQ$1,-1,1),FALSE)</f>
        <v>4080</v>
      </c>
      <c r="BF67">
        <f>VLOOKUP($A67,'UN Treasury'!$A$1:$BQ$224,_xlfn.XMATCH(BF$1,'UN Treasury'!$A$1:$BQ$1,-1,1),FALSE)</f>
        <v>4080</v>
      </c>
      <c r="BG67">
        <f>VLOOKUP($A67,'UN Treasury'!$A$1:$BQ$224,_xlfn.XMATCH(BG$1,'UN Treasury'!$A$1:$BQ$1,-1,1),FALSE)</f>
        <v>4098</v>
      </c>
      <c r="BH67">
        <f>VLOOKUP($A67,'UN Treasury'!$A$1:$BQ$224,_xlfn.XMATCH(BH$1,'UN Treasury'!$A$1:$BQ$1,-1,1),FALSE)</f>
        <v>4112</v>
      </c>
      <c r="BI67">
        <f>VLOOKUP($A67,'UN Treasury'!$A$1:$BQ$224,_xlfn.XMATCH(BI$1,'UN Treasury'!$A$1:$BQ$1,-1,1),FALSE)</f>
        <v>4115</v>
      </c>
      <c r="BJ67">
        <f>VLOOKUP($A67,'UN Treasury'!$A$1:$BQ$224,_xlfn.XMATCH(BJ$1,'UN Treasury'!$A$1:$BQ$1,-1,1),FALSE)</f>
        <v>4102</v>
      </c>
      <c r="BK67">
        <f>VLOOKUP($A67,'UN Treasury'!$A$1:$BQ$224,_xlfn.XMATCH(BK$1,'UN Treasury'!$A$1:$BQ$1,-1,1),FALSE)</f>
        <v>4097</v>
      </c>
      <c r="BL67">
        <f>VLOOKUP($A67,'UN Treasury'!$A$1:$BQ$224,_xlfn.XMATCH(BL$1,'UN Treasury'!$A$1:$BQ$1,-1,1),FALSE)</f>
        <v>4098</v>
      </c>
      <c r="BM67">
        <f>VLOOKUP($A67,'UN Treasury'!$A$1:$BQ$224,_xlfn.XMATCH(BM$1,'UN Treasury'!$A$1:$BQ$1,-1,1),FALSE)</f>
        <v>4067</v>
      </c>
      <c r="BN67">
        <f>VLOOKUP($A67,'UN Treasury'!$A$1:$BQ$224,_xlfn.XMATCH(BN$1,'UN Treasury'!$A$1:$BQ$1,-1,1),FALSE)</f>
        <v>4051</v>
      </c>
      <c r="BO67">
        <f>VLOOKUP($A67,'UN Treasury'!$A$1:$BQ$224,_xlfn.XMATCH(BO$1,'UN Treasury'!$A$1:$BQ$1,-1,1),FALSE)</f>
        <v>4080</v>
      </c>
      <c r="BP67">
        <f>VLOOKUP($A67,'UN Treasury'!$A$1:$BQ$224,_xlfn.XMATCH(BP$1,'UN Treasury'!$A$1:$BQ$1,-1,1),FALSE)</f>
        <v>4073</v>
      </c>
      <c r="BQ67">
        <f>VLOOKUP($A67,'UN Treasury'!$A$1:$BQ$224,_xlfn.XMATCH(BQ$1,'UN Treasury'!$A$1:$BQ$1,-1,1),FALSE)</f>
        <v>4040</v>
      </c>
    </row>
    <row r="68" spans="1:69" x14ac:dyDescent="0.25">
      <c r="A68" t="s">
        <v>104</v>
      </c>
      <c r="B68">
        <f>VLOOKUP($A68,'UN Treasury'!$A$1:$BQ$224,_xlfn.XMATCH(B$1,'UN Treasury'!$A$1:$BQ$1,-1,1),FALSE)</f>
        <v>426.38900000000001</v>
      </c>
      <c r="C68">
        <f>VLOOKUP($A68,'UN Treasury'!$A$1:$BQ$224,_xlfn.XMATCH(C$1,'UN Treasury'!$A$1:$BQ$1,-1,1),FALSE)</f>
        <v>430.53100000000001</v>
      </c>
      <c r="D68">
        <f>VLOOKUP($A68,'UN Treasury'!$A$1:$BQ$224,_xlfn.XMATCH(D$1,'UN Treasury'!$A$1:$BQ$1,-1,1),FALSE)</f>
        <v>426.98099999999999</v>
      </c>
      <c r="E68">
        <f>VLOOKUP($A68,'UN Treasury'!$A$1:$BQ$224,_xlfn.XMATCH(E$1,'UN Treasury'!$A$1:$BQ$1,-1,1),FALSE)</f>
        <v>420.12599999999998</v>
      </c>
      <c r="F68">
        <f>VLOOKUP($A68,'UN Treasury'!$A$1:$BQ$224,_xlfn.XMATCH(F$1,'UN Treasury'!$A$1:$BQ$1,-1,1),FALSE)</f>
        <v>420.12599999999998</v>
      </c>
      <c r="G68">
        <f>VLOOKUP($A68,'UN Treasury'!$A$1:$BQ$224,_xlfn.XMATCH(G$1,'UN Treasury'!$A$1:$BQ$1,-1,1),FALSE)</f>
        <v>426.61099999999999</v>
      </c>
      <c r="H68">
        <f>VLOOKUP($A68,'UN Treasury'!$A$1:$BQ$224,_xlfn.XMATCH(H$1,'UN Treasury'!$A$1:$BQ$1,-1,1),FALSE)</f>
        <v>413.90499999999997</v>
      </c>
      <c r="I68">
        <f>VLOOKUP($A68,'UN Treasury'!$A$1:$BQ$224,_xlfn.XMATCH(I$1,'UN Treasury'!$A$1:$BQ$1,-1,1),FALSE)</f>
        <v>422.29</v>
      </c>
      <c r="J68">
        <f>VLOOKUP($A68,'UN Treasury'!$A$1:$BQ$224,_xlfn.XMATCH(J$1,'UN Treasury'!$A$1:$BQ$1,-1,1),FALSE)</f>
        <v>418.94600000000003</v>
      </c>
      <c r="K68">
        <f>VLOOKUP($A68,'UN Treasury'!$A$1:$BQ$224,_xlfn.XMATCH(K$1,'UN Treasury'!$A$1:$BQ$1,-1,1),FALSE)</f>
        <v>425.43</v>
      </c>
      <c r="L68">
        <f>VLOOKUP($A68,'UN Treasury'!$A$1:$BQ$224,_xlfn.XMATCH(L$1,'UN Treasury'!$A$1:$BQ$1,-1,1),FALSE)</f>
        <v>425.43</v>
      </c>
      <c r="M68">
        <f>VLOOKUP($A68,'UN Treasury'!$A$1:$BQ$224,_xlfn.XMATCH(M$1,'UN Treasury'!$A$1:$BQ$1,-1,1),FALSE)</f>
        <v>419.48099999999999</v>
      </c>
      <c r="N68">
        <f>VLOOKUP($A68,'UN Treasury'!$A$1:$BQ$224,_xlfn.XMATCH(N$1,'UN Treasury'!$A$1:$BQ$1,-1,1),FALSE)</f>
        <v>420.41300000000001</v>
      </c>
      <c r="O68">
        <f>VLOOKUP($A68,'UN Treasury'!$A$1:$BQ$224,_xlfn.XMATCH(O$1,'UN Treasury'!$A$1:$BQ$1,-1,1),FALSE)</f>
        <v>420.88099999999997</v>
      </c>
      <c r="P68">
        <f>VLOOKUP($A68,'UN Treasury'!$A$1:$BQ$224,_xlfn.XMATCH(P$1,'UN Treasury'!$A$1:$BQ$1,-1,1),FALSE)</f>
        <v>428.99200000000002</v>
      </c>
      <c r="Q68">
        <f>VLOOKUP($A68,'UN Treasury'!$A$1:$BQ$224,_xlfn.XMATCH(Q$1,'UN Treasury'!$A$1:$BQ$1,-1,1),FALSE)</f>
        <v>441.34500000000003</v>
      </c>
      <c r="R68">
        <f>VLOOKUP($A68,'UN Treasury'!$A$1:$BQ$224,_xlfn.XMATCH(R$1,'UN Treasury'!$A$1:$BQ$1,-1,1),FALSE)</f>
        <v>432.99400000000003</v>
      </c>
      <c r="S68">
        <f>VLOOKUP($A68,'UN Treasury'!$A$1:$BQ$224,_xlfn.XMATCH(S$1,'UN Treasury'!$A$1:$BQ$1,-1,1),FALSE)</f>
        <v>451.803</v>
      </c>
      <c r="T68">
        <f>VLOOKUP($A68,'UN Treasury'!$A$1:$BQ$224,_xlfn.XMATCH(T$1,'UN Treasury'!$A$1:$BQ$1,-1,1),FALSE)</f>
        <v>475.56099999999998</v>
      </c>
      <c r="U68">
        <f>VLOOKUP($A68,'UN Treasury'!$A$1:$BQ$224,_xlfn.XMATCH(U$1,'UN Treasury'!$A$1:$BQ$1,-1,1),FALSE)</f>
        <v>481.99099999999999</v>
      </c>
      <c r="V68">
        <f>VLOOKUP($A68,'UN Treasury'!$A$1:$BQ$224,_xlfn.XMATCH(V$1,'UN Treasury'!$A$1:$BQ$1,-1,1),FALSE)</f>
        <v>468.63</v>
      </c>
      <c r="W68">
        <f>VLOOKUP($A68,'UN Treasury'!$A$1:$BQ$224,_xlfn.XMATCH(W$1,'UN Treasury'!$A$1:$BQ$1,-1,1),FALSE)</f>
        <v>463.94499999999999</v>
      </c>
      <c r="X68">
        <f>VLOOKUP($A68,'UN Treasury'!$A$1:$BQ$224,_xlfn.XMATCH(X$1,'UN Treasury'!$A$1:$BQ$1,-1,1),FALSE)</f>
        <v>449.73700000000002</v>
      </c>
      <c r="Y68">
        <f>VLOOKUP($A68,'UN Treasury'!$A$1:$BQ$224,_xlfn.XMATCH(Y$1,'UN Treasury'!$A$1:$BQ$1,-1,1),FALSE)</f>
        <v>446.51299999999998</v>
      </c>
      <c r="Z68">
        <f>VLOOKUP($A68,'UN Treasury'!$A$1:$BQ$224,_xlfn.XMATCH(Z$1,'UN Treasury'!$A$1:$BQ$1,-1,1),FALSE)</f>
        <v>449.04</v>
      </c>
      <c r="AA68">
        <f>VLOOKUP($A68,'UN Treasury'!$A$1:$BQ$224,_xlfn.XMATCH(AA$1,'UN Treasury'!$A$1:$BQ$1,-1,1),FALSE)</f>
        <v>451.84399999999999</v>
      </c>
      <c r="AB68">
        <f>VLOOKUP($A68,'UN Treasury'!$A$1:$BQ$224,_xlfn.XMATCH(AB$1,'UN Treasury'!$A$1:$BQ$1,-1,1),FALSE)</f>
        <v>454.096</v>
      </c>
      <c r="AC68">
        <f>VLOOKUP($A68,'UN Treasury'!$A$1:$BQ$224,_xlfn.XMATCH(AC$1,'UN Treasury'!$A$1:$BQ$1,-1,1),FALSE)</f>
        <v>455.35700000000003</v>
      </c>
      <c r="AD68">
        <f>VLOOKUP($A68,'UN Treasury'!$A$1:$BQ$224,_xlfn.XMATCH(AD$1,'UN Treasury'!$A$1:$BQ$1,-1,1),FALSE)</f>
        <v>458.36900000000003</v>
      </c>
      <c r="AE68">
        <f>VLOOKUP($A68,'UN Treasury'!$A$1:$BQ$224,_xlfn.XMATCH(AE$1,'UN Treasury'!$A$1:$BQ$1,-1,1),FALSE)</f>
        <v>449.73700000000002</v>
      </c>
      <c r="AF68">
        <f>VLOOKUP($A68,'UN Treasury'!$A$1:$BQ$224,_xlfn.XMATCH(AF$1,'UN Treasury'!$A$1:$BQ$1,-1,1),FALSE)</f>
        <v>458.79700000000003</v>
      </c>
      <c r="AG68">
        <f>VLOOKUP($A68,'UN Treasury'!$A$1:$BQ$224,_xlfn.XMATCH(AG$1,'UN Treasury'!$A$1:$BQ$1,-1,1),FALSE)</f>
        <v>449.16300000000001</v>
      </c>
      <c r="AH68">
        <f>VLOOKUP($A68,'UN Treasury'!$A$1:$BQ$224,_xlfn.XMATCH(AH$1,'UN Treasury'!$A$1:$BQ$1,-1,1),FALSE)</f>
        <v>455.99</v>
      </c>
      <c r="AI68">
        <f>VLOOKUP($A68,'UN Treasury'!$A$1:$BQ$224,_xlfn.XMATCH(AI$1,'UN Treasury'!$A$1:$BQ$1,-1,1),FALSE)</f>
        <v>461.03199999999998</v>
      </c>
      <c r="AJ68">
        <f>VLOOKUP($A68,'UN Treasury'!$A$1:$BQ$224,_xlfn.XMATCH(AJ$1,'UN Treasury'!$A$1:$BQ$1,-1,1),FALSE)</f>
        <v>462.85399999999998</v>
      </c>
      <c r="AK68">
        <f>VLOOKUP($A68,'UN Treasury'!$A$1:$BQ$224,_xlfn.XMATCH(AK$1,'UN Treasury'!$A$1:$BQ$1,-1,1),FALSE)</f>
        <v>457.98500000000001</v>
      </c>
      <c r="AL68">
        <f>VLOOKUP($A68,'UN Treasury'!$A$1:$BQ$224,_xlfn.XMATCH(AL$1,'UN Treasury'!$A$1:$BQ$1,-1,1),FALSE)</f>
        <v>448.95800000000003</v>
      </c>
      <c r="AM68">
        <f>VLOOKUP($A68,'UN Treasury'!$A$1:$BQ$224,_xlfn.XMATCH(AM$1,'UN Treasury'!$A$1:$BQ$1,-1,1),FALSE)</f>
        <v>443.57400000000001</v>
      </c>
      <c r="AN68">
        <f>VLOOKUP($A68,'UN Treasury'!$A$1:$BQ$224,_xlfn.XMATCH(AN$1,'UN Treasury'!$A$1:$BQ$1,-1,1),FALSE)</f>
        <v>456.202</v>
      </c>
      <c r="AO68">
        <f>VLOOKUP($A68,'UN Treasury'!$A$1:$BQ$224,_xlfn.XMATCH(AO$1,'UN Treasury'!$A$1:$BQ$1,-1,1),FALSE)</f>
        <v>450.93299999999999</v>
      </c>
      <c r="AP68">
        <f>VLOOKUP($A68,'UN Treasury'!$A$1:$BQ$224,_xlfn.XMATCH(AP$1,'UN Treasury'!$A$1:$BQ$1,-1,1),FALSE)</f>
        <v>448.09899999999999</v>
      </c>
      <c r="AQ68">
        <f>VLOOKUP($A68,'UN Treasury'!$A$1:$BQ$224,_xlfn.XMATCH(AQ$1,'UN Treasury'!$A$1:$BQ$1,-1,1),FALSE)</f>
        <v>459.35399999999998</v>
      </c>
      <c r="AR68">
        <f>VLOOKUP($A68,'UN Treasury'!$A$1:$BQ$224,_xlfn.XMATCH(AR$1,'UN Treasury'!$A$1:$BQ$1,-1,1),FALSE)</f>
        <v>459.096</v>
      </c>
      <c r="AS68">
        <f>VLOOKUP($A68,'UN Treasury'!$A$1:$BQ$224,_xlfn.XMATCH(AS$1,'UN Treasury'!$A$1:$BQ$1,-1,1),FALSE)</f>
        <v>456.964</v>
      </c>
      <c r="AT68">
        <f>VLOOKUP($A68,'UN Treasury'!$A$1:$BQ$224,_xlfn.XMATCH(AT$1,'UN Treasury'!$A$1:$BQ$1,-1,1),FALSE)</f>
        <v>461.55200000000002</v>
      </c>
      <c r="AU68">
        <f>VLOOKUP($A68,'UN Treasury'!$A$1:$BQ$224,_xlfn.XMATCH(AU$1,'UN Treasury'!$A$1:$BQ$1,-1,1),FALSE)</f>
        <v>478.24200000000002</v>
      </c>
      <c r="AV68">
        <f>VLOOKUP($A68,'UN Treasury'!$A$1:$BQ$224,_xlfn.XMATCH(AV$1,'UN Treasury'!$A$1:$BQ$1,-1,1),FALSE)</f>
        <v>507.55</v>
      </c>
      <c r="AW68">
        <f>VLOOKUP($A68,'UN Treasury'!$A$1:$BQ$224,_xlfn.XMATCH(AW$1,'UN Treasury'!$A$1:$BQ$1,-1,1),FALSE)</f>
        <v>490.35</v>
      </c>
      <c r="AX68">
        <f>VLOOKUP($A68,'UN Treasury'!$A$1:$BQ$224,_xlfn.XMATCH(AX$1,'UN Treasury'!$A$1:$BQ$1,-1,1),FALSE)</f>
        <v>474.91800000000001</v>
      </c>
      <c r="AY68">
        <f>VLOOKUP($A68,'UN Treasury'!$A$1:$BQ$224,_xlfn.XMATCH(AY$1,'UN Treasury'!$A$1:$BQ$1,-1,1),FALSE)</f>
        <v>490.05700000000002</v>
      </c>
      <c r="AZ68">
        <f>VLOOKUP($A68,'UN Treasury'!$A$1:$BQ$224,_xlfn.XMATCH(AZ$1,'UN Treasury'!$A$1:$BQ$1,-1,1),FALSE)</f>
        <v>471.09800000000001</v>
      </c>
      <c r="BA68">
        <f>VLOOKUP($A68,'UN Treasury'!$A$1:$BQ$224,_xlfn.XMATCH(BA$1,'UN Treasury'!$A$1:$BQ$1,-1,1),FALSE)</f>
        <v>466.01100000000002</v>
      </c>
      <c r="BB68">
        <f>VLOOKUP($A68,'UN Treasury'!$A$1:$BQ$224,_xlfn.XMATCH(BB$1,'UN Treasury'!$A$1:$BQ$1,-1,1),FALSE)</f>
        <v>452.50900000000001</v>
      </c>
      <c r="BC68">
        <f>VLOOKUP($A68,'UN Treasury'!$A$1:$BQ$224,_xlfn.XMATCH(BC$1,'UN Treasury'!$A$1:$BQ$1,-1,1),FALSE)</f>
        <v>448.95800000000003</v>
      </c>
      <c r="BD68">
        <f>VLOOKUP($A68,'UN Treasury'!$A$1:$BQ$224,_xlfn.XMATCH(BD$1,'UN Treasury'!$A$1:$BQ$1,-1,1),FALSE)</f>
        <v>431.77800000000002</v>
      </c>
      <c r="BE68">
        <f>VLOOKUP($A68,'UN Treasury'!$A$1:$BQ$224,_xlfn.XMATCH(BE$1,'UN Treasury'!$A$1:$BQ$1,-1,1),FALSE)</f>
        <v>430.87</v>
      </c>
      <c r="BF68">
        <f>VLOOKUP($A68,'UN Treasury'!$A$1:$BQ$224,_xlfn.XMATCH(BF$1,'UN Treasury'!$A$1:$BQ$1,-1,1),FALSE)</f>
        <v>436.64499999999998</v>
      </c>
      <c r="BG68">
        <f>VLOOKUP($A68,'UN Treasury'!$A$1:$BQ$224,_xlfn.XMATCH(BG$1,'UN Treasury'!$A$1:$BQ$1,-1,1),FALSE)</f>
        <v>429.06700000000001</v>
      </c>
      <c r="BH68">
        <f>VLOOKUP($A68,'UN Treasury'!$A$1:$BQ$224,_xlfn.XMATCH(BH$1,'UN Treasury'!$A$1:$BQ$1,-1,1),FALSE)</f>
        <v>422.98</v>
      </c>
      <c r="BI68">
        <f>VLOOKUP($A68,'UN Treasury'!$A$1:$BQ$224,_xlfn.XMATCH(BI$1,'UN Treasury'!$A$1:$BQ$1,-1,1),FALSE)</f>
        <v>416.92200000000003</v>
      </c>
      <c r="BJ68">
        <f>VLOOKUP($A68,'UN Treasury'!$A$1:$BQ$224,_xlfn.XMATCH(BJ$1,'UN Treasury'!$A$1:$BQ$1,-1,1),FALSE)</f>
        <v>413.80099999999999</v>
      </c>
      <c r="BK68">
        <f>VLOOKUP($A68,'UN Treasury'!$A$1:$BQ$224,_xlfn.XMATCH(BK$1,'UN Treasury'!$A$1:$BQ$1,-1,1),FALSE)</f>
        <v>412.41300000000001</v>
      </c>
      <c r="BL68">
        <f>VLOOKUP($A68,'UN Treasury'!$A$1:$BQ$224,_xlfn.XMATCH(BL$1,'UN Treasury'!$A$1:$BQ$1,-1,1),FALSE)</f>
        <v>403.28500000000003</v>
      </c>
      <c r="BM68">
        <f>VLOOKUP($A68,'UN Treasury'!$A$1:$BQ$224,_xlfn.XMATCH(BM$1,'UN Treasury'!$A$1:$BQ$1,-1,1),FALSE)</f>
        <v>406.38299999999998</v>
      </c>
      <c r="BN68">
        <f>VLOOKUP($A68,'UN Treasury'!$A$1:$BQ$224,_xlfn.XMATCH(BN$1,'UN Treasury'!$A$1:$BQ$1,-1,1),FALSE)</f>
        <v>419.76799999999997</v>
      </c>
      <c r="BO68">
        <f>VLOOKUP($A68,'UN Treasury'!$A$1:$BQ$224,_xlfn.XMATCH(BO$1,'UN Treasury'!$A$1:$BQ$1,-1,1),FALSE)</f>
        <v>411.93</v>
      </c>
      <c r="BP68">
        <f>VLOOKUP($A68,'UN Treasury'!$A$1:$BQ$224,_xlfn.XMATCH(BP$1,'UN Treasury'!$A$1:$BQ$1,-1,1),FALSE)</f>
        <v>405.34500000000003</v>
      </c>
      <c r="BQ68">
        <f>VLOOKUP($A68,'UN Treasury'!$A$1:$BQ$224,_xlfn.XMATCH(BQ$1,'UN Treasury'!$A$1:$BQ$1,-1,1),FALSE)</f>
        <v>404.44600000000003</v>
      </c>
    </row>
    <row r="69" spans="1:69" x14ac:dyDescent="0.25">
      <c r="A69" t="s">
        <v>163</v>
      </c>
      <c r="B69">
        <f>VLOOKUP($A69,'UN Treasury'!$A$1:$BQ$224,_xlfn.XMATCH(B$1,'UN Treasury'!$A$1:$BQ$1,-1,1),FALSE)</f>
        <v>110</v>
      </c>
      <c r="C69">
        <f>VLOOKUP($A69,'UN Treasury'!$A$1:$BQ$224,_xlfn.XMATCH(C$1,'UN Treasury'!$A$1:$BQ$1,-1,1),FALSE)</f>
        <v>110</v>
      </c>
      <c r="D69">
        <f>VLOOKUP($A69,'UN Treasury'!$A$1:$BQ$224,_xlfn.XMATCH(D$1,'UN Treasury'!$A$1:$BQ$1,-1,1),FALSE)</f>
        <v>110</v>
      </c>
      <c r="E69">
        <f>VLOOKUP($A69,'UN Treasury'!$A$1:$BQ$224,_xlfn.XMATCH(E$1,'UN Treasury'!$A$1:$BQ$1,-1,1),FALSE)</f>
        <v>110</v>
      </c>
      <c r="F69">
        <f>VLOOKUP($A69,'UN Treasury'!$A$1:$BQ$224,_xlfn.XMATCH(F$1,'UN Treasury'!$A$1:$BQ$1,-1,1),FALSE)</f>
        <v>110</v>
      </c>
      <c r="G69">
        <f>VLOOKUP($A69,'UN Treasury'!$A$1:$BQ$224,_xlfn.XMATCH(G$1,'UN Treasury'!$A$1:$BQ$1,-1,1),FALSE)</f>
        <v>110</v>
      </c>
      <c r="H69">
        <f>VLOOKUP($A69,'UN Treasury'!$A$1:$BQ$224,_xlfn.XMATCH(H$1,'UN Treasury'!$A$1:$BQ$1,-1,1),FALSE)</f>
        <v>110</v>
      </c>
      <c r="I69">
        <f>VLOOKUP($A69,'UN Treasury'!$A$1:$BQ$224,_xlfn.XMATCH(I$1,'UN Treasury'!$A$1:$BQ$1,-1,1),FALSE)</f>
        <v>110</v>
      </c>
      <c r="J69">
        <f>VLOOKUP($A69,'UN Treasury'!$A$1:$BQ$224,_xlfn.XMATCH(J$1,'UN Treasury'!$A$1:$BQ$1,-1,1),FALSE)</f>
        <v>110</v>
      </c>
      <c r="K69">
        <f>VLOOKUP($A69,'UN Treasury'!$A$1:$BQ$224,_xlfn.XMATCH(K$1,'UN Treasury'!$A$1:$BQ$1,-1,1),FALSE)</f>
        <v>110</v>
      </c>
      <c r="L69">
        <f>VLOOKUP($A69,'UN Treasury'!$A$1:$BQ$224,_xlfn.XMATCH(L$1,'UN Treasury'!$A$1:$BQ$1,-1,1),FALSE)</f>
        <v>110</v>
      </c>
      <c r="M69">
        <f>VLOOKUP($A69,'UN Treasury'!$A$1:$BQ$224,_xlfn.XMATCH(M$1,'UN Treasury'!$A$1:$BQ$1,-1,1),FALSE)</f>
        <v>110</v>
      </c>
      <c r="N69">
        <f>VLOOKUP($A69,'UN Treasury'!$A$1:$BQ$224,_xlfn.XMATCH(N$1,'UN Treasury'!$A$1:$BQ$1,-1,1),FALSE)</f>
        <v>110</v>
      </c>
      <c r="O69">
        <f>VLOOKUP($A69,'UN Treasury'!$A$1:$BQ$224,_xlfn.XMATCH(O$1,'UN Treasury'!$A$1:$BQ$1,-1,1),FALSE)</f>
        <v>110</v>
      </c>
      <c r="P69">
        <f>VLOOKUP($A69,'UN Treasury'!$A$1:$BQ$224,_xlfn.XMATCH(P$1,'UN Treasury'!$A$1:$BQ$1,-1,1),FALSE)</f>
        <v>110</v>
      </c>
      <c r="Q69">
        <f>VLOOKUP($A69,'UN Treasury'!$A$1:$BQ$224,_xlfn.XMATCH(Q$1,'UN Treasury'!$A$1:$BQ$1,-1,1),FALSE)</f>
        <v>110</v>
      </c>
      <c r="R69">
        <f>VLOOKUP($A69,'UN Treasury'!$A$1:$BQ$224,_xlfn.XMATCH(R$1,'UN Treasury'!$A$1:$BQ$1,-1,1),FALSE)</f>
        <v>110</v>
      </c>
      <c r="S69">
        <f>VLOOKUP($A69,'UN Treasury'!$A$1:$BQ$224,_xlfn.XMATCH(S$1,'UN Treasury'!$A$1:$BQ$1,-1,1),FALSE)</f>
        <v>110</v>
      </c>
      <c r="T69">
        <f>VLOOKUP($A69,'UN Treasury'!$A$1:$BQ$224,_xlfn.XMATCH(T$1,'UN Treasury'!$A$1:$BQ$1,-1,1),FALSE)</f>
        <v>110</v>
      </c>
      <c r="U69">
        <f>VLOOKUP($A69,'UN Treasury'!$A$1:$BQ$224,_xlfn.XMATCH(U$1,'UN Treasury'!$A$1:$BQ$1,-1,1),FALSE)</f>
        <v>110</v>
      </c>
      <c r="V69">
        <f>VLOOKUP($A69,'UN Treasury'!$A$1:$BQ$224,_xlfn.XMATCH(V$1,'UN Treasury'!$A$1:$BQ$1,-1,1),FALSE)</f>
        <v>110</v>
      </c>
      <c r="W69">
        <f>VLOOKUP($A69,'UN Treasury'!$A$1:$BQ$224,_xlfn.XMATCH(W$1,'UN Treasury'!$A$1:$BQ$1,-1,1),FALSE)</f>
        <v>110</v>
      </c>
      <c r="X69">
        <f>VLOOKUP($A69,'UN Treasury'!$A$1:$BQ$224,_xlfn.XMATCH(X$1,'UN Treasury'!$A$1:$BQ$1,-1,1),FALSE)</f>
        <v>110</v>
      </c>
      <c r="Y69">
        <f>VLOOKUP($A69,'UN Treasury'!$A$1:$BQ$224,_xlfn.XMATCH(Y$1,'UN Treasury'!$A$1:$BQ$1,-1,1),FALSE)</f>
        <v>110</v>
      </c>
      <c r="Z69">
        <f>VLOOKUP($A69,'UN Treasury'!$A$1:$BQ$224,_xlfn.XMATCH(Z$1,'UN Treasury'!$A$1:$BQ$1,-1,1),FALSE)</f>
        <v>110</v>
      </c>
      <c r="AA69">
        <f>VLOOKUP($A69,'UN Treasury'!$A$1:$BQ$224,_xlfn.XMATCH(AA$1,'UN Treasury'!$A$1:$BQ$1,-1,1),FALSE)</f>
        <v>110</v>
      </c>
      <c r="AB69">
        <f>VLOOKUP($A69,'UN Treasury'!$A$1:$BQ$224,_xlfn.XMATCH(AB$1,'UN Treasury'!$A$1:$BQ$1,-1,1),FALSE)</f>
        <v>110</v>
      </c>
      <c r="AC69">
        <f>VLOOKUP($A69,'UN Treasury'!$A$1:$BQ$224,_xlfn.XMATCH(AC$1,'UN Treasury'!$A$1:$BQ$1,-1,1),FALSE)</f>
        <v>110</v>
      </c>
      <c r="AD69">
        <f>VLOOKUP($A69,'UN Treasury'!$A$1:$BQ$224,_xlfn.XMATCH(AD$1,'UN Treasury'!$A$1:$BQ$1,-1,1),FALSE)</f>
        <v>110</v>
      </c>
      <c r="AE69">
        <f>VLOOKUP($A69,'UN Treasury'!$A$1:$BQ$224,_xlfn.XMATCH(AE$1,'UN Treasury'!$A$1:$BQ$1,-1,1),FALSE)</f>
        <v>110</v>
      </c>
      <c r="AF69">
        <f>VLOOKUP($A69,'UN Treasury'!$A$1:$BQ$224,_xlfn.XMATCH(AF$1,'UN Treasury'!$A$1:$BQ$1,-1,1),FALSE)</f>
        <v>110</v>
      </c>
      <c r="AG69">
        <f>VLOOKUP($A69,'UN Treasury'!$A$1:$BQ$224,_xlfn.XMATCH(AG$1,'UN Treasury'!$A$1:$BQ$1,-1,1),FALSE)</f>
        <v>110</v>
      </c>
      <c r="AH69">
        <f>VLOOKUP($A69,'UN Treasury'!$A$1:$BQ$224,_xlfn.XMATCH(AH$1,'UN Treasury'!$A$1:$BQ$1,-1,1),FALSE)</f>
        <v>110</v>
      </c>
      <c r="AI69">
        <f>VLOOKUP($A69,'UN Treasury'!$A$1:$BQ$224,_xlfn.XMATCH(AI$1,'UN Treasury'!$A$1:$BQ$1,-1,1),FALSE)</f>
        <v>110</v>
      </c>
      <c r="AJ69">
        <f>VLOOKUP($A69,'UN Treasury'!$A$1:$BQ$224,_xlfn.XMATCH(AJ$1,'UN Treasury'!$A$1:$BQ$1,-1,1),FALSE)</f>
        <v>110</v>
      </c>
      <c r="AK69">
        <f>VLOOKUP($A69,'UN Treasury'!$A$1:$BQ$224,_xlfn.XMATCH(AK$1,'UN Treasury'!$A$1:$BQ$1,-1,1),FALSE)</f>
        <v>110</v>
      </c>
      <c r="AL69">
        <f>VLOOKUP($A69,'UN Treasury'!$A$1:$BQ$224,_xlfn.XMATCH(AL$1,'UN Treasury'!$A$1:$BQ$1,-1,1),FALSE)</f>
        <v>110</v>
      </c>
      <c r="AM69">
        <f>VLOOKUP($A69,'UN Treasury'!$A$1:$BQ$224,_xlfn.XMATCH(AM$1,'UN Treasury'!$A$1:$BQ$1,-1,1),FALSE)</f>
        <v>110</v>
      </c>
      <c r="AN69">
        <f>VLOOKUP($A69,'UN Treasury'!$A$1:$BQ$224,_xlfn.XMATCH(AN$1,'UN Treasury'!$A$1:$BQ$1,-1,1),FALSE)</f>
        <v>110</v>
      </c>
      <c r="AO69">
        <f>VLOOKUP($A69,'UN Treasury'!$A$1:$BQ$224,_xlfn.XMATCH(AO$1,'UN Treasury'!$A$1:$BQ$1,-1,1),FALSE)</f>
        <v>110</v>
      </c>
      <c r="AP69">
        <f>VLOOKUP($A69,'UN Treasury'!$A$1:$BQ$224,_xlfn.XMATCH(AP$1,'UN Treasury'!$A$1:$BQ$1,-1,1),FALSE)</f>
        <v>110</v>
      </c>
      <c r="AQ69">
        <f>VLOOKUP($A69,'UN Treasury'!$A$1:$BQ$224,_xlfn.XMATCH(AQ$1,'UN Treasury'!$A$1:$BQ$1,-1,1),FALSE)</f>
        <v>110</v>
      </c>
      <c r="AR69">
        <f>VLOOKUP($A69,'UN Treasury'!$A$1:$BQ$224,_xlfn.XMATCH(AR$1,'UN Treasury'!$A$1:$BQ$1,-1,1),FALSE)</f>
        <v>110</v>
      </c>
      <c r="AS69">
        <f>VLOOKUP($A69,'UN Treasury'!$A$1:$BQ$224,_xlfn.XMATCH(AS$1,'UN Treasury'!$A$1:$BQ$1,-1,1),FALSE)</f>
        <v>110</v>
      </c>
      <c r="AT69">
        <f>VLOOKUP($A69,'UN Treasury'!$A$1:$BQ$224,_xlfn.XMATCH(AT$1,'UN Treasury'!$A$1:$BQ$1,-1,1),FALSE)</f>
        <v>110</v>
      </c>
      <c r="AU69">
        <f>VLOOKUP($A69,'UN Treasury'!$A$1:$BQ$224,_xlfn.XMATCH(AU$1,'UN Treasury'!$A$1:$BQ$1,-1,1),FALSE)</f>
        <v>110</v>
      </c>
      <c r="AV69">
        <f>VLOOKUP($A69,'UN Treasury'!$A$1:$BQ$224,_xlfn.XMATCH(AV$1,'UN Treasury'!$A$1:$BQ$1,-1,1),FALSE)</f>
        <v>110</v>
      </c>
      <c r="AW69">
        <f>VLOOKUP($A69,'UN Treasury'!$A$1:$BQ$224,_xlfn.XMATCH(AW$1,'UN Treasury'!$A$1:$BQ$1,-1,1),FALSE)</f>
        <v>110</v>
      </c>
      <c r="AX69">
        <f>VLOOKUP($A69,'UN Treasury'!$A$1:$BQ$224,_xlfn.XMATCH(AX$1,'UN Treasury'!$A$1:$BQ$1,-1,1),FALSE)</f>
        <v>110</v>
      </c>
      <c r="AY69">
        <f>VLOOKUP($A69,'UN Treasury'!$A$1:$BQ$224,_xlfn.XMATCH(AY$1,'UN Treasury'!$A$1:$BQ$1,-1,1),FALSE)</f>
        <v>110</v>
      </c>
      <c r="AZ69">
        <f>VLOOKUP($A69,'UN Treasury'!$A$1:$BQ$224,_xlfn.XMATCH(AZ$1,'UN Treasury'!$A$1:$BQ$1,-1,1),FALSE)</f>
        <v>106</v>
      </c>
      <c r="BA69">
        <f>VLOOKUP($A69,'UN Treasury'!$A$1:$BQ$224,_xlfn.XMATCH(BA$1,'UN Treasury'!$A$1:$BQ$1,-1,1),FALSE)</f>
        <v>106</v>
      </c>
      <c r="BB69">
        <f>VLOOKUP($A69,'UN Treasury'!$A$1:$BQ$224,_xlfn.XMATCH(BB$1,'UN Treasury'!$A$1:$BQ$1,-1,1),FALSE)</f>
        <v>110</v>
      </c>
      <c r="BC69">
        <f>VLOOKUP($A69,'UN Treasury'!$A$1:$BQ$224,_xlfn.XMATCH(BC$1,'UN Treasury'!$A$1:$BQ$1,-1,1),FALSE)</f>
        <v>110</v>
      </c>
      <c r="BD69">
        <f>VLOOKUP($A69,'UN Treasury'!$A$1:$BQ$224,_xlfn.XMATCH(BD$1,'UN Treasury'!$A$1:$BQ$1,-1,1),FALSE)</f>
        <v>110</v>
      </c>
      <c r="BE69">
        <f>VLOOKUP($A69,'UN Treasury'!$A$1:$BQ$224,_xlfn.XMATCH(BE$1,'UN Treasury'!$A$1:$BQ$1,-1,1),FALSE)</f>
        <v>106</v>
      </c>
      <c r="BF69">
        <f>VLOOKUP($A69,'UN Treasury'!$A$1:$BQ$224,_xlfn.XMATCH(BF$1,'UN Treasury'!$A$1:$BQ$1,-1,1),FALSE)</f>
        <v>110</v>
      </c>
      <c r="BG69">
        <f>VLOOKUP($A69,'UN Treasury'!$A$1:$BQ$224,_xlfn.XMATCH(BG$1,'UN Treasury'!$A$1:$BQ$1,-1,1),FALSE)</f>
        <v>110</v>
      </c>
      <c r="BH69">
        <f>VLOOKUP($A69,'UN Treasury'!$A$1:$BQ$224,_xlfn.XMATCH(BH$1,'UN Treasury'!$A$1:$BQ$1,-1,1),FALSE)</f>
        <v>106</v>
      </c>
      <c r="BI69">
        <f>VLOOKUP($A69,'UN Treasury'!$A$1:$BQ$224,_xlfn.XMATCH(BI$1,'UN Treasury'!$A$1:$BQ$1,-1,1),FALSE)</f>
        <v>110</v>
      </c>
      <c r="BJ69">
        <f>VLOOKUP($A69,'UN Treasury'!$A$1:$BQ$224,_xlfn.XMATCH(BJ$1,'UN Treasury'!$A$1:$BQ$1,-1,1),FALSE)</f>
        <v>110</v>
      </c>
      <c r="BK69">
        <f>VLOOKUP($A69,'UN Treasury'!$A$1:$BQ$224,_xlfn.XMATCH(BK$1,'UN Treasury'!$A$1:$BQ$1,-1,1),FALSE)</f>
        <v>110</v>
      </c>
      <c r="BL69">
        <f>VLOOKUP($A69,'UN Treasury'!$A$1:$BQ$224,_xlfn.XMATCH(BL$1,'UN Treasury'!$A$1:$BQ$1,-1,1),FALSE)</f>
        <v>108</v>
      </c>
      <c r="BM69">
        <f>VLOOKUP($A69,'UN Treasury'!$A$1:$BQ$224,_xlfn.XMATCH(BM$1,'UN Treasury'!$A$1:$BQ$1,-1,1),FALSE)</f>
        <v>107</v>
      </c>
      <c r="BN69">
        <f>VLOOKUP($A69,'UN Treasury'!$A$1:$BQ$224,_xlfn.XMATCH(BN$1,'UN Treasury'!$A$1:$BQ$1,-1,1),FALSE)</f>
        <v>103.56</v>
      </c>
      <c r="BO69">
        <f>VLOOKUP($A69,'UN Treasury'!$A$1:$BQ$224,_xlfn.XMATCH(BO$1,'UN Treasury'!$A$1:$BQ$1,-1,1),FALSE)</f>
        <v>103.29</v>
      </c>
      <c r="BP69">
        <f>VLOOKUP($A69,'UN Treasury'!$A$1:$BQ$224,_xlfn.XMATCH(BP$1,'UN Treasury'!$A$1:$BQ$1,-1,1),FALSE)</f>
        <v>102.83</v>
      </c>
      <c r="BQ69">
        <f>VLOOKUP($A69,'UN Treasury'!$A$1:$BQ$224,_xlfn.XMATCH(BQ$1,'UN Treasury'!$A$1:$BQ$1,-1,1),FALSE)</f>
        <v>103.05</v>
      </c>
    </row>
    <row r="70" spans="1:69" x14ac:dyDescent="0.25">
      <c r="A70" t="s">
        <v>165</v>
      </c>
      <c r="B70">
        <f>VLOOKUP($A70,'UN Treasury'!$A$1:$BQ$224,_xlfn.XMATCH(B$1,'UN Treasury'!$A$1:$BQ$1,-1,1),FALSE)</f>
        <v>1421.1</v>
      </c>
      <c r="C70">
        <f>VLOOKUP($A70,'UN Treasury'!$A$1:$BQ$224,_xlfn.XMATCH(C$1,'UN Treasury'!$A$1:$BQ$1,-1,1),FALSE)</f>
        <v>1493.4</v>
      </c>
      <c r="D70">
        <f>VLOOKUP($A70,'UN Treasury'!$A$1:$BQ$224,_xlfn.XMATCH(D$1,'UN Treasury'!$A$1:$BQ$1,-1,1),FALSE)</f>
        <v>1533.1</v>
      </c>
      <c r="E70">
        <f>VLOOKUP($A70,'UN Treasury'!$A$1:$BQ$224,_xlfn.XMATCH(E$1,'UN Treasury'!$A$1:$BQ$1,-1,1),FALSE)</f>
        <v>1490.7</v>
      </c>
      <c r="F70">
        <f>VLOOKUP($A70,'UN Treasury'!$A$1:$BQ$224,_xlfn.XMATCH(F$1,'UN Treasury'!$A$1:$BQ$1,-1,1),FALSE)</f>
        <v>1484.99</v>
      </c>
      <c r="G70">
        <f>VLOOKUP($A70,'UN Treasury'!$A$1:$BQ$224,_xlfn.XMATCH(G$1,'UN Treasury'!$A$1:$BQ$1,-1,1),FALSE)</f>
        <v>1488.93</v>
      </c>
      <c r="H70">
        <f>VLOOKUP($A70,'UN Treasury'!$A$1:$BQ$224,_xlfn.XMATCH(H$1,'UN Treasury'!$A$1:$BQ$1,-1,1),FALSE)</f>
        <v>1435.01</v>
      </c>
      <c r="I70">
        <f>VLOOKUP($A70,'UN Treasury'!$A$1:$BQ$224,_xlfn.XMATCH(I$1,'UN Treasury'!$A$1:$BQ$1,-1,1),FALSE)</f>
        <v>1476.04</v>
      </c>
      <c r="J70">
        <f>VLOOKUP($A70,'UN Treasury'!$A$1:$BQ$224,_xlfn.XMATCH(J$1,'UN Treasury'!$A$1:$BQ$1,-1,1),FALSE)</f>
        <v>1469.01</v>
      </c>
      <c r="K70">
        <f>VLOOKUP($A70,'UN Treasury'!$A$1:$BQ$224,_xlfn.XMATCH(K$1,'UN Treasury'!$A$1:$BQ$1,-1,1),FALSE)</f>
        <v>1467.22</v>
      </c>
      <c r="L70">
        <f>VLOOKUP($A70,'UN Treasury'!$A$1:$BQ$224,_xlfn.XMATCH(L$1,'UN Treasury'!$A$1:$BQ$1,-1,1),FALSE)</f>
        <v>1427.3</v>
      </c>
      <c r="M70">
        <f>VLOOKUP($A70,'UN Treasury'!$A$1:$BQ$224,_xlfn.XMATCH(M$1,'UN Treasury'!$A$1:$BQ$1,-1,1),FALSE)</f>
        <v>1390.8</v>
      </c>
      <c r="N70">
        <f>VLOOKUP($A70,'UN Treasury'!$A$1:$BQ$224,_xlfn.XMATCH(N$1,'UN Treasury'!$A$1:$BQ$1,-1,1),FALSE)</f>
        <v>1377.8</v>
      </c>
      <c r="O70">
        <f>VLOOKUP($A70,'UN Treasury'!$A$1:$BQ$224,_xlfn.XMATCH(O$1,'UN Treasury'!$A$1:$BQ$1,-1,1),FALSE)</f>
        <v>1375.22</v>
      </c>
      <c r="P70">
        <f>VLOOKUP($A70,'UN Treasury'!$A$1:$BQ$224,_xlfn.XMATCH(P$1,'UN Treasury'!$A$1:$BQ$1,-1,1),FALSE)</f>
        <v>1371.08</v>
      </c>
      <c r="Q70">
        <f>VLOOKUP($A70,'UN Treasury'!$A$1:$BQ$224,_xlfn.XMATCH(Q$1,'UN Treasury'!$A$1:$BQ$1,-1,1),FALSE)</f>
        <v>1421.85</v>
      </c>
      <c r="R70">
        <f>VLOOKUP($A70,'UN Treasury'!$A$1:$BQ$224,_xlfn.XMATCH(R$1,'UN Treasury'!$A$1:$BQ$1,-1,1),FALSE)</f>
        <v>1423.84</v>
      </c>
      <c r="S70">
        <f>VLOOKUP($A70,'UN Treasury'!$A$1:$BQ$224,_xlfn.XMATCH(S$1,'UN Treasury'!$A$1:$BQ$1,-1,1),FALSE)</f>
        <v>1452.06</v>
      </c>
      <c r="T70">
        <f>VLOOKUP($A70,'UN Treasury'!$A$1:$BQ$224,_xlfn.XMATCH(T$1,'UN Treasury'!$A$1:$BQ$1,-1,1),FALSE)</f>
        <v>1456.33</v>
      </c>
      <c r="U70">
        <f>VLOOKUP($A70,'UN Treasury'!$A$1:$BQ$224,_xlfn.XMATCH(U$1,'UN Treasury'!$A$1:$BQ$1,-1,1),FALSE)</f>
        <v>1467.21</v>
      </c>
      <c r="V70">
        <f>VLOOKUP($A70,'UN Treasury'!$A$1:$BQ$224,_xlfn.XMATCH(V$1,'UN Treasury'!$A$1:$BQ$1,-1,1),FALSE)</f>
        <v>1429.18</v>
      </c>
      <c r="W70">
        <f>VLOOKUP($A70,'UN Treasury'!$A$1:$BQ$224,_xlfn.XMATCH(W$1,'UN Treasury'!$A$1:$BQ$1,-1,1),FALSE)</f>
        <v>1401.05</v>
      </c>
      <c r="X70">
        <f>VLOOKUP($A70,'UN Treasury'!$A$1:$BQ$224,_xlfn.XMATCH(X$1,'UN Treasury'!$A$1:$BQ$1,-1,1),FALSE)</f>
        <v>1349.81</v>
      </c>
      <c r="Y70">
        <f>VLOOKUP($A70,'UN Treasury'!$A$1:$BQ$224,_xlfn.XMATCH(Y$1,'UN Treasury'!$A$1:$BQ$1,-1,1),FALSE)</f>
        <v>1340.11</v>
      </c>
      <c r="Z70">
        <f>VLOOKUP($A70,'UN Treasury'!$A$1:$BQ$224,_xlfn.XMATCH(Z$1,'UN Treasury'!$A$1:$BQ$1,-1,1),FALSE)</f>
        <v>1367.49</v>
      </c>
      <c r="AA70">
        <f>VLOOKUP($A70,'UN Treasury'!$A$1:$BQ$224,_xlfn.XMATCH(AA$1,'UN Treasury'!$A$1:$BQ$1,-1,1),FALSE)</f>
        <v>1371.72</v>
      </c>
      <c r="AB70">
        <f>VLOOKUP($A70,'UN Treasury'!$A$1:$BQ$224,_xlfn.XMATCH(AB$1,'UN Treasury'!$A$1:$BQ$1,-1,1),FALSE)</f>
        <v>1375.93</v>
      </c>
      <c r="AC70">
        <f>VLOOKUP($A70,'UN Treasury'!$A$1:$BQ$224,_xlfn.XMATCH(AC$1,'UN Treasury'!$A$1:$BQ$1,-1,1),FALSE)</f>
        <v>1368.17</v>
      </c>
      <c r="AD70">
        <f>VLOOKUP($A70,'UN Treasury'!$A$1:$BQ$224,_xlfn.XMATCH(AD$1,'UN Treasury'!$A$1:$BQ$1,-1,1),FALSE)</f>
        <v>1364.01</v>
      </c>
      <c r="AE70">
        <f>VLOOKUP($A70,'UN Treasury'!$A$1:$BQ$224,_xlfn.XMATCH(AE$1,'UN Treasury'!$A$1:$BQ$1,-1,1),FALSE)</f>
        <v>1314.2</v>
      </c>
      <c r="AF70">
        <f>VLOOKUP($A70,'UN Treasury'!$A$1:$BQ$224,_xlfn.XMATCH(AF$1,'UN Treasury'!$A$1:$BQ$1,-1,1),FALSE)</f>
        <v>1327.9</v>
      </c>
      <c r="AG70">
        <f>VLOOKUP($A70,'UN Treasury'!$A$1:$BQ$224,_xlfn.XMATCH(AG$1,'UN Treasury'!$A$1:$BQ$1,-1,1),FALSE)</f>
        <v>1312.73</v>
      </c>
      <c r="AH70">
        <f>VLOOKUP($A70,'UN Treasury'!$A$1:$BQ$224,_xlfn.XMATCH(AH$1,'UN Treasury'!$A$1:$BQ$1,-1,1),FALSE)</f>
        <v>1319.98</v>
      </c>
      <c r="AI70">
        <f>VLOOKUP($A70,'UN Treasury'!$A$1:$BQ$224,_xlfn.XMATCH(AI$1,'UN Treasury'!$A$1:$BQ$1,-1,1),FALSE)</f>
        <v>1324.92</v>
      </c>
      <c r="AJ70">
        <f>VLOOKUP($A70,'UN Treasury'!$A$1:$BQ$224,_xlfn.XMATCH(AJ$1,'UN Treasury'!$A$1:$BQ$1,-1,1),FALSE)</f>
        <v>1338.67</v>
      </c>
      <c r="AK70">
        <f>VLOOKUP($A70,'UN Treasury'!$A$1:$BQ$224,_xlfn.XMATCH(AK$1,'UN Treasury'!$A$1:$BQ$1,-1,1),FALSE)</f>
        <v>1329.69</v>
      </c>
      <c r="AL70">
        <f>VLOOKUP($A70,'UN Treasury'!$A$1:$BQ$224,_xlfn.XMATCH(AL$1,'UN Treasury'!$A$1:$BQ$1,-1,1),FALSE)</f>
        <v>1324.35</v>
      </c>
      <c r="AM70">
        <f>VLOOKUP($A70,'UN Treasury'!$A$1:$BQ$224,_xlfn.XMATCH(AM$1,'UN Treasury'!$A$1:$BQ$1,-1,1),FALSE)</f>
        <v>1288.44</v>
      </c>
      <c r="AN70">
        <f>VLOOKUP($A70,'UN Treasury'!$A$1:$BQ$224,_xlfn.XMATCH(AN$1,'UN Treasury'!$A$1:$BQ$1,-1,1),FALSE)</f>
        <v>1271.32</v>
      </c>
      <c r="AO70">
        <f>VLOOKUP($A70,'UN Treasury'!$A$1:$BQ$224,_xlfn.XMATCH(AO$1,'UN Treasury'!$A$1:$BQ$1,-1,1),FALSE)</f>
        <v>1325.85</v>
      </c>
      <c r="AP70">
        <f>VLOOKUP($A70,'UN Treasury'!$A$1:$BQ$224,_xlfn.XMATCH(AP$1,'UN Treasury'!$A$1:$BQ$1,-1,1),FALSE)</f>
        <v>1325.5</v>
      </c>
      <c r="AQ70">
        <f>VLOOKUP($A70,'UN Treasury'!$A$1:$BQ$224,_xlfn.XMATCH(AQ$1,'UN Treasury'!$A$1:$BQ$1,-1,1),FALSE)</f>
        <v>1301.23</v>
      </c>
      <c r="AR70">
        <f>VLOOKUP($A70,'UN Treasury'!$A$1:$BQ$224,_xlfn.XMATCH(AR$1,'UN Treasury'!$A$1:$BQ$1,-1,1),FALSE)</f>
        <v>1277.4000000000001</v>
      </c>
      <c r="AS70">
        <f>VLOOKUP($A70,'UN Treasury'!$A$1:$BQ$224,_xlfn.XMATCH(AS$1,'UN Treasury'!$A$1:$BQ$1,-1,1),FALSE)</f>
        <v>1245.9000000000001</v>
      </c>
      <c r="AT70">
        <f>VLOOKUP($A70,'UN Treasury'!$A$1:$BQ$224,_xlfn.XMATCH(AT$1,'UN Treasury'!$A$1:$BQ$1,-1,1),FALSE)</f>
        <v>1302.73</v>
      </c>
      <c r="AU70">
        <f>VLOOKUP($A70,'UN Treasury'!$A$1:$BQ$224,_xlfn.XMATCH(AU$1,'UN Treasury'!$A$1:$BQ$1,-1,1),FALSE)</f>
        <v>1318.57</v>
      </c>
      <c r="AV70">
        <f>VLOOKUP($A70,'UN Treasury'!$A$1:$BQ$224,_xlfn.XMATCH(AV$1,'UN Treasury'!$A$1:$BQ$1,-1,1),FALSE)</f>
        <v>1424.41</v>
      </c>
      <c r="AW70">
        <f>VLOOKUP($A70,'UN Treasury'!$A$1:$BQ$224,_xlfn.XMATCH(AW$1,'UN Treasury'!$A$1:$BQ$1,-1,1),FALSE)</f>
        <v>1373.8</v>
      </c>
      <c r="AX70">
        <f>VLOOKUP($A70,'UN Treasury'!$A$1:$BQ$224,_xlfn.XMATCH(AX$1,'UN Treasury'!$A$1:$BQ$1,-1,1),FALSE)</f>
        <v>1303.02</v>
      </c>
      <c r="AY70">
        <f>VLOOKUP($A70,'UN Treasury'!$A$1:$BQ$224,_xlfn.XMATCH(AY$1,'UN Treasury'!$A$1:$BQ$1,-1,1),FALSE)</f>
        <v>1306.6500000000001</v>
      </c>
      <c r="AZ70">
        <f>VLOOKUP($A70,'UN Treasury'!$A$1:$BQ$224,_xlfn.XMATCH(AZ$1,'UN Treasury'!$A$1:$BQ$1,-1,1),FALSE)</f>
        <v>1284.04</v>
      </c>
      <c r="BA70">
        <f>VLOOKUP($A70,'UN Treasury'!$A$1:$BQ$224,_xlfn.XMATCH(BA$1,'UN Treasury'!$A$1:$BQ$1,-1,1),FALSE)</f>
        <v>1275.3</v>
      </c>
      <c r="BB70">
        <f>VLOOKUP($A70,'UN Treasury'!$A$1:$BQ$224,_xlfn.XMATCH(BB$1,'UN Treasury'!$A$1:$BQ$1,-1,1),FALSE)</f>
        <v>1235.97</v>
      </c>
      <c r="BC70">
        <f>VLOOKUP($A70,'UN Treasury'!$A$1:$BQ$224,_xlfn.XMATCH(BC$1,'UN Treasury'!$A$1:$BQ$1,-1,1),FALSE)</f>
        <v>1231.78</v>
      </c>
      <c r="BD70">
        <f>VLOOKUP($A70,'UN Treasury'!$A$1:$BQ$224,_xlfn.XMATCH(BD$1,'UN Treasury'!$A$1:$BQ$1,-1,1),FALSE)</f>
        <v>1198.45</v>
      </c>
      <c r="BE70">
        <f>VLOOKUP($A70,'UN Treasury'!$A$1:$BQ$224,_xlfn.XMATCH(BE$1,'UN Treasury'!$A$1:$BQ$1,-1,1),FALSE)</f>
        <v>1190.29</v>
      </c>
      <c r="BF70">
        <f>VLOOKUP($A70,'UN Treasury'!$A$1:$BQ$224,_xlfn.XMATCH(BF$1,'UN Treasury'!$A$1:$BQ$1,-1,1),FALSE)</f>
        <v>1192.8</v>
      </c>
      <c r="BG70">
        <f>VLOOKUP($A70,'UN Treasury'!$A$1:$BQ$224,_xlfn.XMATCH(BG$1,'UN Treasury'!$A$1:$BQ$1,-1,1),FALSE)</f>
        <v>1169.43</v>
      </c>
      <c r="BH70">
        <f>VLOOKUP($A70,'UN Treasury'!$A$1:$BQ$224,_xlfn.XMATCH(BH$1,'UN Treasury'!$A$1:$BQ$1,-1,1),FALSE)</f>
        <v>1181.8900000000001</v>
      </c>
      <c r="BI70">
        <f>VLOOKUP($A70,'UN Treasury'!$A$1:$BQ$224,_xlfn.XMATCH(BI$1,'UN Treasury'!$A$1:$BQ$1,-1,1),FALSE)</f>
        <v>1166.3900000000001</v>
      </c>
      <c r="BJ70">
        <f>VLOOKUP($A70,'UN Treasury'!$A$1:$BQ$224,_xlfn.XMATCH(BJ$1,'UN Treasury'!$A$1:$BQ$1,-1,1),FALSE)</f>
        <v>1146.01</v>
      </c>
      <c r="BK70">
        <f>VLOOKUP($A70,'UN Treasury'!$A$1:$BQ$224,_xlfn.XMATCH(BK$1,'UN Treasury'!$A$1:$BQ$1,-1,1),FALSE)</f>
        <v>1129.6099999999999</v>
      </c>
      <c r="BL70">
        <f>VLOOKUP($A70,'UN Treasury'!$A$1:$BQ$224,_xlfn.XMATCH(BL$1,'UN Treasury'!$A$1:$BQ$1,-1,1),FALSE)</f>
        <v>1117.5999999999999</v>
      </c>
      <c r="BM70">
        <f>VLOOKUP($A70,'UN Treasury'!$A$1:$BQ$224,_xlfn.XMATCH(BM$1,'UN Treasury'!$A$1:$BQ$1,-1,1),FALSE)</f>
        <v>1108.1500000000001</v>
      </c>
      <c r="BN70">
        <f>VLOOKUP($A70,'UN Treasury'!$A$1:$BQ$224,_xlfn.XMATCH(BN$1,'UN Treasury'!$A$1:$BQ$1,-1,1),FALSE)</f>
        <v>1133.5</v>
      </c>
      <c r="BO70">
        <f>VLOOKUP($A70,'UN Treasury'!$A$1:$BQ$224,_xlfn.XMATCH(BO$1,'UN Treasury'!$A$1:$BQ$1,-1,1),FALSE)</f>
        <v>1107.53</v>
      </c>
      <c r="BP70">
        <f>VLOOKUP($A70,'UN Treasury'!$A$1:$BQ$224,_xlfn.XMATCH(BP$1,'UN Treasury'!$A$1:$BQ$1,-1,1),FALSE)</f>
        <v>1119.32</v>
      </c>
      <c r="BQ70">
        <f>VLOOKUP($A70,'UN Treasury'!$A$1:$BQ$224,_xlfn.XMATCH(BQ$1,'UN Treasury'!$A$1:$BQ$1,-1,1),FALSE)</f>
        <v>1091.97</v>
      </c>
    </row>
    <row r="71" spans="1:69" x14ac:dyDescent="0.25">
      <c r="A71" t="s">
        <v>167</v>
      </c>
      <c r="B71">
        <f>VLOOKUP($A71,'UN Treasury'!$A$1:$BQ$224,_xlfn.XMATCH(B$1,'UN Treasury'!$A$1:$BQ$1,-1,1),FALSE)</f>
        <v>0.30499999999999999</v>
      </c>
      <c r="C71">
        <f>VLOOKUP($A71,'UN Treasury'!$A$1:$BQ$224,_xlfn.XMATCH(C$1,'UN Treasury'!$A$1:$BQ$1,-1,1),FALSE)</f>
        <v>0.30499999999999999</v>
      </c>
      <c r="D71">
        <f>VLOOKUP($A71,'UN Treasury'!$A$1:$BQ$224,_xlfn.XMATCH(D$1,'UN Treasury'!$A$1:$BQ$1,-1,1),FALSE)</f>
        <v>0.30499999999999999</v>
      </c>
      <c r="E71">
        <f>VLOOKUP($A71,'UN Treasury'!$A$1:$BQ$224,_xlfn.XMATCH(E$1,'UN Treasury'!$A$1:$BQ$1,-1,1),FALSE)</f>
        <v>0.30499999999999999</v>
      </c>
      <c r="F71">
        <f>VLOOKUP($A71,'UN Treasury'!$A$1:$BQ$224,_xlfn.XMATCH(F$1,'UN Treasury'!$A$1:$BQ$1,-1,1),FALSE)</f>
        <v>0.308</v>
      </c>
      <c r="G71">
        <f>VLOOKUP($A71,'UN Treasury'!$A$1:$BQ$224,_xlfn.XMATCH(G$1,'UN Treasury'!$A$1:$BQ$1,-1,1),FALSE)</f>
        <v>0.307</v>
      </c>
      <c r="H71">
        <f>VLOOKUP($A71,'UN Treasury'!$A$1:$BQ$224,_xlfn.XMATCH(H$1,'UN Treasury'!$A$1:$BQ$1,-1,1),FALSE)</f>
        <v>0.307</v>
      </c>
      <c r="I71">
        <f>VLOOKUP($A71,'UN Treasury'!$A$1:$BQ$224,_xlfn.XMATCH(I$1,'UN Treasury'!$A$1:$BQ$1,-1,1),FALSE)</f>
        <v>0.308</v>
      </c>
      <c r="J71">
        <f>VLOOKUP($A71,'UN Treasury'!$A$1:$BQ$224,_xlfn.XMATCH(J$1,'UN Treasury'!$A$1:$BQ$1,-1,1),FALSE)</f>
        <v>0.307</v>
      </c>
      <c r="K71">
        <f>VLOOKUP($A71,'UN Treasury'!$A$1:$BQ$224,_xlfn.XMATCH(K$1,'UN Treasury'!$A$1:$BQ$1,-1,1),FALSE)</f>
        <v>0.307</v>
      </c>
      <c r="L71">
        <f>VLOOKUP($A71,'UN Treasury'!$A$1:$BQ$224,_xlfn.XMATCH(L$1,'UN Treasury'!$A$1:$BQ$1,-1,1),FALSE)</f>
        <v>0.30499999999999999</v>
      </c>
      <c r="M71">
        <f>VLOOKUP($A71,'UN Treasury'!$A$1:$BQ$224,_xlfn.XMATCH(M$1,'UN Treasury'!$A$1:$BQ$1,-1,1),FALSE)</f>
        <v>0.30499999999999999</v>
      </c>
      <c r="N71">
        <f>VLOOKUP($A71,'UN Treasury'!$A$1:$BQ$224,_xlfn.XMATCH(N$1,'UN Treasury'!$A$1:$BQ$1,-1,1),FALSE)</f>
        <v>0.30499999999999999</v>
      </c>
      <c r="O71">
        <f>VLOOKUP($A71,'UN Treasury'!$A$1:$BQ$224,_xlfn.XMATCH(O$1,'UN Treasury'!$A$1:$BQ$1,-1,1),FALSE)</f>
        <v>0.30599999999999999</v>
      </c>
      <c r="P71">
        <f>VLOOKUP($A71,'UN Treasury'!$A$1:$BQ$224,_xlfn.XMATCH(P$1,'UN Treasury'!$A$1:$BQ$1,-1,1),FALSE)</f>
        <v>0.30599999999999999</v>
      </c>
      <c r="Q71">
        <f>VLOOKUP($A71,'UN Treasury'!$A$1:$BQ$224,_xlfn.XMATCH(Q$1,'UN Treasury'!$A$1:$BQ$1,-1,1),FALSE)</f>
        <v>0.307</v>
      </c>
      <c r="R71">
        <f>VLOOKUP($A71,'UN Treasury'!$A$1:$BQ$224,_xlfn.XMATCH(R$1,'UN Treasury'!$A$1:$BQ$1,-1,1),FALSE)</f>
        <v>0.30599999999999999</v>
      </c>
      <c r="S71">
        <f>VLOOKUP($A71,'UN Treasury'!$A$1:$BQ$224,_xlfn.XMATCH(S$1,'UN Treasury'!$A$1:$BQ$1,-1,1),FALSE)</f>
        <v>0.308</v>
      </c>
      <c r="T71">
        <f>VLOOKUP($A71,'UN Treasury'!$A$1:$BQ$224,_xlfn.XMATCH(T$1,'UN Treasury'!$A$1:$BQ$1,-1,1),FALSE)</f>
        <v>0.309</v>
      </c>
      <c r="U71">
        <f>VLOOKUP($A71,'UN Treasury'!$A$1:$BQ$224,_xlfn.XMATCH(U$1,'UN Treasury'!$A$1:$BQ$1,-1,1),FALSE)</f>
        <v>0.309</v>
      </c>
      <c r="V71">
        <f>VLOOKUP($A71,'UN Treasury'!$A$1:$BQ$224,_xlfn.XMATCH(V$1,'UN Treasury'!$A$1:$BQ$1,-1,1),FALSE)</f>
        <v>0.308</v>
      </c>
      <c r="W71">
        <f>VLOOKUP($A71,'UN Treasury'!$A$1:$BQ$224,_xlfn.XMATCH(W$1,'UN Treasury'!$A$1:$BQ$1,-1,1),FALSE)</f>
        <v>0.307</v>
      </c>
      <c r="X71">
        <f>VLOOKUP($A71,'UN Treasury'!$A$1:$BQ$224,_xlfn.XMATCH(X$1,'UN Treasury'!$A$1:$BQ$1,-1,1),FALSE)</f>
        <v>0.30599999999999999</v>
      </c>
      <c r="Y71">
        <f>VLOOKUP($A71,'UN Treasury'!$A$1:$BQ$224,_xlfn.XMATCH(Y$1,'UN Treasury'!$A$1:$BQ$1,-1,1),FALSE)</f>
        <v>0.30499999999999999</v>
      </c>
      <c r="Z71">
        <f>VLOOKUP($A71,'UN Treasury'!$A$1:$BQ$224,_xlfn.XMATCH(Z$1,'UN Treasury'!$A$1:$BQ$1,-1,1),FALSE)</f>
        <v>0.30599999999999999</v>
      </c>
      <c r="AA71">
        <f>VLOOKUP($A71,'UN Treasury'!$A$1:$BQ$224,_xlfn.XMATCH(AA$1,'UN Treasury'!$A$1:$BQ$1,-1,1),FALSE)</f>
        <v>0.30599999999999999</v>
      </c>
      <c r="AB71">
        <f>VLOOKUP($A71,'UN Treasury'!$A$1:$BQ$224,_xlfn.XMATCH(AB$1,'UN Treasury'!$A$1:$BQ$1,-1,1),FALSE)</f>
        <v>0.30599999999999999</v>
      </c>
      <c r="AC71">
        <f>VLOOKUP($A71,'UN Treasury'!$A$1:$BQ$224,_xlfn.XMATCH(AC$1,'UN Treasury'!$A$1:$BQ$1,-1,1),FALSE)</f>
        <v>0.307</v>
      </c>
      <c r="AD71">
        <f>VLOOKUP($A71,'UN Treasury'!$A$1:$BQ$224,_xlfn.XMATCH(AD$1,'UN Treasury'!$A$1:$BQ$1,-1,1),FALSE)</f>
        <v>0.308</v>
      </c>
      <c r="AE71">
        <f>VLOOKUP($A71,'UN Treasury'!$A$1:$BQ$224,_xlfn.XMATCH(AE$1,'UN Treasury'!$A$1:$BQ$1,-1,1),FALSE)</f>
        <v>0.307</v>
      </c>
      <c r="AF71">
        <f>VLOOKUP($A71,'UN Treasury'!$A$1:$BQ$224,_xlfn.XMATCH(AF$1,'UN Treasury'!$A$1:$BQ$1,-1,1),FALSE)</f>
        <v>0.307</v>
      </c>
      <c r="AG71">
        <f>VLOOKUP($A71,'UN Treasury'!$A$1:$BQ$224,_xlfn.XMATCH(AG$1,'UN Treasury'!$A$1:$BQ$1,-1,1),FALSE)</f>
        <v>0.307</v>
      </c>
      <c r="AH71">
        <f>VLOOKUP($A71,'UN Treasury'!$A$1:$BQ$224,_xlfn.XMATCH(AH$1,'UN Treasury'!$A$1:$BQ$1,-1,1),FALSE)</f>
        <v>0.308</v>
      </c>
      <c r="AI71">
        <f>VLOOKUP($A71,'UN Treasury'!$A$1:$BQ$224,_xlfn.XMATCH(AI$1,'UN Treasury'!$A$1:$BQ$1,-1,1),FALSE)</f>
        <v>0.309</v>
      </c>
      <c r="AJ71">
        <f>VLOOKUP($A71,'UN Treasury'!$A$1:$BQ$224,_xlfn.XMATCH(AJ$1,'UN Treasury'!$A$1:$BQ$1,-1,1),FALSE)</f>
        <v>0.309</v>
      </c>
      <c r="AK71">
        <f>VLOOKUP($A71,'UN Treasury'!$A$1:$BQ$224,_xlfn.XMATCH(AK$1,'UN Treasury'!$A$1:$BQ$1,-1,1),FALSE)</f>
        <v>0.309</v>
      </c>
      <c r="AL71">
        <f>VLOOKUP($A71,'UN Treasury'!$A$1:$BQ$224,_xlfn.XMATCH(AL$1,'UN Treasury'!$A$1:$BQ$1,-1,1),FALSE)</f>
        <v>0.307</v>
      </c>
      <c r="AM71">
        <f>VLOOKUP($A71,'UN Treasury'!$A$1:$BQ$224,_xlfn.XMATCH(AM$1,'UN Treasury'!$A$1:$BQ$1,-1,1),FALSE)</f>
        <v>0.307</v>
      </c>
      <c r="AN71">
        <f>VLOOKUP($A71,'UN Treasury'!$A$1:$BQ$224,_xlfn.XMATCH(AN$1,'UN Treasury'!$A$1:$BQ$1,-1,1),FALSE)</f>
        <v>0.307</v>
      </c>
      <c r="AO71">
        <f>VLOOKUP($A71,'UN Treasury'!$A$1:$BQ$224,_xlfn.XMATCH(AO$1,'UN Treasury'!$A$1:$BQ$1,-1,1),FALSE)</f>
        <v>0.30599999999999999</v>
      </c>
      <c r="AP71">
        <f>VLOOKUP($A71,'UN Treasury'!$A$1:$BQ$224,_xlfn.XMATCH(AP$1,'UN Treasury'!$A$1:$BQ$1,-1,1),FALSE)</f>
        <v>0.30599999999999999</v>
      </c>
      <c r="AQ71">
        <f>VLOOKUP($A71,'UN Treasury'!$A$1:$BQ$224,_xlfn.XMATCH(AQ$1,'UN Treasury'!$A$1:$BQ$1,-1,1),FALSE)</f>
        <v>0.307</v>
      </c>
      <c r="AR71">
        <f>VLOOKUP($A71,'UN Treasury'!$A$1:$BQ$224,_xlfn.XMATCH(AR$1,'UN Treasury'!$A$1:$BQ$1,-1,1),FALSE)</f>
        <v>0.30599999999999999</v>
      </c>
      <c r="AS71">
        <f>VLOOKUP($A71,'UN Treasury'!$A$1:$BQ$224,_xlfn.XMATCH(AS$1,'UN Treasury'!$A$1:$BQ$1,-1,1),FALSE)</f>
        <v>0.30599999999999999</v>
      </c>
      <c r="AT71">
        <f>VLOOKUP($A71,'UN Treasury'!$A$1:$BQ$224,_xlfn.XMATCH(AT$1,'UN Treasury'!$A$1:$BQ$1,-1,1),FALSE)</f>
        <v>0.307</v>
      </c>
      <c r="AU71">
        <f>VLOOKUP($A71,'UN Treasury'!$A$1:$BQ$224,_xlfn.XMATCH(AU$1,'UN Treasury'!$A$1:$BQ$1,-1,1),FALSE)</f>
        <v>0.307</v>
      </c>
      <c r="AV71">
        <f>VLOOKUP($A71,'UN Treasury'!$A$1:$BQ$224,_xlfn.XMATCH(AV$1,'UN Treasury'!$A$1:$BQ$1,-1,1),FALSE)</f>
        <v>0.31</v>
      </c>
      <c r="AW71">
        <f>VLOOKUP($A71,'UN Treasury'!$A$1:$BQ$224,_xlfn.XMATCH(AW$1,'UN Treasury'!$A$1:$BQ$1,-1,1),FALSE)</f>
        <v>0.308</v>
      </c>
      <c r="AX71">
        <f>VLOOKUP($A71,'UN Treasury'!$A$1:$BQ$224,_xlfn.XMATCH(AX$1,'UN Treasury'!$A$1:$BQ$1,-1,1),FALSE)</f>
        <v>0.30599999999999999</v>
      </c>
      <c r="AY71">
        <f>VLOOKUP($A71,'UN Treasury'!$A$1:$BQ$224,_xlfn.XMATCH(AY$1,'UN Treasury'!$A$1:$BQ$1,-1,1),FALSE)</f>
        <v>0.308</v>
      </c>
      <c r="AZ71">
        <f>VLOOKUP($A71,'UN Treasury'!$A$1:$BQ$224,_xlfn.XMATCH(AZ$1,'UN Treasury'!$A$1:$BQ$1,-1,1),FALSE)</f>
        <v>0.307</v>
      </c>
      <c r="BA71">
        <f>VLOOKUP($A71,'UN Treasury'!$A$1:$BQ$224,_xlfn.XMATCH(BA$1,'UN Treasury'!$A$1:$BQ$1,-1,1),FALSE)</f>
        <v>0.307</v>
      </c>
      <c r="BB71">
        <f>VLOOKUP($A71,'UN Treasury'!$A$1:$BQ$224,_xlfn.XMATCH(BB$1,'UN Treasury'!$A$1:$BQ$1,-1,1),FALSE)</f>
        <v>0.30499999999999999</v>
      </c>
      <c r="BC71">
        <f>VLOOKUP($A71,'UN Treasury'!$A$1:$BQ$224,_xlfn.XMATCH(BC$1,'UN Treasury'!$A$1:$BQ$1,-1,1),FALSE)</f>
        <v>0.30399999999999999</v>
      </c>
      <c r="BD71">
        <f>VLOOKUP($A71,'UN Treasury'!$A$1:$BQ$224,_xlfn.XMATCH(BD$1,'UN Treasury'!$A$1:$BQ$1,-1,1),FALSE)</f>
        <v>0.30199999999999999</v>
      </c>
      <c r="BE71">
        <f>VLOOKUP($A71,'UN Treasury'!$A$1:$BQ$224,_xlfn.XMATCH(BE$1,'UN Treasury'!$A$1:$BQ$1,-1,1),FALSE)</f>
        <v>0.30199999999999999</v>
      </c>
      <c r="BF71">
        <f>VLOOKUP($A71,'UN Treasury'!$A$1:$BQ$224,_xlfn.XMATCH(BF$1,'UN Treasury'!$A$1:$BQ$1,-1,1),FALSE)</f>
        <v>0.30299999999999999</v>
      </c>
      <c r="BG71">
        <f>VLOOKUP($A71,'UN Treasury'!$A$1:$BQ$224,_xlfn.XMATCH(BG$1,'UN Treasury'!$A$1:$BQ$1,-1,1),FALSE)</f>
        <v>0.30199999999999999</v>
      </c>
      <c r="BH71">
        <f>VLOOKUP($A71,'UN Treasury'!$A$1:$BQ$224,_xlfn.XMATCH(BH$1,'UN Treasury'!$A$1:$BQ$1,-1,1),FALSE)</f>
        <v>0.30099999999999999</v>
      </c>
      <c r="BI71">
        <f>VLOOKUP($A71,'UN Treasury'!$A$1:$BQ$224,_xlfn.XMATCH(BI$1,'UN Treasury'!$A$1:$BQ$1,-1,1),FALSE)</f>
        <v>0.30099999999999999</v>
      </c>
      <c r="BJ71">
        <f>VLOOKUP($A71,'UN Treasury'!$A$1:$BQ$224,_xlfn.XMATCH(BJ$1,'UN Treasury'!$A$1:$BQ$1,-1,1),FALSE)</f>
        <v>0.3</v>
      </c>
      <c r="BK71">
        <f>VLOOKUP($A71,'UN Treasury'!$A$1:$BQ$224,_xlfn.XMATCH(BK$1,'UN Treasury'!$A$1:$BQ$1,-1,1),FALSE)</f>
        <v>0.30099999999999999</v>
      </c>
      <c r="BL71">
        <f>VLOOKUP($A71,'UN Treasury'!$A$1:$BQ$224,_xlfn.XMATCH(BL$1,'UN Treasury'!$A$1:$BQ$1,-1,1),FALSE)</f>
        <v>0.30099999999999999</v>
      </c>
      <c r="BM71">
        <f>VLOOKUP($A71,'UN Treasury'!$A$1:$BQ$224,_xlfn.XMATCH(BM$1,'UN Treasury'!$A$1:$BQ$1,-1,1),FALSE)</f>
        <v>0.30099999999999999</v>
      </c>
      <c r="BN71">
        <f>VLOOKUP($A71,'UN Treasury'!$A$1:$BQ$224,_xlfn.XMATCH(BN$1,'UN Treasury'!$A$1:$BQ$1,-1,1),FALSE)</f>
        <v>0.30199999999999999</v>
      </c>
      <c r="BO71">
        <f>VLOOKUP($A71,'UN Treasury'!$A$1:$BQ$224,_xlfn.XMATCH(BO$1,'UN Treasury'!$A$1:$BQ$1,-1,1),FALSE)</f>
        <v>0.30199999999999999</v>
      </c>
      <c r="BP71">
        <f>VLOOKUP($A71,'UN Treasury'!$A$1:$BQ$224,_xlfn.XMATCH(BP$1,'UN Treasury'!$A$1:$BQ$1,-1,1),FALSE)</f>
        <v>0.30299999999999999</v>
      </c>
      <c r="BQ71">
        <f>VLOOKUP($A71,'UN Treasury'!$A$1:$BQ$224,_xlfn.XMATCH(BQ$1,'UN Treasury'!$A$1:$BQ$1,-1,1),FALSE)</f>
        <v>0.30499999999999999</v>
      </c>
    </row>
    <row r="72" spans="1:69" x14ac:dyDescent="0.25">
      <c r="A72" t="s">
        <v>169</v>
      </c>
      <c r="B72">
        <f>VLOOKUP($A72,'UN Treasury'!$A$1:$BQ$224,_xlfn.XMATCH(B$1,'UN Treasury'!$A$1:$BQ$1,-1,1),FALSE)</f>
        <v>0.82</v>
      </c>
      <c r="C72">
        <f>VLOOKUP($A72,'UN Treasury'!$A$1:$BQ$224,_xlfn.XMATCH(C$1,'UN Treasury'!$A$1:$BQ$1,-1,1),FALSE)</f>
        <v>0.82</v>
      </c>
      <c r="D72">
        <f>VLOOKUP($A72,'UN Treasury'!$A$1:$BQ$224,_xlfn.XMATCH(D$1,'UN Treasury'!$A$1:$BQ$1,-1,1),FALSE)</f>
        <v>0.82</v>
      </c>
      <c r="E72">
        <f>VLOOKUP($A72,'UN Treasury'!$A$1:$BQ$224,_xlfn.XMATCH(E$1,'UN Treasury'!$A$1:$BQ$1,-1,1),FALSE)</f>
        <v>0.82</v>
      </c>
      <c r="F72">
        <f>VLOOKUP($A72,'UN Treasury'!$A$1:$BQ$224,_xlfn.XMATCH(F$1,'UN Treasury'!$A$1:$BQ$1,-1,1),FALSE)</f>
        <v>0.82</v>
      </c>
      <c r="G72">
        <f>VLOOKUP($A72,'UN Treasury'!$A$1:$BQ$224,_xlfn.XMATCH(G$1,'UN Treasury'!$A$1:$BQ$1,-1,1),FALSE)</f>
        <v>0.82</v>
      </c>
      <c r="H72">
        <f>VLOOKUP($A72,'UN Treasury'!$A$1:$BQ$224,_xlfn.XMATCH(H$1,'UN Treasury'!$A$1:$BQ$1,-1,1),FALSE)</f>
        <v>0.82</v>
      </c>
      <c r="I72">
        <f>VLOOKUP($A72,'UN Treasury'!$A$1:$BQ$224,_xlfn.XMATCH(I$1,'UN Treasury'!$A$1:$BQ$1,-1,1),FALSE)</f>
        <v>0.82</v>
      </c>
      <c r="J72">
        <f>VLOOKUP($A72,'UN Treasury'!$A$1:$BQ$224,_xlfn.XMATCH(J$1,'UN Treasury'!$A$1:$BQ$1,-1,1),FALSE)</f>
        <v>0.82</v>
      </c>
      <c r="K72">
        <f>VLOOKUP($A72,'UN Treasury'!$A$1:$BQ$224,_xlfn.XMATCH(K$1,'UN Treasury'!$A$1:$BQ$1,-1,1),FALSE)</f>
        <v>0.82</v>
      </c>
      <c r="L72">
        <f>VLOOKUP($A72,'UN Treasury'!$A$1:$BQ$224,_xlfn.XMATCH(L$1,'UN Treasury'!$A$1:$BQ$1,-1,1),FALSE)</f>
        <v>0.82</v>
      </c>
      <c r="M72">
        <f>VLOOKUP($A72,'UN Treasury'!$A$1:$BQ$224,_xlfn.XMATCH(M$1,'UN Treasury'!$A$1:$BQ$1,-1,1),FALSE)</f>
        <v>0.82</v>
      </c>
      <c r="N72">
        <f>VLOOKUP($A72,'UN Treasury'!$A$1:$BQ$224,_xlfn.XMATCH(N$1,'UN Treasury'!$A$1:$BQ$1,-1,1),FALSE)</f>
        <v>0.82</v>
      </c>
      <c r="O72">
        <f>VLOOKUP($A72,'UN Treasury'!$A$1:$BQ$224,_xlfn.XMATCH(O$1,'UN Treasury'!$A$1:$BQ$1,-1,1),FALSE)</f>
        <v>0.82</v>
      </c>
      <c r="P72">
        <f>VLOOKUP($A72,'UN Treasury'!$A$1:$BQ$224,_xlfn.XMATCH(P$1,'UN Treasury'!$A$1:$BQ$1,-1,1),FALSE)</f>
        <v>0.82</v>
      </c>
      <c r="Q72">
        <f>VLOOKUP($A72,'UN Treasury'!$A$1:$BQ$224,_xlfn.XMATCH(Q$1,'UN Treasury'!$A$1:$BQ$1,-1,1),FALSE)</f>
        <v>0.82</v>
      </c>
      <c r="R72">
        <f>VLOOKUP($A72,'UN Treasury'!$A$1:$BQ$224,_xlfn.XMATCH(R$1,'UN Treasury'!$A$1:$BQ$1,-1,1),FALSE)</f>
        <v>0.82</v>
      </c>
      <c r="S72">
        <f>VLOOKUP($A72,'UN Treasury'!$A$1:$BQ$224,_xlfn.XMATCH(S$1,'UN Treasury'!$A$1:$BQ$1,-1,1),FALSE)</f>
        <v>0.82</v>
      </c>
      <c r="T72">
        <f>VLOOKUP($A72,'UN Treasury'!$A$1:$BQ$224,_xlfn.XMATCH(T$1,'UN Treasury'!$A$1:$BQ$1,-1,1),FALSE)</f>
        <v>0.82</v>
      </c>
      <c r="U72">
        <f>VLOOKUP($A72,'UN Treasury'!$A$1:$BQ$224,_xlfn.XMATCH(U$1,'UN Treasury'!$A$1:$BQ$1,-1,1),FALSE)</f>
        <v>0.82</v>
      </c>
      <c r="V72">
        <f>VLOOKUP($A72,'UN Treasury'!$A$1:$BQ$224,_xlfn.XMATCH(V$1,'UN Treasury'!$A$1:$BQ$1,-1,1),FALSE)</f>
        <v>0.82</v>
      </c>
      <c r="W72">
        <f>VLOOKUP($A72,'UN Treasury'!$A$1:$BQ$224,_xlfn.XMATCH(W$1,'UN Treasury'!$A$1:$BQ$1,-1,1),FALSE)</f>
        <v>0.82</v>
      </c>
      <c r="X72">
        <f>VLOOKUP($A72,'UN Treasury'!$A$1:$BQ$224,_xlfn.XMATCH(X$1,'UN Treasury'!$A$1:$BQ$1,-1,1),FALSE)</f>
        <v>0.82</v>
      </c>
      <c r="Y72">
        <f>VLOOKUP($A72,'UN Treasury'!$A$1:$BQ$224,_xlfn.XMATCH(Y$1,'UN Treasury'!$A$1:$BQ$1,-1,1),FALSE)</f>
        <v>0.82</v>
      </c>
      <c r="Z72">
        <f>VLOOKUP($A72,'UN Treasury'!$A$1:$BQ$224,_xlfn.XMATCH(Z$1,'UN Treasury'!$A$1:$BQ$1,-1,1),FALSE)</f>
        <v>0.82</v>
      </c>
      <c r="AA72">
        <f>VLOOKUP($A72,'UN Treasury'!$A$1:$BQ$224,_xlfn.XMATCH(AA$1,'UN Treasury'!$A$1:$BQ$1,-1,1),FALSE)</f>
        <v>0.82</v>
      </c>
      <c r="AB72">
        <f>VLOOKUP($A72,'UN Treasury'!$A$1:$BQ$224,_xlfn.XMATCH(AB$1,'UN Treasury'!$A$1:$BQ$1,-1,1),FALSE)</f>
        <v>0.82</v>
      </c>
      <c r="AC72">
        <f>VLOOKUP($A72,'UN Treasury'!$A$1:$BQ$224,_xlfn.XMATCH(AC$1,'UN Treasury'!$A$1:$BQ$1,-1,1),FALSE)</f>
        <v>0.82</v>
      </c>
      <c r="AD72">
        <f>VLOOKUP($A72,'UN Treasury'!$A$1:$BQ$224,_xlfn.XMATCH(AD$1,'UN Treasury'!$A$1:$BQ$1,-1,1),FALSE)</f>
        <v>0.82</v>
      </c>
      <c r="AE72">
        <f>VLOOKUP($A72,'UN Treasury'!$A$1:$BQ$224,_xlfn.XMATCH(AE$1,'UN Treasury'!$A$1:$BQ$1,-1,1),FALSE)</f>
        <v>0.82</v>
      </c>
      <c r="AF72">
        <f>VLOOKUP($A72,'UN Treasury'!$A$1:$BQ$224,_xlfn.XMATCH(AF$1,'UN Treasury'!$A$1:$BQ$1,-1,1),FALSE)</f>
        <v>0.82</v>
      </c>
      <c r="AG72">
        <f>VLOOKUP($A72,'UN Treasury'!$A$1:$BQ$224,_xlfn.XMATCH(AG$1,'UN Treasury'!$A$1:$BQ$1,-1,1),FALSE)</f>
        <v>0.82</v>
      </c>
      <c r="AH72">
        <f>VLOOKUP($A72,'UN Treasury'!$A$1:$BQ$224,_xlfn.XMATCH(AH$1,'UN Treasury'!$A$1:$BQ$1,-1,1),FALSE)</f>
        <v>0.82</v>
      </c>
      <c r="AI72">
        <f>VLOOKUP($A72,'UN Treasury'!$A$1:$BQ$224,_xlfn.XMATCH(AI$1,'UN Treasury'!$A$1:$BQ$1,-1,1),FALSE)</f>
        <v>0.82</v>
      </c>
      <c r="AJ72">
        <f>VLOOKUP($A72,'UN Treasury'!$A$1:$BQ$224,_xlfn.XMATCH(AJ$1,'UN Treasury'!$A$1:$BQ$1,-1,1),FALSE)</f>
        <v>0.82</v>
      </c>
      <c r="AK72">
        <f>VLOOKUP($A72,'UN Treasury'!$A$1:$BQ$224,_xlfn.XMATCH(AK$1,'UN Treasury'!$A$1:$BQ$1,-1,1),FALSE)</f>
        <v>0.82</v>
      </c>
      <c r="AL72">
        <f>VLOOKUP($A72,'UN Treasury'!$A$1:$BQ$224,_xlfn.XMATCH(AL$1,'UN Treasury'!$A$1:$BQ$1,-1,1),FALSE)</f>
        <v>0.82</v>
      </c>
      <c r="AM72">
        <f>VLOOKUP($A72,'UN Treasury'!$A$1:$BQ$224,_xlfn.XMATCH(AM$1,'UN Treasury'!$A$1:$BQ$1,-1,1),FALSE)</f>
        <v>0.82</v>
      </c>
      <c r="AN72">
        <f>VLOOKUP($A72,'UN Treasury'!$A$1:$BQ$224,_xlfn.XMATCH(AN$1,'UN Treasury'!$A$1:$BQ$1,-1,1),FALSE)</f>
        <v>0.82</v>
      </c>
      <c r="AO72">
        <f>VLOOKUP($A72,'UN Treasury'!$A$1:$BQ$224,_xlfn.XMATCH(AO$1,'UN Treasury'!$A$1:$BQ$1,-1,1),FALSE)</f>
        <v>0.82</v>
      </c>
      <c r="AP72">
        <f>VLOOKUP($A72,'UN Treasury'!$A$1:$BQ$224,_xlfn.XMATCH(AP$1,'UN Treasury'!$A$1:$BQ$1,-1,1),FALSE)</f>
        <v>0.82</v>
      </c>
      <c r="AQ72">
        <f>VLOOKUP($A72,'UN Treasury'!$A$1:$BQ$224,_xlfn.XMATCH(AQ$1,'UN Treasury'!$A$1:$BQ$1,-1,1),FALSE)</f>
        <v>0.82</v>
      </c>
      <c r="AR72">
        <f>VLOOKUP($A72,'UN Treasury'!$A$1:$BQ$224,_xlfn.XMATCH(AR$1,'UN Treasury'!$A$1:$BQ$1,-1,1),FALSE)</f>
        <v>0.82</v>
      </c>
      <c r="AS72">
        <f>VLOOKUP($A72,'UN Treasury'!$A$1:$BQ$224,_xlfn.XMATCH(AS$1,'UN Treasury'!$A$1:$BQ$1,-1,1),FALSE)</f>
        <v>0.82</v>
      </c>
      <c r="AT72">
        <f>VLOOKUP($A72,'UN Treasury'!$A$1:$BQ$224,_xlfn.XMATCH(AT$1,'UN Treasury'!$A$1:$BQ$1,-1,1),FALSE)</f>
        <v>0.82</v>
      </c>
      <c r="AU72">
        <f>VLOOKUP($A72,'UN Treasury'!$A$1:$BQ$224,_xlfn.XMATCH(AU$1,'UN Treasury'!$A$1:$BQ$1,-1,1),FALSE)</f>
        <v>0.82</v>
      </c>
      <c r="AV72">
        <f>VLOOKUP($A72,'UN Treasury'!$A$1:$BQ$224,_xlfn.XMATCH(AV$1,'UN Treasury'!$A$1:$BQ$1,-1,1),FALSE)</f>
        <v>0.82</v>
      </c>
      <c r="AW72">
        <f>VLOOKUP($A72,'UN Treasury'!$A$1:$BQ$224,_xlfn.XMATCH(AW$1,'UN Treasury'!$A$1:$BQ$1,-1,1),FALSE)</f>
        <v>0.82</v>
      </c>
      <c r="AX72">
        <f>VLOOKUP($A72,'UN Treasury'!$A$1:$BQ$224,_xlfn.XMATCH(AX$1,'UN Treasury'!$A$1:$BQ$1,-1,1),FALSE)</f>
        <v>0.82</v>
      </c>
      <c r="AY72">
        <f>VLOOKUP($A72,'UN Treasury'!$A$1:$BQ$224,_xlfn.XMATCH(AY$1,'UN Treasury'!$A$1:$BQ$1,-1,1),FALSE)</f>
        <v>0.82</v>
      </c>
      <c r="AZ72">
        <f>VLOOKUP($A72,'UN Treasury'!$A$1:$BQ$224,_xlfn.XMATCH(AZ$1,'UN Treasury'!$A$1:$BQ$1,-1,1),FALSE)</f>
        <v>0.82</v>
      </c>
      <c r="BA72">
        <f>VLOOKUP($A72,'UN Treasury'!$A$1:$BQ$224,_xlfn.XMATCH(BA$1,'UN Treasury'!$A$1:$BQ$1,-1,1),FALSE)</f>
        <v>0.82</v>
      </c>
      <c r="BB72">
        <f>VLOOKUP($A72,'UN Treasury'!$A$1:$BQ$224,_xlfn.XMATCH(BB$1,'UN Treasury'!$A$1:$BQ$1,-1,1),FALSE)</f>
        <v>0.82</v>
      </c>
      <c r="BC72">
        <f>VLOOKUP($A72,'UN Treasury'!$A$1:$BQ$224,_xlfn.XMATCH(BC$1,'UN Treasury'!$A$1:$BQ$1,-1,1),FALSE)</f>
        <v>0.82</v>
      </c>
      <c r="BD72">
        <f>VLOOKUP($A72,'UN Treasury'!$A$1:$BQ$224,_xlfn.XMATCH(BD$1,'UN Treasury'!$A$1:$BQ$1,-1,1),FALSE)</f>
        <v>0.82</v>
      </c>
      <c r="BE72">
        <f>VLOOKUP($A72,'UN Treasury'!$A$1:$BQ$224,_xlfn.XMATCH(BE$1,'UN Treasury'!$A$1:$BQ$1,-1,1),FALSE)</f>
        <v>0.82</v>
      </c>
      <c r="BF72">
        <f>VLOOKUP($A72,'UN Treasury'!$A$1:$BQ$224,_xlfn.XMATCH(BF$1,'UN Treasury'!$A$1:$BQ$1,-1,1),FALSE)</f>
        <v>0.82</v>
      </c>
      <c r="BG72">
        <f>VLOOKUP($A72,'UN Treasury'!$A$1:$BQ$224,_xlfn.XMATCH(BG$1,'UN Treasury'!$A$1:$BQ$1,-1,1),FALSE)</f>
        <v>0.82</v>
      </c>
      <c r="BH72">
        <f>VLOOKUP($A72,'UN Treasury'!$A$1:$BQ$224,_xlfn.XMATCH(BH$1,'UN Treasury'!$A$1:$BQ$1,-1,1),FALSE)</f>
        <v>0.82</v>
      </c>
      <c r="BI72">
        <f>VLOOKUP($A72,'UN Treasury'!$A$1:$BQ$224,_xlfn.XMATCH(BI$1,'UN Treasury'!$A$1:$BQ$1,-1,1),FALSE)</f>
        <v>0.82</v>
      </c>
      <c r="BJ72">
        <f>VLOOKUP($A72,'UN Treasury'!$A$1:$BQ$224,_xlfn.XMATCH(BJ$1,'UN Treasury'!$A$1:$BQ$1,-1,1),FALSE)</f>
        <v>0.82</v>
      </c>
      <c r="BK72">
        <f>VLOOKUP($A72,'UN Treasury'!$A$1:$BQ$224,_xlfn.XMATCH(BK$1,'UN Treasury'!$A$1:$BQ$1,-1,1),FALSE)</f>
        <v>0.82</v>
      </c>
      <c r="BL72">
        <f>VLOOKUP($A72,'UN Treasury'!$A$1:$BQ$224,_xlfn.XMATCH(BL$1,'UN Treasury'!$A$1:$BQ$1,-1,1),FALSE)</f>
        <v>0.82</v>
      </c>
      <c r="BM72">
        <f>VLOOKUP($A72,'UN Treasury'!$A$1:$BQ$224,_xlfn.XMATCH(BM$1,'UN Treasury'!$A$1:$BQ$1,-1,1),FALSE)</f>
        <v>0.82</v>
      </c>
      <c r="BN72">
        <f>VLOOKUP($A72,'UN Treasury'!$A$1:$BQ$224,_xlfn.XMATCH(BN$1,'UN Treasury'!$A$1:$BQ$1,-1,1),FALSE)</f>
        <v>0.82</v>
      </c>
      <c r="BO72">
        <f>VLOOKUP($A72,'UN Treasury'!$A$1:$BQ$224,_xlfn.XMATCH(BO$1,'UN Treasury'!$A$1:$BQ$1,-1,1),FALSE)</f>
        <v>0.82</v>
      </c>
      <c r="BP72">
        <f>VLOOKUP($A72,'UN Treasury'!$A$1:$BQ$224,_xlfn.XMATCH(BP$1,'UN Treasury'!$A$1:$BQ$1,-1,1),FALSE)</f>
        <v>0.82</v>
      </c>
      <c r="BQ72">
        <f>VLOOKUP($A72,'UN Treasury'!$A$1:$BQ$224,_xlfn.XMATCH(BQ$1,'UN Treasury'!$A$1:$BQ$1,-1,1),FALSE)</f>
        <v>0.82</v>
      </c>
    </row>
    <row r="73" spans="1:69" x14ac:dyDescent="0.25">
      <c r="A73" t="s">
        <v>171</v>
      </c>
      <c r="B73">
        <f>VLOOKUP($A73,'UN Treasury'!$A$1:$BQ$224,_xlfn.XMATCH(B$1,'UN Treasury'!$A$1:$BQ$1,-1,1),FALSE)</f>
        <v>464.94</v>
      </c>
      <c r="C73">
        <f>VLOOKUP($A73,'UN Treasury'!$A$1:$BQ$224,_xlfn.XMATCH(C$1,'UN Treasury'!$A$1:$BQ$1,-1,1),FALSE)</f>
        <v>472.76</v>
      </c>
      <c r="D73">
        <f>VLOOKUP($A73,'UN Treasury'!$A$1:$BQ$224,_xlfn.XMATCH(D$1,'UN Treasury'!$A$1:$BQ$1,-1,1),FALSE)</f>
        <v>487.86</v>
      </c>
      <c r="E73">
        <f>VLOOKUP($A73,'UN Treasury'!$A$1:$BQ$224,_xlfn.XMATCH(E$1,'UN Treasury'!$A$1:$BQ$1,-1,1),FALSE)</f>
        <v>469.46</v>
      </c>
      <c r="F73">
        <f>VLOOKUP($A73,'UN Treasury'!$A$1:$BQ$224,_xlfn.XMATCH(F$1,'UN Treasury'!$A$1:$BQ$1,-1,1),FALSE)</f>
        <v>476.2</v>
      </c>
      <c r="G73">
        <f>VLOOKUP($A73,'UN Treasury'!$A$1:$BQ$224,_xlfn.XMATCH(G$1,'UN Treasury'!$A$1:$BQ$1,-1,1),FALSE)</f>
        <v>489.26</v>
      </c>
      <c r="H73">
        <f>VLOOKUP($A73,'UN Treasury'!$A$1:$BQ$224,_xlfn.XMATCH(H$1,'UN Treasury'!$A$1:$BQ$1,-1,1),FALSE)</f>
        <v>494.55</v>
      </c>
      <c r="I73">
        <f>VLOOKUP($A73,'UN Treasury'!$A$1:$BQ$224,_xlfn.XMATCH(I$1,'UN Treasury'!$A$1:$BQ$1,-1,1),FALSE)</f>
        <v>509</v>
      </c>
      <c r="J73">
        <f>VLOOKUP($A73,'UN Treasury'!$A$1:$BQ$224,_xlfn.XMATCH(J$1,'UN Treasury'!$A$1:$BQ$1,-1,1),FALSE)</f>
        <v>520.25</v>
      </c>
      <c r="K73">
        <f>VLOOKUP($A73,'UN Treasury'!$A$1:$BQ$224,_xlfn.XMATCH(K$1,'UN Treasury'!$A$1:$BQ$1,-1,1),FALSE)</f>
        <v>524.45000000000005</v>
      </c>
      <c r="L73">
        <f>VLOOKUP($A73,'UN Treasury'!$A$1:$BQ$224,_xlfn.XMATCH(L$1,'UN Treasury'!$A$1:$BQ$1,-1,1),FALSE)</f>
        <v>537.29999999999995</v>
      </c>
      <c r="M73">
        <f>VLOOKUP($A73,'UN Treasury'!$A$1:$BQ$224,_xlfn.XMATCH(M$1,'UN Treasury'!$A$1:$BQ$1,-1,1),FALSE)</f>
        <v>539.23</v>
      </c>
      <c r="N73">
        <f>VLOOKUP($A73,'UN Treasury'!$A$1:$BQ$224,_xlfn.XMATCH(N$1,'UN Treasury'!$A$1:$BQ$1,-1,1),FALSE)</f>
        <v>537.92999999999995</v>
      </c>
      <c r="O73">
        <f>VLOOKUP($A73,'UN Treasury'!$A$1:$BQ$224,_xlfn.XMATCH(O$1,'UN Treasury'!$A$1:$BQ$1,-1,1),FALSE)</f>
        <v>523.16</v>
      </c>
      <c r="P73">
        <f>VLOOKUP($A73,'UN Treasury'!$A$1:$BQ$224,_xlfn.XMATCH(P$1,'UN Treasury'!$A$1:$BQ$1,-1,1),FALSE)</f>
        <v>510.55</v>
      </c>
      <c r="Q73">
        <f>VLOOKUP($A73,'UN Treasury'!$A$1:$BQ$224,_xlfn.XMATCH(Q$1,'UN Treasury'!$A$1:$BQ$1,-1,1),FALSE)</f>
        <v>508.1</v>
      </c>
      <c r="R73">
        <f>VLOOKUP($A73,'UN Treasury'!$A$1:$BQ$224,_xlfn.XMATCH(R$1,'UN Treasury'!$A$1:$BQ$1,-1,1),FALSE)</f>
        <v>517.83000000000004</v>
      </c>
      <c r="S73">
        <f>VLOOKUP($A73,'UN Treasury'!$A$1:$BQ$224,_xlfn.XMATCH(S$1,'UN Treasury'!$A$1:$BQ$1,-1,1),FALSE)</f>
        <v>491.44</v>
      </c>
      <c r="T73">
        <f>VLOOKUP($A73,'UN Treasury'!$A$1:$BQ$224,_xlfn.XMATCH(T$1,'UN Treasury'!$A$1:$BQ$1,-1,1),FALSE)</f>
        <v>504.24</v>
      </c>
      <c r="U73">
        <f>VLOOKUP($A73,'UN Treasury'!$A$1:$BQ$224,_xlfn.XMATCH(U$1,'UN Treasury'!$A$1:$BQ$1,-1,1),FALSE)</f>
        <v>530.39</v>
      </c>
      <c r="V73">
        <f>VLOOKUP($A73,'UN Treasury'!$A$1:$BQ$224,_xlfn.XMATCH(V$1,'UN Treasury'!$A$1:$BQ$1,-1,1),FALSE)</f>
        <v>521.13</v>
      </c>
      <c r="W73">
        <f>VLOOKUP($A73,'UN Treasury'!$A$1:$BQ$224,_xlfn.XMATCH(W$1,'UN Treasury'!$A$1:$BQ$1,-1,1),FALSE)</f>
        <v>492.37</v>
      </c>
      <c r="X73">
        <f>VLOOKUP($A73,'UN Treasury'!$A$1:$BQ$224,_xlfn.XMATCH(X$1,'UN Treasury'!$A$1:$BQ$1,-1,1),FALSE)</f>
        <v>483.92</v>
      </c>
      <c r="Y73">
        <f>VLOOKUP($A73,'UN Treasury'!$A$1:$BQ$224,_xlfn.XMATCH(Y$1,'UN Treasury'!$A$1:$BQ$1,-1,1),FALSE)</f>
        <v>477.35</v>
      </c>
      <c r="Z73">
        <f>VLOOKUP($A73,'UN Treasury'!$A$1:$BQ$224,_xlfn.XMATCH(Z$1,'UN Treasury'!$A$1:$BQ$1,-1,1),FALSE)</f>
        <v>479.86</v>
      </c>
      <c r="AA73">
        <f>VLOOKUP($A73,'UN Treasury'!$A$1:$BQ$224,_xlfn.XMATCH(AA$1,'UN Treasury'!$A$1:$BQ$1,-1,1),FALSE)</f>
        <v>474.05</v>
      </c>
      <c r="AB73">
        <f>VLOOKUP($A73,'UN Treasury'!$A$1:$BQ$224,_xlfn.XMATCH(AB$1,'UN Treasury'!$A$1:$BQ$1,-1,1),FALSE)</f>
        <v>450.11</v>
      </c>
      <c r="AC73">
        <f>VLOOKUP($A73,'UN Treasury'!$A$1:$BQ$224,_xlfn.XMATCH(AC$1,'UN Treasury'!$A$1:$BQ$1,-1,1),FALSE)</f>
        <v>441.59</v>
      </c>
      <c r="AD73">
        <f>VLOOKUP($A73,'UN Treasury'!$A$1:$BQ$224,_xlfn.XMATCH(AD$1,'UN Treasury'!$A$1:$BQ$1,-1,1),FALSE)</f>
        <v>447.26</v>
      </c>
      <c r="AE73">
        <f>VLOOKUP($A73,'UN Treasury'!$A$1:$BQ$224,_xlfn.XMATCH(AE$1,'UN Treasury'!$A$1:$BQ$1,-1,1),FALSE)</f>
        <v>449.54</v>
      </c>
      <c r="AF73">
        <f>VLOOKUP($A73,'UN Treasury'!$A$1:$BQ$224,_xlfn.XMATCH(AF$1,'UN Treasury'!$A$1:$BQ$1,-1,1),FALSE)</f>
        <v>447.75</v>
      </c>
      <c r="AG73">
        <f>VLOOKUP($A73,'UN Treasury'!$A$1:$BQ$224,_xlfn.XMATCH(AG$1,'UN Treasury'!$A$1:$BQ$1,-1,1),FALSE)</f>
        <v>451.86</v>
      </c>
      <c r="AH73">
        <f>VLOOKUP($A73,'UN Treasury'!$A$1:$BQ$224,_xlfn.XMATCH(AH$1,'UN Treasury'!$A$1:$BQ$1,-1,1),FALSE)</f>
        <v>457.13</v>
      </c>
      <c r="AI73">
        <f>VLOOKUP($A73,'UN Treasury'!$A$1:$BQ$224,_xlfn.XMATCH(AI$1,'UN Treasury'!$A$1:$BQ$1,-1,1),FALSE)</f>
        <v>465.43</v>
      </c>
      <c r="AJ73">
        <f>VLOOKUP($A73,'UN Treasury'!$A$1:$BQ$224,_xlfn.XMATCH(AJ$1,'UN Treasury'!$A$1:$BQ$1,-1,1),FALSE)</f>
        <v>476.63</v>
      </c>
      <c r="AK73">
        <f>VLOOKUP($A73,'UN Treasury'!$A$1:$BQ$224,_xlfn.XMATCH(AK$1,'UN Treasury'!$A$1:$BQ$1,-1,1),FALSE)</f>
        <v>465.44</v>
      </c>
      <c r="AL73">
        <f>VLOOKUP($A73,'UN Treasury'!$A$1:$BQ$224,_xlfn.XMATCH(AL$1,'UN Treasury'!$A$1:$BQ$1,-1,1),FALSE)</f>
        <v>446.11</v>
      </c>
      <c r="AM73">
        <f>VLOOKUP($A73,'UN Treasury'!$A$1:$BQ$224,_xlfn.XMATCH(AM$1,'UN Treasury'!$A$1:$BQ$1,-1,1),FALSE)</f>
        <v>442.15</v>
      </c>
      <c r="AN73">
        <f>VLOOKUP($A73,'UN Treasury'!$A$1:$BQ$224,_xlfn.XMATCH(AN$1,'UN Treasury'!$A$1:$BQ$1,-1,1),FALSE)</f>
        <v>447.86</v>
      </c>
      <c r="AO73">
        <f>VLOOKUP($A73,'UN Treasury'!$A$1:$BQ$224,_xlfn.XMATCH(AO$1,'UN Treasury'!$A$1:$BQ$1,-1,1),FALSE)</f>
        <v>443.94</v>
      </c>
      <c r="AP73">
        <f>VLOOKUP($A73,'UN Treasury'!$A$1:$BQ$224,_xlfn.XMATCH(AP$1,'UN Treasury'!$A$1:$BQ$1,-1,1),FALSE)</f>
        <v>451.86</v>
      </c>
      <c r="AQ73">
        <f>VLOOKUP($A73,'UN Treasury'!$A$1:$BQ$224,_xlfn.XMATCH(AQ$1,'UN Treasury'!$A$1:$BQ$1,-1,1),FALSE)</f>
        <v>455.8</v>
      </c>
      <c r="AR73">
        <f>VLOOKUP($A73,'UN Treasury'!$A$1:$BQ$224,_xlfn.XMATCH(AR$1,'UN Treasury'!$A$1:$BQ$1,-1,1),FALSE)</f>
        <v>451.35</v>
      </c>
      <c r="AS73">
        <f>VLOOKUP($A73,'UN Treasury'!$A$1:$BQ$224,_xlfn.XMATCH(AS$1,'UN Treasury'!$A$1:$BQ$1,-1,1),FALSE)</f>
        <v>461.98</v>
      </c>
      <c r="AT73">
        <f>VLOOKUP($A73,'UN Treasury'!$A$1:$BQ$224,_xlfn.XMATCH(AT$1,'UN Treasury'!$A$1:$BQ$1,-1,1),FALSE)</f>
        <v>468.95</v>
      </c>
      <c r="AU73">
        <f>VLOOKUP($A73,'UN Treasury'!$A$1:$BQ$224,_xlfn.XMATCH(AU$1,'UN Treasury'!$A$1:$BQ$1,-1,1),FALSE)</f>
        <v>460.45</v>
      </c>
      <c r="AV73">
        <f>VLOOKUP($A73,'UN Treasury'!$A$1:$BQ$224,_xlfn.XMATCH(AV$1,'UN Treasury'!$A$1:$BQ$1,-1,1),FALSE)</f>
        <v>478.19</v>
      </c>
      <c r="AW73">
        <f>VLOOKUP($A73,'UN Treasury'!$A$1:$BQ$224,_xlfn.XMATCH(AW$1,'UN Treasury'!$A$1:$BQ$1,-1,1),FALSE)</f>
        <v>472.28</v>
      </c>
      <c r="AX73">
        <f>VLOOKUP($A73,'UN Treasury'!$A$1:$BQ$224,_xlfn.XMATCH(AX$1,'UN Treasury'!$A$1:$BQ$1,-1,1),FALSE)</f>
        <v>475.69</v>
      </c>
      <c r="AY73">
        <f>VLOOKUP($A73,'UN Treasury'!$A$1:$BQ$224,_xlfn.XMATCH(AY$1,'UN Treasury'!$A$1:$BQ$1,-1,1),FALSE)</f>
        <v>475.07</v>
      </c>
      <c r="AZ73">
        <f>VLOOKUP($A73,'UN Treasury'!$A$1:$BQ$224,_xlfn.XMATCH(AZ$1,'UN Treasury'!$A$1:$BQ$1,-1,1),FALSE)</f>
        <v>436.54</v>
      </c>
      <c r="BA73">
        <f>VLOOKUP($A73,'UN Treasury'!$A$1:$BQ$224,_xlfn.XMATCH(BA$1,'UN Treasury'!$A$1:$BQ$1,-1,1),FALSE)</f>
        <v>440.07</v>
      </c>
      <c r="BB73">
        <f>VLOOKUP($A73,'UN Treasury'!$A$1:$BQ$224,_xlfn.XMATCH(BB$1,'UN Treasury'!$A$1:$BQ$1,-1,1),FALSE)</f>
        <v>448.02</v>
      </c>
      <c r="BC73">
        <f>VLOOKUP($A73,'UN Treasury'!$A$1:$BQ$224,_xlfn.XMATCH(BC$1,'UN Treasury'!$A$1:$BQ$1,-1,1),FALSE)</f>
        <v>517.35</v>
      </c>
      <c r="BD73">
        <f>VLOOKUP($A73,'UN Treasury'!$A$1:$BQ$224,_xlfn.XMATCH(BD$1,'UN Treasury'!$A$1:$BQ$1,-1,1),FALSE)</f>
        <v>429.56</v>
      </c>
      <c r="BE73">
        <f>VLOOKUP($A73,'UN Treasury'!$A$1:$BQ$224,_xlfn.XMATCH(BE$1,'UN Treasury'!$A$1:$BQ$1,-1,1),FALSE)</f>
        <v>434.28</v>
      </c>
      <c r="BF73">
        <f>VLOOKUP($A73,'UN Treasury'!$A$1:$BQ$224,_xlfn.XMATCH(BF$1,'UN Treasury'!$A$1:$BQ$1,-1,1),FALSE)</f>
        <v>435.3</v>
      </c>
      <c r="BG73">
        <f>VLOOKUP($A73,'UN Treasury'!$A$1:$BQ$224,_xlfn.XMATCH(BG$1,'UN Treasury'!$A$1:$BQ$1,-1,1),FALSE)</f>
        <v>427.5</v>
      </c>
      <c r="BH73">
        <f>VLOOKUP($A73,'UN Treasury'!$A$1:$BQ$224,_xlfn.XMATCH(BH$1,'UN Treasury'!$A$1:$BQ$1,-1,1),FALSE)</f>
        <v>425.05</v>
      </c>
      <c r="BI73">
        <f>VLOOKUP($A73,'UN Treasury'!$A$1:$BQ$224,_xlfn.XMATCH(BI$1,'UN Treasury'!$A$1:$BQ$1,-1,1),FALSE)</f>
        <v>426.57</v>
      </c>
      <c r="BJ73">
        <f>VLOOKUP($A73,'UN Treasury'!$A$1:$BQ$224,_xlfn.XMATCH(BJ$1,'UN Treasury'!$A$1:$BQ$1,-1,1),FALSE)</f>
        <v>424.69</v>
      </c>
      <c r="BK73">
        <f>VLOOKUP($A73,'UN Treasury'!$A$1:$BQ$224,_xlfn.XMATCH(BK$1,'UN Treasury'!$A$1:$BQ$1,-1,1),FALSE)</f>
        <v>426.15</v>
      </c>
      <c r="BL73">
        <f>VLOOKUP($A73,'UN Treasury'!$A$1:$BQ$224,_xlfn.XMATCH(BL$1,'UN Treasury'!$A$1:$BQ$1,-1,1),FALSE)</f>
        <v>428.53</v>
      </c>
      <c r="BM73">
        <f>VLOOKUP($A73,'UN Treasury'!$A$1:$BQ$224,_xlfn.XMATCH(BM$1,'UN Treasury'!$A$1:$BQ$1,-1,1),FALSE)</f>
        <v>427.7</v>
      </c>
      <c r="BN73">
        <f>VLOOKUP($A73,'UN Treasury'!$A$1:$BQ$224,_xlfn.XMATCH(BN$1,'UN Treasury'!$A$1:$BQ$1,-1,1),FALSE)</f>
        <v>424.58</v>
      </c>
      <c r="BO73">
        <f>VLOOKUP($A73,'UN Treasury'!$A$1:$BQ$224,_xlfn.XMATCH(BO$1,'UN Treasury'!$A$1:$BQ$1,-1,1),FALSE)</f>
        <v>414.8</v>
      </c>
      <c r="BP73">
        <f>VLOOKUP($A73,'UN Treasury'!$A$1:$BQ$224,_xlfn.XMATCH(BP$1,'UN Treasury'!$A$1:$BQ$1,-1,1),FALSE)</f>
        <v>423.26</v>
      </c>
      <c r="BQ73">
        <f>VLOOKUP($A73,'UN Treasury'!$A$1:$BQ$224,_xlfn.XMATCH(BQ$1,'UN Treasury'!$A$1:$BQ$1,-1,1),FALSE)</f>
        <v>419.94</v>
      </c>
    </row>
    <row r="74" spans="1:69" x14ac:dyDescent="0.25">
      <c r="A74" t="s">
        <v>173</v>
      </c>
      <c r="B74">
        <f>VLOOKUP($A74,'UN Treasury'!$A$1:$BQ$224,_xlfn.XMATCH(B$1,'UN Treasury'!$A$1:$BQ$1,-1,1),FALSE)</f>
        <v>22461</v>
      </c>
      <c r="C74">
        <f>VLOOKUP($A74,'UN Treasury'!$A$1:$BQ$224,_xlfn.XMATCH(C$1,'UN Treasury'!$A$1:$BQ$1,-1,1),FALSE)</f>
        <v>22423</v>
      </c>
      <c r="D74">
        <f>VLOOKUP($A74,'UN Treasury'!$A$1:$BQ$224,_xlfn.XMATCH(D$1,'UN Treasury'!$A$1:$BQ$1,-1,1),FALSE)</f>
        <v>21919</v>
      </c>
      <c r="E74">
        <f>VLOOKUP($A74,'UN Treasury'!$A$1:$BQ$224,_xlfn.XMATCH(E$1,'UN Treasury'!$A$1:$BQ$1,-1,1),FALSE)</f>
        <v>21797.360000000001</v>
      </c>
      <c r="F74">
        <f>VLOOKUP($A74,'UN Treasury'!$A$1:$BQ$224,_xlfn.XMATCH(F$1,'UN Treasury'!$A$1:$BQ$1,-1,1),FALSE)</f>
        <v>21896</v>
      </c>
      <c r="G74">
        <f>VLOOKUP($A74,'UN Treasury'!$A$1:$BQ$224,_xlfn.XMATCH(G$1,'UN Treasury'!$A$1:$BQ$1,-1,1),FALSE)</f>
        <v>21280.27</v>
      </c>
      <c r="H74">
        <f>VLOOKUP($A74,'UN Treasury'!$A$1:$BQ$224,_xlfn.XMATCH(H$1,'UN Treasury'!$A$1:$BQ$1,-1,1),FALSE)</f>
        <v>21348.3</v>
      </c>
      <c r="I74">
        <f>VLOOKUP($A74,'UN Treasury'!$A$1:$BQ$224,_xlfn.XMATCH(I$1,'UN Treasury'!$A$1:$BQ$1,-1,1),FALSE)</f>
        <v>21478.61</v>
      </c>
      <c r="J74">
        <f>VLOOKUP($A74,'UN Treasury'!$A$1:$BQ$224,_xlfn.XMATCH(J$1,'UN Treasury'!$A$1:$BQ$1,-1,1),FALSE)</f>
        <v>21554.91</v>
      </c>
      <c r="K74">
        <f>VLOOKUP($A74,'UN Treasury'!$A$1:$BQ$224,_xlfn.XMATCH(K$1,'UN Treasury'!$A$1:$BQ$1,-1,1),FALSE)</f>
        <v>21810</v>
      </c>
      <c r="L74">
        <f>VLOOKUP($A74,'UN Treasury'!$A$1:$BQ$224,_xlfn.XMATCH(L$1,'UN Treasury'!$A$1:$BQ$1,-1,1),FALSE)</f>
        <v>21789</v>
      </c>
      <c r="M74">
        <f>VLOOKUP($A74,'UN Treasury'!$A$1:$BQ$224,_xlfn.XMATCH(M$1,'UN Treasury'!$A$1:$BQ$1,-1,1),FALSE)</f>
        <v>21782</v>
      </c>
      <c r="N74">
        <f>VLOOKUP($A74,'UN Treasury'!$A$1:$BQ$224,_xlfn.XMATCH(N$1,'UN Treasury'!$A$1:$BQ$1,-1,1),FALSE)</f>
        <v>21723</v>
      </c>
      <c r="O74">
        <f>VLOOKUP($A74,'UN Treasury'!$A$1:$BQ$224,_xlfn.XMATCH(O$1,'UN Treasury'!$A$1:$BQ$1,-1,1),FALSE)</f>
        <v>21670</v>
      </c>
      <c r="P74">
        <f>VLOOKUP($A74,'UN Treasury'!$A$1:$BQ$224,_xlfn.XMATCH(P$1,'UN Treasury'!$A$1:$BQ$1,-1,1),FALSE)</f>
        <v>21718</v>
      </c>
      <c r="Q74">
        <f>VLOOKUP($A74,'UN Treasury'!$A$1:$BQ$224,_xlfn.XMATCH(Q$1,'UN Treasury'!$A$1:$BQ$1,-1,1),FALSE)</f>
        <v>21610</v>
      </c>
      <c r="R74">
        <f>VLOOKUP($A74,'UN Treasury'!$A$1:$BQ$224,_xlfn.XMATCH(R$1,'UN Treasury'!$A$1:$BQ$1,-1,1),FALSE)</f>
        <v>21638</v>
      </c>
      <c r="S74">
        <f>VLOOKUP($A74,'UN Treasury'!$A$1:$BQ$224,_xlfn.XMATCH(S$1,'UN Treasury'!$A$1:$BQ$1,-1,1),FALSE)</f>
        <v>21635</v>
      </c>
      <c r="T74">
        <f>VLOOKUP($A74,'UN Treasury'!$A$1:$BQ$224,_xlfn.XMATCH(T$1,'UN Treasury'!$A$1:$BQ$1,-1,1),FALSE)</f>
        <v>21790</v>
      </c>
      <c r="U74">
        <f>VLOOKUP($A74,'UN Treasury'!$A$1:$BQ$224,_xlfn.XMATCH(U$1,'UN Treasury'!$A$1:$BQ$1,-1,1),FALSE)</f>
        <v>21854</v>
      </c>
      <c r="V74">
        <f>VLOOKUP($A74,'UN Treasury'!$A$1:$BQ$224,_xlfn.XMATCH(V$1,'UN Treasury'!$A$1:$BQ$1,-1,1),FALSE)</f>
        <v>22020</v>
      </c>
      <c r="W74">
        <f>VLOOKUP($A74,'UN Treasury'!$A$1:$BQ$224,_xlfn.XMATCH(W$1,'UN Treasury'!$A$1:$BQ$1,-1,1),FALSE)</f>
        <v>22038</v>
      </c>
      <c r="X74">
        <f>VLOOKUP($A74,'UN Treasury'!$A$1:$BQ$224,_xlfn.XMATCH(X$1,'UN Treasury'!$A$1:$BQ$1,-1,1),FALSE)</f>
        <v>21998</v>
      </c>
      <c r="Y74">
        <f>VLOOKUP($A74,'UN Treasury'!$A$1:$BQ$224,_xlfn.XMATCH(Y$1,'UN Treasury'!$A$1:$BQ$1,-1,1),FALSE)</f>
        <v>22154</v>
      </c>
      <c r="Z74">
        <f>VLOOKUP($A74,'UN Treasury'!$A$1:$BQ$224,_xlfn.XMATCH(Z$1,'UN Treasury'!$A$1:$BQ$1,-1,1),FALSE)</f>
        <v>22237</v>
      </c>
      <c r="AA74">
        <f>VLOOKUP($A74,'UN Treasury'!$A$1:$BQ$224,_xlfn.XMATCH(AA$1,'UN Treasury'!$A$1:$BQ$1,-1,1),FALSE)</f>
        <v>22183</v>
      </c>
      <c r="AB74">
        <f>VLOOKUP($A74,'UN Treasury'!$A$1:$BQ$224,_xlfn.XMATCH(AB$1,'UN Treasury'!$A$1:$BQ$1,-1,1),FALSE)</f>
        <v>21609</v>
      </c>
      <c r="AC74">
        <f>VLOOKUP($A74,'UN Treasury'!$A$1:$BQ$224,_xlfn.XMATCH(AC$1,'UN Treasury'!$A$1:$BQ$1,-1,1),FALSE)</f>
        <v>21409</v>
      </c>
      <c r="AD74">
        <f>VLOOKUP($A74,'UN Treasury'!$A$1:$BQ$224,_xlfn.XMATCH(AD$1,'UN Treasury'!$A$1:$BQ$1,-1,1),FALSE)</f>
        <v>21226</v>
      </c>
      <c r="AE74">
        <f>VLOOKUP($A74,'UN Treasury'!$A$1:$BQ$224,_xlfn.XMATCH(AE$1,'UN Treasury'!$A$1:$BQ$1,-1,1),FALSE)</f>
        <v>20933</v>
      </c>
      <c r="AF74">
        <f>VLOOKUP($A74,'UN Treasury'!$A$1:$BQ$224,_xlfn.XMATCH(AF$1,'UN Treasury'!$A$1:$BQ$1,-1,1),FALSE)</f>
        <v>20892</v>
      </c>
      <c r="AG74">
        <f>VLOOKUP($A74,'UN Treasury'!$A$1:$BQ$224,_xlfn.XMATCH(AG$1,'UN Treasury'!$A$1:$BQ$1,-1,1),FALSE)</f>
        <v>20678</v>
      </c>
      <c r="AH74">
        <f>VLOOKUP($A74,'UN Treasury'!$A$1:$BQ$224,_xlfn.XMATCH(AH$1,'UN Treasury'!$A$1:$BQ$1,-1,1),FALSE)</f>
        <v>20797</v>
      </c>
      <c r="AI74">
        <f>VLOOKUP($A74,'UN Treasury'!$A$1:$BQ$224,_xlfn.XMATCH(AI$1,'UN Treasury'!$A$1:$BQ$1,-1,1),FALSE)</f>
        <v>20806</v>
      </c>
      <c r="AJ74">
        <f>VLOOKUP($A74,'UN Treasury'!$A$1:$BQ$224,_xlfn.XMATCH(AJ$1,'UN Treasury'!$A$1:$BQ$1,-1,1),FALSE)</f>
        <v>20569</v>
      </c>
      <c r="AK74">
        <f>VLOOKUP($A74,'UN Treasury'!$A$1:$BQ$224,_xlfn.XMATCH(AK$1,'UN Treasury'!$A$1:$BQ$1,-1,1),FALSE)</f>
        <v>19900</v>
      </c>
      <c r="AL74">
        <f>VLOOKUP($A74,'UN Treasury'!$A$1:$BQ$224,_xlfn.XMATCH(AL$1,'UN Treasury'!$A$1:$BQ$1,-1,1),FALSE)</f>
        <v>19498</v>
      </c>
      <c r="AM74">
        <f>VLOOKUP($A74,'UN Treasury'!$A$1:$BQ$224,_xlfn.XMATCH(AM$1,'UN Treasury'!$A$1:$BQ$1,-1,1),FALSE)</f>
        <v>19224</v>
      </c>
      <c r="AN74">
        <f>VLOOKUP($A74,'UN Treasury'!$A$1:$BQ$224,_xlfn.XMATCH(AN$1,'UN Treasury'!$A$1:$BQ$1,-1,1),FALSE)</f>
        <v>18210</v>
      </c>
      <c r="AO74">
        <f>VLOOKUP($A74,'UN Treasury'!$A$1:$BQ$224,_xlfn.XMATCH(AO$1,'UN Treasury'!$A$1:$BQ$1,-1,1),FALSE)</f>
        <v>17515</v>
      </c>
      <c r="AP74">
        <f>VLOOKUP($A74,'UN Treasury'!$A$1:$BQ$224,_xlfn.XMATCH(AP$1,'UN Treasury'!$A$1:$BQ$1,-1,1),FALSE)</f>
        <v>17199</v>
      </c>
      <c r="AQ74">
        <f>VLOOKUP($A74,'UN Treasury'!$A$1:$BQ$224,_xlfn.XMATCH(AQ$1,'UN Treasury'!$A$1:$BQ$1,-1,1),FALSE)</f>
        <v>16948</v>
      </c>
      <c r="AR74">
        <f>VLOOKUP($A74,'UN Treasury'!$A$1:$BQ$224,_xlfn.XMATCH(AR$1,'UN Treasury'!$A$1:$BQ$1,-1,1),FALSE)</f>
        <v>16935</v>
      </c>
      <c r="AS74">
        <f>VLOOKUP($A74,'UN Treasury'!$A$1:$BQ$224,_xlfn.XMATCH(AS$1,'UN Treasury'!$A$1:$BQ$1,-1,1),FALSE)</f>
        <v>17298</v>
      </c>
      <c r="AT74">
        <f>VLOOKUP($A74,'UN Treasury'!$A$1:$BQ$224,_xlfn.XMATCH(AT$1,'UN Treasury'!$A$1:$BQ$1,-1,1),FALSE)</f>
        <v>17363</v>
      </c>
      <c r="AU74">
        <f>VLOOKUP($A74,'UN Treasury'!$A$1:$BQ$224,_xlfn.XMATCH(AU$1,'UN Treasury'!$A$1:$BQ$1,-1,1),FALSE)</f>
        <v>17367</v>
      </c>
      <c r="AV74">
        <f>VLOOKUP($A74,'UN Treasury'!$A$1:$BQ$224,_xlfn.XMATCH(AV$1,'UN Treasury'!$A$1:$BQ$1,-1,1),FALSE)</f>
        <v>16827</v>
      </c>
      <c r="AW74">
        <f>VLOOKUP($A74,'UN Treasury'!$A$1:$BQ$224,_xlfn.XMATCH(AW$1,'UN Treasury'!$A$1:$BQ$1,-1,1),FALSE)</f>
        <v>15758</v>
      </c>
      <c r="AX74">
        <f>VLOOKUP($A74,'UN Treasury'!$A$1:$BQ$224,_xlfn.XMATCH(AX$1,'UN Treasury'!$A$1:$BQ$1,-1,1),FALSE)</f>
        <v>15231</v>
      </c>
      <c r="AY74">
        <f>VLOOKUP($A74,'UN Treasury'!$A$1:$BQ$224,_xlfn.XMATCH(AY$1,'UN Treasury'!$A$1:$BQ$1,-1,1),FALSE)</f>
        <v>15040</v>
      </c>
      <c r="AZ74">
        <f>VLOOKUP($A74,'UN Treasury'!$A$1:$BQ$224,_xlfn.XMATCH(AZ$1,'UN Treasury'!$A$1:$BQ$1,-1,1),FALSE)</f>
        <v>14397.36</v>
      </c>
      <c r="BA74">
        <f>VLOOKUP($A74,'UN Treasury'!$A$1:$BQ$224,_xlfn.XMATCH(BA$1,'UN Treasury'!$A$1:$BQ$1,-1,1),FALSE)</f>
        <v>12769</v>
      </c>
      <c r="BB74">
        <f>VLOOKUP($A74,'UN Treasury'!$A$1:$BQ$224,_xlfn.XMATCH(BB$1,'UN Treasury'!$A$1:$BQ$1,-1,1),FALSE)</f>
        <v>11887</v>
      </c>
      <c r="BC74">
        <f>VLOOKUP($A74,'UN Treasury'!$A$1:$BQ$224,_xlfn.XMATCH(BC$1,'UN Treasury'!$A$1:$BQ$1,-1,1),FALSE)</f>
        <v>11486</v>
      </c>
      <c r="BD74">
        <f>VLOOKUP($A74,'UN Treasury'!$A$1:$BQ$224,_xlfn.XMATCH(BD$1,'UN Treasury'!$A$1:$BQ$1,-1,1),FALSE)</f>
        <v>11454</v>
      </c>
      <c r="BE74">
        <f>VLOOKUP($A74,'UN Treasury'!$A$1:$BQ$224,_xlfn.XMATCH(BE$1,'UN Treasury'!$A$1:$BQ$1,-1,1),FALSE)</f>
        <v>11262</v>
      </c>
      <c r="BF74">
        <f>VLOOKUP($A74,'UN Treasury'!$A$1:$BQ$224,_xlfn.XMATCH(BF$1,'UN Treasury'!$A$1:$BQ$1,-1,1),FALSE)</f>
        <v>10781</v>
      </c>
      <c r="BG74">
        <f>VLOOKUP($A74,'UN Treasury'!$A$1:$BQ$224,_xlfn.XMATCH(BG$1,'UN Treasury'!$A$1:$BQ$1,-1,1),FALSE)</f>
        <v>10262</v>
      </c>
      <c r="BH74">
        <f>VLOOKUP($A74,'UN Treasury'!$A$1:$BQ$224,_xlfn.XMATCH(BH$1,'UN Treasury'!$A$1:$BQ$1,-1,1),FALSE)</f>
        <v>9590</v>
      </c>
      <c r="BI74">
        <f>VLOOKUP($A74,'UN Treasury'!$A$1:$BQ$224,_xlfn.XMATCH(BI$1,'UN Treasury'!$A$1:$BQ$1,-1,1),FALSE)</f>
        <v>9590</v>
      </c>
      <c r="BJ74">
        <f>VLOOKUP($A74,'UN Treasury'!$A$1:$BQ$224,_xlfn.XMATCH(BJ$1,'UN Treasury'!$A$1:$BQ$1,-1,1),FALSE)</f>
        <v>9548</v>
      </c>
      <c r="BK74">
        <f>VLOOKUP($A74,'UN Treasury'!$A$1:$BQ$224,_xlfn.XMATCH(BK$1,'UN Treasury'!$A$1:$BQ$1,-1,1),FALSE)</f>
        <v>9476</v>
      </c>
      <c r="BL74">
        <f>VLOOKUP($A74,'UN Treasury'!$A$1:$BQ$224,_xlfn.XMATCH(BL$1,'UN Treasury'!$A$1:$BQ$1,-1,1),FALSE)</f>
        <v>9422</v>
      </c>
      <c r="BM74">
        <f>VLOOKUP($A74,'UN Treasury'!$A$1:$BQ$224,_xlfn.XMATCH(BM$1,'UN Treasury'!$A$1:$BQ$1,-1,1),FALSE)</f>
        <v>9408</v>
      </c>
      <c r="BN74">
        <f>VLOOKUP($A74,'UN Treasury'!$A$1:$BQ$224,_xlfn.XMATCH(BN$1,'UN Treasury'!$A$1:$BQ$1,-1,1),FALSE)</f>
        <v>9384</v>
      </c>
      <c r="BO74">
        <f>VLOOKUP($A74,'UN Treasury'!$A$1:$BQ$224,_xlfn.XMATCH(BO$1,'UN Treasury'!$A$1:$BQ$1,-1,1),FALSE)</f>
        <v>9345</v>
      </c>
      <c r="BP74">
        <f>VLOOKUP($A74,'UN Treasury'!$A$1:$BQ$224,_xlfn.XMATCH(BP$1,'UN Treasury'!$A$1:$BQ$1,-1,1),FALSE)</f>
        <v>9320</v>
      </c>
      <c r="BQ74">
        <f>VLOOKUP($A74,'UN Treasury'!$A$1:$BQ$224,_xlfn.XMATCH(BQ$1,'UN Treasury'!$A$1:$BQ$1,-1,1),FALSE)</f>
        <v>9290</v>
      </c>
    </row>
    <row r="75" spans="1:69" x14ac:dyDescent="0.25">
      <c r="A75" t="s">
        <v>175</v>
      </c>
      <c r="B75">
        <f>VLOOKUP($A75,'UN Treasury'!$A$1:$BQ$224,_xlfn.XMATCH(B$1,'UN Treasury'!$A$1:$BQ$1,-1,1),FALSE)</f>
        <v>89500</v>
      </c>
      <c r="C75">
        <f>VLOOKUP($A75,'UN Treasury'!$A$1:$BQ$224,_xlfn.XMATCH(C$1,'UN Treasury'!$A$1:$BQ$1,-1,1),FALSE)</f>
        <v>89500</v>
      </c>
      <c r="D75">
        <f>VLOOKUP($A75,'UN Treasury'!$A$1:$BQ$224,_xlfn.XMATCH(D$1,'UN Treasury'!$A$1:$BQ$1,-1,1),FALSE)</f>
        <v>89500</v>
      </c>
      <c r="E75">
        <f>VLOOKUP($A75,'UN Treasury'!$A$1:$BQ$224,_xlfn.XMATCH(E$1,'UN Treasury'!$A$1:$BQ$1,-1,1),FALSE)</f>
        <v>89500</v>
      </c>
      <c r="F75">
        <f>VLOOKUP($A75,'UN Treasury'!$A$1:$BQ$224,_xlfn.XMATCH(F$1,'UN Treasury'!$A$1:$BQ$1,-1,1),FALSE)</f>
        <v>89500</v>
      </c>
      <c r="G75">
        <f>VLOOKUP($A75,'UN Treasury'!$A$1:$BQ$224,_xlfn.XMATCH(G$1,'UN Treasury'!$A$1:$BQ$1,-1,1),FALSE)</f>
        <v>89500</v>
      </c>
      <c r="H75">
        <f>VLOOKUP($A75,'UN Treasury'!$A$1:$BQ$224,_xlfn.XMATCH(H$1,'UN Treasury'!$A$1:$BQ$1,-1,1),FALSE)</f>
        <v>89500</v>
      </c>
      <c r="I75">
        <f>VLOOKUP($A75,'UN Treasury'!$A$1:$BQ$224,_xlfn.XMATCH(I$1,'UN Treasury'!$A$1:$BQ$1,-1,1),FALSE)</f>
        <v>89500</v>
      </c>
      <c r="J75">
        <f>VLOOKUP($A75,'UN Treasury'!$A$1:$BQ$224,_xlfn.XMATCH(J$1,'UN Treasury'!$A$1:$BQ$1,-1,1),FALSE)</f>
        <v>89500</v>
      </c>
      <c r="K75">
        <f>VLOOKUP($A75,'UN Treasury'!$A$1:$BQ$224,_xlfn.XMATCH(K$1,'UN Treasury'!$A$1:$BQ$1,-1,1),FALSE)</f>
        <v>89500</v>
      </c>
      <c r="L75">
        <f>VLOOKUP($A75,'UN Treasury'!$A$1:$BQ$224,_xlfn.XMATCH(L$1,'UN Treasury'!$A$1:$BQ$1,-1,1),FALSE)</f>
        <v>89500</v>
      </c>
      <c r="M75">
        <f>VLOOKUP($A75,'UN Treasury'!$A$1:$BQ$224,_xlfn.XMATCH(M$1,'UN Treasury'!$A$1:$BQ$1,-1,1),FALSE)</f>
        <v>89500</v>
      </c>
      <c r="N75">
        <f>VLOOKUP($A75,'UN Treasury'!$A$1:$BQ$224,_xlfn.XMATCH(N$1,'UN Treasury'!$A$1:$BQ$1,-1,1),FALSE)</f>
        <v>89500</v>
      </c>
      <c r="O75">
        <f>VLOOKUP($A75,'UN Treasury'!$A$1:$BQ$224,_xlfn.XMATCH(O$1,'UN Treasury'!$A$1:$BQ$1,-1,1),FALSE)</f>
        <v>89500</v>
      </c>
      <c r="P75">
        <f>VLOOKUP($A75,'UN Treasury'!$A$1:$BQ$224,_xlfn.XMATCH(P$1,'UN Treasury'!$A$1:$BQ$1,-1,1),FALSE)</f>
        <v>89500</v>
      </c>
      <c r="Q75">
        <f>VLOOKUP($A75,'UN Treasury'!$A$1:$BQ$224,_xlfn.XMATCH(Q$1,'UN Treasury'!$A$1:$BQ$1,-1,1),FALSE)</f>
        <v>89500</v>
      </c>
      <c r="R75">
        <f>VLOOKUP($A75,'UN Treasury'!$A$1:$BQ$224,_xlfn.XMATCH(R$1,'UN Treasury'!$A$1:$BQ$1,-1,1),FALSE)</f>
        <v>89500</v>
      </c>
      <c r="S75">
        <f>VLOOKUP($A75,'UN Treasury'!$A$1:$BQ$224,_xlfn.XMATCH(S$1,'UN Treasury'!$A$1:$BQ$1,-1,1),FALSE)</f>
        <v>89500</v>
      </c>
      <c r="T75">
        <f>VLOOKUP($A75,'UN Treasury'!$A$1:$BQ$224,_xlfn.XMATCH(T$1,'UN Treasury'!$A$1:$BQ$1,-1,1),FALSE)</f>
        <v>89500</v>
      </c>
      <c r="U75">
        <f>VLOOKUP($A75,'UN Treasury'!$A$1:$BQ$224,_xlfn.XMATCH(U$1,'UN Treasury'!$A$1:$BQ$1,-1,1),FALSE)</f>
        <v>89500</v>
      </c>
      <c r="V75">
        <f>VLOOKUP($A75,'UN Treasury'!$A$1:$BQ$224,_xlfn.XMATCH(V$1,'UN Treasury'!$A$1:$BQ$1,-1,1),FALSE)</f>
        <v>89500</v>
      </c>
      <c r="W75">
        <f>VLOOKUP($A75,'UN Treasury'!$A$1:$BQ$224,_xlfn.XMATCH(W$1,'UN Treasury'!$A$1:$BQ$1,-1,1),FALSE)</f>
        <v>89500</v>
      </c>
      <c r="X75">
        <f>VLOOKUP($A75,'UN Treasury'!$A$1:$BQ$224,_xlfn.XMATCH(X$1,'UN Treasury'!$A$1:$BQ$1,-1,1),FALSE)</f>
        <v>89500</v>
      </c>
      <c r="Y75">
        <f>VLOOKUP($A75,'UN Treasury'!$A$1:$BQ$224,_xlfn.XMATCH(Y$1,'UN Treasury'!$A$1:$BQ$1,-1,1),FALSE)</f>
        <v>89500</v>
      </c>
      <c r="Z75">
        <f>VLOOKUP($A75,'UN Treasury'!$A$1:$BQ$224,_xlfn.XMATCH(Z$1,'UN Treasury'!$A$1:$BQ$1,-1,1),FALSE)</f>
        <v>89500</v>
      </c>
      <c r="AA75">
        <f>VLOOKUP($A75,'UN Treasury'!$A$1:$BQ$224,_xlfn.XMATCH(AA$1,'UN Treasury'!$A$1:$BQ$1,-1,1),FALSE)</f>
        <v>89500</v>
      </c>
      <c r="AB75">
        <f>VLOOKUP($A75,'UN Treasury'!$A$1:$BQ$224,_xlfn.XMATCH(AB$1,'UN Treasury'!$A$1:$BQ$1,-1,1),FALSE)</f>
        <v>89500</v>
      </c>
      <c r="AC75">
        <f>VLOOKUP($A75,'UN Treasury'!$A$1:$BQ$224,_xlfn.XMATCH(AC$1,'UN Treasury'!$A$1:$BQ$1,-1,1),FALSE)</f>
        <v>89500</v>
      </c>
      <c r="AD75">
        <f>VLOOKUP($A75,'UN Treasury'!$A$1:$BQ$224,_xlfn.XMATCH(AD$1,'UN Treasury'!$A$1:$BQ$1,-1,1),FALSE)</f>
        <v>89500</v>
      </c>
      <c r="AE75">
        <f>VLOOKUP($A75,'UN Treasury'!$A$1:$BQ$224,_xlfn.XMATCH(AE$1,'UN Treasury'!$A$1:$BQ$1,-1,1),FALSE)</f>
        <v>89500</v>
      </c>
      <c r="AF75">
        <f>VLOOKUP($A75,'UN Treasury'!$A$1:$BQ$224,_xlfn.XMATCH(AF$1,'UN Treasury'!$A$1:$BQ$1,-1,1),FALSE)</f>
        <v>89500</v>
      </c>
      <c r="AG75">
        <f>VLOOKUP($A75,'UN Treasury'!$A$1:$BQ$224,_xlfn.XMATCH(AG$1,'UN Treasury'!$A$1:$BQ$1,-1,1),FALSE)</f>
        <v>85500</v>
      </c>
      <c r="AH75">
        <f>VLOOKUP($A75,'UN Treasury'!$A$1:$BQ$224,_xlfn.XMATCH(AH$1,'UN Treasury'!$A$1:$BQ$1,-1,1),FALSE)</f>
        <v>85500</v>
      </c>
      <c r="AI75">
        <f>VLOOKUP($A75,'UN Treasury'!$A$1:$BQ$224,_xlfn.XMATCH(AI$1,'UN Treasury'!$A$1:$BQ$1,-1,1),FALSE)</f>
        <v>85500</v>
      </c>
      <c r="AJ75">
        <f>VLOOKUP($A75,'UN Treasury'!$A$1:$BQ$224,_xlfn.XMATCH(AJ$1,'UN Treasury'!$A$1:$BQ$1,-1,1),FALSE)</f>
        <v>85500</v>
      </c>
      <c r="AK75">
        <f>VLOOKUP($A75,'UN Treasury'!$A$1:$BQ$224,_xlfn.XMATCH(AK$1,'UN Treasury'!$A$1:$BQ$1,-1,1),FALSE)</f>
        <v>85500</v>
      </c>
      <c r="AL75">
        <f>VLOOKUP($A75,'UN Treasury'!$A$1:$BQ$224,_xlfn.XMATCH(AL$1,'UN Treasury'!$A$1:$BQ$1,-1,1),FALSE)</f>
        <v>85500</v>
      </c>
      <c r="AM75">
        <f>VLOOKUP($A75,'UN Treasury'!$A$1:$BQ$224,_xlfn.XMATCH(AM$1,'UN Treasury'!$A$1:$BQ$1,-1,1),FALSE)</f>
        <v>85500</v>
      </c>
      <c r="AN75">
        <f>VLOOKUP($A75,'UN Treasury'!$A$1:$BQ$224,_xlfn.XMATCH(AN$1,'UN Treasury'!$A$1:$BQ$1,-1,1),FALSE)</f>
        <v>86200</v>
      </c>
      <c r="AO75">
        <f>VLOOKUP($A75,'UN Treasury'!$A$1:$BQ$224,_xlfn.XMATCH(AO$1,'UN Treasury'!$A$1:$BQ$1,-1,1),FALSE)</f>
        <v>86300</v>
      </c>
      <c r="AP75">
        <f>VLOOKUP($A75,'UN Treasury'!$A$1:$BQ$224,_xlfn.XMATCH(AP$1,'UN Treasury'!$A$1:$BQ$1,-1,1),FALSE)</f>
        <v>87000</v>
      </c>
      <c r="AQ75">
        <f>VLOOKUP($A75,'UN Treasury'!$A$1:$BQ$224,_xlfn.XMATCH(AQ$1,'UN Treasury'!$A$1:$BQ$1,-1,1),FALSE)</f>
        <v>73100</v>
      </c>
      <c r="AR75">
        <f>VLOOKUP($A75,'UN Treasury'!$A$1:$BQ$224,_xlfn.XMATCH(AR$1,'UN Treasury'!$A$1:$BQ$1,-1,1),FALSE)</f>
        <v>43600</v>
      </c>
      <c r="AS75">
        <f>VLOOKUP($A75,'UN Treasury'!$A$1:$BQ$224,_xlfn.XMATCH(AS$1,'UN Treasury'!$A$1:$BQ$1,-1,1),FALSE)</f>
        <v>38000</v>
      </c>
      <c r="AT75">
        <f>VLOOKUP($A75,'UN Treasury'!$A$1:$BQ$224,_xlfn.XMATCH(AT$1,'UN Treasury'!$A$1:$BQ$1,-1,1),FALSE)</f>
        <v>30600</v>
      </c>
      <c r="AU75">
        <f>VLOOKUP($A75,'UN Treasury'!$A$1:$BQ$224,_xlfn.XMATCH(AU$1,'UN Treasury'!$A$1:$BQ$1,-1,1),FALSE)</f>
        <v>30300</v>
      </c>
      <c r="AV75">
        <f>VLOOKUP($A75,'UN Treasury'!$A$1:$BQ$224,_xlfn.XMATCH(AV$1,'UN Treasury'!$A$1:$BQ$1,-1,1),FALSE)</f>
        <v>1507.5</v>
      </c>
      <c r="AW75">
        <f>VLOOKUP($A75,'UN Treasury'!$A$1:$BQ$224,_xlfn.XMATCH(AW$1,'UN Treasury'!$A$1:$BQ$1,-1,1),FALSE)</f>
        <v>1507.5</v>
      </c>
      <c r="AX75">
        <f>VLOOKUP($A75,'UN Treasury'!$A$1:$BQ$224,_xlfn.XMATCH(AX$1,'UN Treasury'!$A$1:$BQ$1,-1,1),FALSE)</f>
        <v>1507.5</v>
      </c>
      <c r="AY75">
        <f>VLOOKUP($A75,'UN Treasury'!$A$1:$BQ$224,_xlfn.XMATCH(AY$1,'UN Treasury'!$A$1:$BQ$1,-1,1),FALSE)</f>
        <v>1507.5</v>
      </c>
      <c r="AZ75">
        <f>VLOOKUP($A75,'UN Treasury'!$A$1:$BQ$224,_xlfn.XMATCH(AZ$1,'UN Treasury'!$A$1:$BQ$1,-1,1),FALSE)</f>
        <v>1507.5</v>
      </c>
      <c r="BA75">
        <f>VLOOKUP($A75,'UN Treasury'!$A$1:$BQ$224,_xlfn.XMATCH(BA$1,'UN Treasury'!$A$1:$BQ$1,-1,1),FALSE)</f>
        <v>1507.5</v>
      </c>
      <c r="BB75">
        <f>VLOOKUP($A75,'UN Treasury'!$A$1:$BQ$224,_xlfn.XMATCH(BB$1,'UN Treasury'!$A$1:$BQ$1,-1,1),FALSE)</f>
        <v>1507.5</v>
      </c>
      <c r="BC75">
        <f>VLOOKUP($A75,'UN Treasury'!$A$1:$BQ$224,_xlfn.XMATCH(BC$1,'UN Treasury'!$A$1:$BQ$1,-1,1),FALSE)</f>
        <v>1507.5</v>
      </c>
      <c r="BD75">
        <f>VLOOKUP($A75,'UN Treasury'!$A$1:$BQ$224,_xlfn.XMATCH(BD$1,'UN Treasury'!$A$1:$BQ$1,-1,1),FALSE)</f>
        <v>1507.5</v>
      </c>
      <c r="BE75">
        <f>VLOOKUP($A75,'UN Treasury'!$A$1:$BQ$224,_xlfn.XMATCH(BE$1,'UN Treasury'!$A$1:$BQ$1,-1,1),FALSE)</f>
        <v>1507.5</v>
      </c>
      <c r="BF75">
        <f>VLOOKUP($A75,'UN Treasury'!$A$1:$BQ$224,_xlfn.XMATCH(BF$1,'UN Treasury'!$A$1:$BQ$1,-1,1),FALSE)</f>
        <v>1507.5</v>
      </c>
      <c r="BG75">
        <f>VLOOKUP($A75,'UN Treasury'!$A$1:$BQ$224,_xlfn.XMATCH(BG$1,'UN Treasury'!$A$1:$BQ$1,-1,1),FALSE)</f>
        <v>1507.5</v>
      </c>
      <c r="BH75">
        <f>VLOOKUP($A75,'UN Treasury'!$A$1:$BQ$224,_xlfn.XMATCH(BH$1,'UN Treasury'!$A$1:$BQ$1,-1,1),FALSE)</f>
        <v>1507.5</v>
      </c>
      <c r="BI75">
        <f>VLOOKUP($A75,'UN Treasury'!$A$1:$BQ$224,_xlfn.XMATCH(BI$1,'UN Treasury'!$A$1:$BQ$1,-1,1),FALSE)</f>
        <v>1507.5</v>
      </c>
      <c r="BJ75">
        <f>VLOOKUP($A75,'UN Treasury'!$A$1:$BQ$224,_xlfn.XMATCH(BJ$1,'UN Treasury'!$A$1:$BQ$1,-1,1),FALSE)</f>
        <v>1507.5</v>
      </c>
      <c r="BK75">
        <f>VLOOKUP($A75,'UN Treasury'!$A$1:$BQ$224,_xlfn.XMATCH(BK$1,'UN Treasury'!$A$1:$BQ$1,-1,1),FALSE)</f>
        <v>1507.5</v>
      </c>
      <c r="BL75">
        <f>VLOOKUP($A75,'UN Treasury'!$A$1:$BQ$224,_xlfn.XMATCH(BL$1,'UN Treasury'!$A$1:$BQ$1,-1,1),FALSE)</f>
        <v>1507.5</v>
      </c>
      <c r="BM75">
        <f>VLOOKUP($A75,'UN Treasury'!$A$1:$BQ$224,_xlfn.XMATCH(BM$1,'UN Treasury'!$A$1:$BQ$1,-1,1),FALSE)</f>
        <v>1507.5</v>
      </c>
      <c r="BN75">
        <f>VLOOKUP($A75,'UN Treasury'!$A$1:$BQ$224,_xlfn.XMATCH(BN$1,'UN Treasury'!$A$1:$BQ$1,-1,1),FALSE)</f>
        <v>1507.5</v>
      </c>
      <c r="BO75">
        <f>VLOOKUP($A75,'UN Treasury'!$A$1:$BQ$224,_xlfn.XMATCH(BO$1,'UN Treasury'!$A$1:$BQ$1,-1,1),FALSE)</f>
        <v>1507.5</v>
      </c>
      <c r="BP75">
        <f>VLOOKUP($A75,'UN Treasury'!$A$1:$BQ$224,_xlfn.XMATCH(BP$1,'UN Treasury'!$A$1:$BQ$1,-1,1),FALSE)</f>
        <v>1507.5</v>
      </c>
      <c r="BQ75">
        <f>VLOOKUP($A75,'UN Treasury'!$A$1:$BQ$224,_xlfn.XMATCH(BQ$1,'UN Treasury'!$A$1:$BQ$1,-1,1),FALSE)</f>
        <v>1507.5</v>
      </c>
    </row>
    <row r="76" spans="1:69" x14ac:dyDescent="0.25">
      <c r="A76" t="s">
        <v>177</v>
      </c>
      <c r="B76">
        <f>VLOOKUP($A76,'UN Treasury'!$A$1:$BQ$224,_xlfn.XMATCH(B$1,'UN Treasury'!$A$1:$BQ$1,-1,1),FALSE)</f>
        <v>333.47</v>
      </c>
      <c r="C76">
        <f>VLOOKUP($A76,'UN Treasury'!$A$1:$BQ$224,_xlfn.XMATCH(C$1,'UN Treasury'!$A$1:$BQ$1,-1,1),FALSE)</f>
        <v>335.69</v>
      </c>
      <c r="D76">
        <f>VLOOKUP($A76,'UN Treasury'!$A$1:$BQ$224,_xlfn.XMATCH(D$1,'UN Treasury'!$A$1:$BQ$1,-1,1),FALSE)</f>
        <v>332.58</v>
      </c>
      <c r="E76">
        <f>VLOOKUP($A76,'UN Treasury'!$A$1:$BQ$224,_xlfn.XMATCH(E$1,'UN Treasury'!$A$1:$BQ$1,-1,1),FALSE)</f>
        <v>324.32</v>
      </c>
      <c r="F76">
        <f>VLOOKUP($A76,'UN Treasury'!$A$1:$BQ$224,_xlfn.XMATCH(F$1,'UN Treasury'!$A$1:$BQ$1,-1,1),FALSE)</f>
        <v>315.33999999999997</v>
      </c>
      <c r="G76">
        <f>VLOOKUP($A76,'UN Treasury'!$A$1:$BQ$224,_xlfn.XMATCH(G$1,'UN Treasury'!$A$1:$BQ$1,-1,1),FALSE)</f>
        <v>310.85000000000002</v>
      </c>
      <c r="H76">
        <f>VLOOKUP($A76,'UN Treasury'!$A$1:$BQ$224,_xlfn.XMATCH(H$1,'UN Treasury'!$A$1:$BQ$1,-1,1),FALSE)</f>
        <v>309.27</v>
      </c>
      <c r="I76">
        <f>VLOOKUP($A76,'UN Treasury'!$A$1:$BQ$224,_xlfn.XMATCH(I$1,'UN Treasury'!$A$1:$BQ$1,-1,1),FALSE)</f>
        <v>308.98</v>
      </c>
      <c r="J76">
        <f>VLOOKUP($A76,'UN Treasury'!$A$1:$BQ$224,_xlfn.XMATCH(J$1,'UN Treasury'!$A$1:$BQ$1,-1,1),FALSE)</f>
        <v>308.52</v>
      </c>
      <c r="K76">
        <f>VLOOKUP($A76,'UN Treasury'!$A$1:$BQ$224,_xlfn.XMATCH(K$1,'UN Treasury'!$A$1:$BQ$1,-1,1),FALSE)</f>
        <v>303.86</v>
      </c>
      <c r="L76">
        <f>VLOOKUP($A76,'UN Treasury'!$A$1:$BQ$224,_xlfn.XMATCH(L$1,'UN Treasury'!$A$1:$BQ$1,-1,1),FALSE)</f>
        <v>302.26</v>
      </c>
      <c r="M76">
        <f>VLOOKUP($A76,'UN Treasury'!$A$1:$BQ$224,_xlfn.XMATCH(M$1,'UN Treasury'!$A$1:$BQ$1,-1,1),FALSE)</f>
        <v>301.5</v>
      </c>
      <c r="N76">
        <f>VLOOKUP($A76,'UN Treasury'!$A$1:$BQ$224,_xlfn.XMATCH(N$1,'UN Treasury'!$A$1:$BQ$1,-1,1),FALSE)</f>
        <v>300.85000000000002</v>
      </c>
      <c r="O76">
        <f>VLOOKUP($A76,'UN Treasury'!$A$1:$BQ$224,_xlfn.XMATCH(O$1,'UN Treasury'!$A$1:$BQ$1,-1,1),FALSE)</f>
        <v>300.39</v>
      </c>
      <c r="P76">
        <f>VLOOKUP($A76,'UN Treasury'!$A$1:$BQ$224,_xlfn.XMATCH(P$1,'UN Treasury'!$A$1:$BQ$1,-1,1),FALSE)</f>
        <v>298.83</v>
      </c>
      <c r="Q76">
        <f>VLOOKUP($A76,'UN Treasury'!$A$1:$BQ$224,_xlfn.XMATCH(Q$1,'UN Treasury'!$A$1:$BQ$1,-1,1),FALSE)</f>
        <v>298.63</v>
      </c>
      <c r="R76">
        <f>VLOOKUP($A76,'UN Treasury'!$A$1:$BQ$224,_xlfn.XMATCH(R$1,'UN Treasury'!$A$1:$BQ$1,-1,1),FALSE)</f>
        <v>297.8</v>
      </c>
      <c r="S76">
        <f>VLOOKUP($A76,'UN Treasury'!$A$1:$BQ$224,_xlfn.XMATCH(S$1,'UN Treasury'!$A$1:$BQ$1,-1,1),FALSE)</f>
        <v>295.3</v>
      </c>
      <c r="T76">
        <f>VLOOKUP($A76,'UN Treasury'!$A$1:$BQ$224,_xlfn.XMATCH(T$1,'UN Treasury'!$A$1:$BQ$1,-1,1),FALSE)</f>
        <v>296.60000000000002</v>
      </c>
      <c r="U76">
        <f>VLOOKUP($A76,'UN Treasury'!$A$1:$BQ$224,_xlfn.XMATCH(U$1,'UN Treasury'!$A$1:$BQ$1,-1,1),FALSE)</f>
        <v>294.42</v>
      </c>
      <c r="V76">
        <f>VLOOKUP($A76,'UN Treasury'!$A$1:$BQ$224,_xlfn.XMATCH(V$1,'UN Treasury'!$A$1:$BQ$1,-1,1),FALSE)</f>
        <v>289.57</v>
      </c>
      <c r="W76">
        <f>VLOOKUP($A76,'UN Treasury'!$A$1:$BQ$224,_xlfn.XMATCH(W$1,'UN Treasury'!$A$1:$BQ$1,-1,1),FALSE)</f>
        <v>291.86</v>
      </c>
      <c r="X76">
        <f>VLOOKUP($A76,'UN Treasury'!$A$1:$BQ$224,_xlfn.XMATCH(X$1,'UN Treasury'!$A$1:$BQ$1,-1,1),FALSE)</f>
        <v>292.38</v>
      </c>
      <c r="Y76">
        <f>VLOOKUP($A76,'UN Treasury'!$A$1:$BQ$224,_xlfn.XMATCH(Y$1,'UN Treasury'!$A$1:$BQ$1,-1,1),FALSE)</f>
        <v>300.55</v>
      </c>
      <c r="Z76">
        <f>VLOOKUP($A76,'UN Treasury'!$A$1:$BQ$224,_xlfn.XMATCH(Z$1,'UN Treasury'!$A$1:$BQ$1,-1,1),FALSE)</f>
        <v>298.76</v>
      </c>
      <c r="AA76">
        <f>VLOOKUP($A76,'UN Treasury'!$A$1:$BQ$224,_xlfn.XMATCH(AA$1,'UN Treasury'!$A$1:$BQ$1,-1,1),FALSE)</f>
        <v>302.36</v>
      </c>
      <c r="AB76">
        <f>VLOOKUP($A76,'UN Treasury'!$A$1:$BQ$224,_xlfn.XMATCH(AB$1,'UN Treasury'!$A$1:$BQ$1,-1,1),FALSE)</f>
        <v>302.42</v>
      </c>
      <c r="AC76">
        <f>VLOOKUP($A76,'UN Treasury'!$A$1:$BQ$224,_xlfn.XMATCH(AC$1,'UN Treasury'!$A$1:$BQ$1,-1,1),FALSE)</f>
        <v>299.20999999999998</v>
      </c>
      <c r="AD76">
        <f>VLOOKUP($A76,'UN Treasury'!$A$1:$BQ$224,_xlfn.XMATCH(AD$1,'UN Treasury'!$A$1:$BQ$1,-1,1),FALSE)</f>
        <v>298.10000000000002</v>
      </c>
      <c r="AE76">
        <f>VLOOKUP($A76,'UN Treasury'!$A$1:$BQ$224,_xlfn.XMATCH(AE$1,'UN Treasury'!$A$1:$BQ$1,-1,1),FALSE)</f>
        <v>305.36</v>
      </c>
      <c r="AF76">
        <f>VLOOKUP($A76,'UN Treasury'!$A$1:$BQ$224,_xlfn.XMATCH(AF$1,'UN Treasury'!$A$1:$BQ$1,-1,1),FALSE)</f>
        <v>312.25</v>
      </c>
      <c r="AG76">
        <f>VLOOKUP($A76,'UN Treasury'!$A$1:$BQ$224,_xlfn.XMATCH(AG$1,'UN Treasury'!$A$1:$BQ$1,-1,1),FALSE)</f>
        <v>321.2</v>
      </c>
      <c r="AH76">
        <f>VLOOKUP($A76,'UN Treasury'!$A$1:$BQ$224,_xlfn.XMATCH(AH$1,'UN Treasury'!$A$1:$BQ$1,-1,1),FALSE)</f>
        <v>325.94</v>
      </c>
      <c r="AI76">
        <f>VLOOKUP($A76,'UN Treasury'!$A$1:$BQ$224,_xlfn.XMATCH(AI$1,'UN Treasury'!$A$1:$BQ$1,-1,1),FALSE)</f>
        <v>325.66000000000003</v>
      </c>
      <c r="AJ76">
        <f>VLOOKUP($A76,'UN Treasury'!$A$1:$BQ$224,_xlfn.XMATCH(AJ$1,'UN Treasury'!$A$1:$BQ$1,-1,1),FALSE)</f>
        <v>323.27999999999997</v>
      </c>
      <c r="AK76">
        <f>VLOOKUP($A76,'UN Treasury'!$A$1:$BQ$224,_xlfn.XMATCH(AK$1,'UN Treasury'!$A$1:$BQ$1,-1,1),FALSE)</f>
        <v>321.20999999999998</v>
      </c>
      <c r="AL76">
        <f>VLOOKUP($A76,'UN Treasury'!$A$1:$BQ$224,_xlfn.XMATCH(AL$1,'UN Treasury'!$A$1:$BQ$1,-1,1),FALSE)</f>
        <v>318.07</v>
      </c>
      <c r="AM76">
        <f>VLOOKUP($A76,'UN Treasury'!$A$1:$BQ$224,_xlfn.XMATCH(AM$1,'UN Treasury'!$A$1:$BQ$1,-1,1),FALSE)</f>
        <v>313.69</v>
      </c>
      <c r="AN76">
        <f>VLOOKUP($A76,'UN Treasury'!$A$1:$BQ$224,_xlfn.XMATCH(AN$1,'UN Treasury'!$A$1:$BQ$1,-1,1),FALSE)</f>
        <v>304.92</v>
      </c>
      <c r="AO76">
        <f>VLOOKUP($A76,'UN Treasury'!$A$1:$BQ$224,_xlfn.XMATCH(AO$1,'UN Treasury'!$A$1:$BQ$1,-1,1),FALSE)</f>
        <v>308.66000000000003</v>
      </c>
      <c r="AP76">
        <f>VLOOKUP($A76,'UN Treasury'!$A$1:$BQ$224,_xlfn.XMATCH(AP$1,'UN Treasury'!$A$1:$BQ$1,-1,1),FALSE)</f>
        <v>318.68</v>
      </c>
      <c r="AQ76">
        <f>VLOOKUP($A76,'UN Treasury'!$A$1:$BQ$224,_xlfn.XMATCH(AQ$1,'UN Treasury'!$A$1:$BQ$1,-1,1),FALSE)</f>
        <v>321.27</v>
      </c>
      <c r="AR76">
        <f>VLOOKUP($A76,'UN Treasury'!$A$1:$BQ$224,_xlfn.XMATCH(AR$1,'UN Treasury'!$A$1:$BQ$1,-1,1),FALSE)</f>
        <v>363.09</v>
      </c>
      <c r="AS76">
        <f>VLOOKUP($A76,'UN Treasury'!$A$1:$BQ$224,_xlfn.XMATCH(AS$1,'UN Treasury'!$A$1:$BQ$1,-1,1),FALSE)</f>
        <v>363.42</v>
      </c>
      <c r="AT76">
        <f>VLOOKUP($A76,'UN Treasury'!$A$1:$BQ$224,_xlfn.XMATCH(AT$1,'UN Treasury'!$A$1:$BQ$1,-1,1),FALSE)</f>
        <v>362.22</v>
      </c>
      <c r="AU76">
        <f>VLOOKUP($A76,'UN Treasury'!$A$1:$BQ$224,_xlfn.XMATCH(AU$1,'UN Treasury'!$A$1:$BQ$1,-1,1),FALSE)</f>
        <v>362.94</v>
      </c>
      <c r="AV76">
        <f>VLOOKUP($A76,'UN Treasury'!$A$1:$BQ$224,_xlfn.XMATCH(AV$1,'UN Treasury'!$A$1:$BQ$1,-1,1),FALSE)</f>
        <v>361.64</v>
      </c>
      <c r="AW76">
        <f>VLOOKUP($A76,'UN Treasury'!$A$1:$BQ$224,_xlfn.XMATCH(AW$1,'UN Treasury'!$A$1:$BQ$1,-1,1),FALSE)</f>
        <v>358.79</v>
      </c>
      <c r="AX76">
        <f>VLOOKUP($A76,'UN Treasury'!$A$1:$BQ$224,_xlfn.XMATCH(AX$1,'UN Treasury'!$A$1:$BQ$1,-1,1),FALSE)</f>
        <v>357.6</v>
      </c>
      <c r="AY76">
        <f>VLOOKUP($A76,'UN Treasury'!$A$1:$BQ$224,_xlfn.XMATCH(AY$1,'UN Treasury'!$A$1:$BQ$1,-1,1),FALSE)</f>
        <v>354.12</v>
      </c>
      <c r="AZ76">
        <f>VLOOKUP($A76,'UN Treasury'!$A$1:$BQ$224,_xlfn.XMATCH(AZ$1,'UN Treasury'!$A$1:$BQ$1,-1,1),FALSE)</f>
        <v>355.27</v>
      </c>
      <c r="BA76">
        <f>VLOOKUP($A76,'UN Treasury'!$A$1:$BQ$224,_xlfn.XMATCH(BA$1,'UN Treasury'!$A$1:$BQ$1,-1,1),FALSE)</f>
        <v>361.19</v>
      </c>
      <c r="BB76">
        <f>VLOOKUP($A76,'UN Treasury'!$A$1:$BQ$224,_xlfn.XMATCH(BB$1,'UN Treasury'!$A$1:$BQ$1,-1,1),FALSE)</f>
        <v>315.13</v>
      </c>
      <c r="BC76">
        <f>VLOOKUP($A76,'UN Treasury'!$A$1:$BQ$224,_xlfn.XMATCH(BC$1,'UN Treasury'!$A$1:$BQ$1,-1,1),FALSE)</f>
        <v>250.09</v>
      </c>
      <c r="BD76">
        <f>VLOOKUP($A76,'UN Treasury'!$A$1:$BQ$224,_xlfn.XMATCH(BD$1,'UN Treasury'!$A$1:$BQ$1,-1,1),FALSE)</f>
        <v>200.9</v>
      </c>
      <c r="BE76">
        <f>VLOOKUP($A76,'UN Treasury'!$A$1:$BQ$224,_xlfn.XMATCH(BE$1,'UN Treasury'!$A$1:$BQ$1,-1,1),FALSE)</f>
        <v>200</v>
      </c>
      <c r="BF76">
        <f>VLOOKUP($A76,'UN Treasury'!$A$1:$BQ$224,_xlfn.XMATCH(BF$1,'UN Treasury'!$A$1:$BQ$1,-1,1),FALSE)</f>
        <v>202.3</v>
      </c>
      <c r="BG76">
        <f>VLOOKUP($A76,'UN Treasury'!$A$1:$BQ$224,_xlfn.XMATCH(BG$1,'UN Treasury'!$A$1:$BQ$1,-1,1),FALSE)</f>
        <v>200.8</v>
      </c>
      <c r="BH76">
        <f>VLOOKUP($A76,'UN Treasury'!$A$1:$BQ$224,_xlfn.XMATCH(BH$1,'UN Treasury'!$A$1:$BQ$1,-1,1),FALSE)</f>
        <v>198.98</v>
      </c>
      <c r="BI76">
        <f>VLOOKUP($A76,'UN Treasury'!$A$1:$BQ$224,_xlfn.XMATCH(BI$1,'UN Treasury'!$A$1:$BQ$1,-1,1),FALSE)</f>
        <v>199.35</v>
      </c>
      <c r="BJ76">
        <f>VLOOKUP($A76,'UN Treasury'!$A$1:$BQ$224,_xlfn.XMATCH(BJ$1,'UN Treasury'!$A$1:$BQ$1,-1,1),FALSE)</f>
        <v>199</v>
      </c>
      <c r="BK76">
        <f>VLOOKUP($A76,'UN Treasury'!$A$1:$BQ$224,_xlfn.XMATCH(BK$1,'UN Treasury'!$A$1:$BQ$1,-1,1),FALSE)</f>
        <v>198.5</v>
      </c>
      <c r="BL76">
        <f>VLOOKUP($A76,'UN Treasury'!$A$1:$BQ$224,_xlfn.XMATCH(BL$1,'UN Treasury'!$A$1:$BQ$1,-1,1),FALSE)</f>
        <v>198.1</v>
      </c>
      <c r="BM76">
        <f>VLOOKUP($A76,'UN Treasury'!$A$1:$BQ$224,_xlfn.XMATCH(BM$1,'UN Treasury'!$A$1:$BQ$1,-1,1),FALSE)</f>
        <v>196.11</v>
      </c>
      <c r="BN76">
        <f>VLOOKUP($A76,'UN Treasury'!$A$1:$BQ$224,_xlfn.XMATCH(BN$1,'UN Treasury'!$A$1:$BQ$1,-1,1),FALSE)</f>
        <v>198.6</v>
      </c>
      <c r="BO76">
        <f>VLOOKUP($A76,'UN Treasury'!$A$1:$BQ$224,_xlfn.XMATCH(BO$1,'UN Treasury'!$A$1:$BQ$1,-1,1),FALSE)</f>
        <v>193.35</v>
      </c>
      <c r="BP76">
        <f>VLOOKUP($A76,'UN Treasury'!$A$1:$BQ$224,_xlfn.XMATCH(BP$1,'UN Treasury'!$A$1:$BQ$1,-1,1),FALSE)</f>
        <v>191.86</v>
      </c>
      <c r="BQ76">
        <f>VLOOKUP($A76,'UN Treasury'!$A$1:$BQ$224,_xlfn.XMATCH(BQ$1,'UN Treasury'!$A$1:$BQ$1,-1,1),FALSE)</f>
        <v>187.54</v>
      </c>
    </row>
    <row r="77" spans="1:69" x14ac:dyDescent="0.25">
      <c r="A77" t="s">
        <v>179</v>
      </c>
      <c r="B77">
        <f>VLOOKUP($A77,'UN Treasury'!$A$1:$BQ$224,_xlfn.XMATCH(B$1,'UN Treasury'!$A$1:$BQ$1,-1,1),FALSE)</f>
        <v>180.75700000000001</v>
      </c>
      <c r="C77">
        <f>VLOOKUP($A77,'UN Treasury'!$A$1:$BQ$224,_xlfn.XMATCH(C$1,'UN Treasury'!$A$1:$BQ$1,-1,1),FALSE)</f>
        <v>181.08</v>
      </c>
      <c r="D77">
        <f>VLOOKUP($A77,'UN Treasury'!$A$1:$BQ$224,_xlfn.XMATCH(D$1,'UN Treasury'!$A$1:$BQ$1,-1,1),FALSE)</f>
        <v>182.084</v>
      </c>
      <c r="E77">
        <f>VLOOKUP($A77,'UN Treasury'!$A$1:$BQ$224,_xlfn.XMATCH(E$1,'UN Treasury'!$A$1:$BQ$1,-1,1),FALSE)</f>
        <v>182.374</v>
      </c>
      <c r="F77">
        <f>VLOOKUP($A77,'UN Treasury'!$A$1:$BQ$224,_xlfn.XMATCH(F$1,'UN Treasury'!$A$1:$BQ$1,-1,1),FALSE)</f>
        <v>182.715</v>
      </c>
      <c r="G77">
        <f>VLOOKUP($A77,'UN Treasury'!$A$1:$BQ$224,_xlfn.XMATCH(G$1,'UN Treasury'!$A$1:$BQ$1,-1,1),FALSE)</f>
        <v>182.4</v>
      </c>
      <c r="H77">
        <f>VLOOKUP($A77,'UN Treasury'!$A$1:$BQ$224,_xlfn.XMATCH(H$1,'UN Treasury'!$A$1:$BQ$1,-1,1),FALSE)</f>
        <v>183.125</v>
      </c>
      <c r="I77">
        <f>VLOOKUP($A77,'UN Treasury'!$A$1:$BQ$224,_xlfn.XMATCH(I$1,'UN Treasury'!$A$1:$BQ$1,-1,1),FALSE)</f>
        <v>177.709</v>
      </c>
      <c r="J77">
        <f>VLOOKUP($A77,'UN Treasury'!$A$1:$BQ$224,_xlfn.XMATCH(J$1,'UN Treasury'!$A$1:$BQ$1,-1,1),FALSE)</f>
        <v>176.58500000000001</v>
      </c>
      <c r="K77">
        <f>VLOOKUP($A77,'UN Treasury'!$A$1:$BQ$224,_xlfn.XMATCH(K$1,'UN Treasury'!$A$1:$BQ$1,-1,1),FALSE)</f>
        <v>182.345</v>
      </c>
      <c r="L77">
        <f>VLOOKUP($A77,'UN Treasury'!$A$1:$BQ$224,_xlfn.XMATCH(L$1,'UN Treasury'!$A$1:$BQ$1,-1,1),FALSE)</f>
        <v>181.792</v>
      </c>
      <c r="M77">
        <f>VLOOKUP($A77,'UN Treasury'!$A$1:$BQ$224,_xlfn.XMATCH(M$1,'UN Treasury'!$A$1:$BQ$1,-1,1),FALSE)</f>
        <v>199.68700000000001</v>
      </c>
      <c r="N77">
        <f>VLOOKUP($A77,'UN Treasury'!$A$1:$BQ$224,_xlfn.XMATCH(N$1,'UN Treasury'!$A$1:$BQ$1,-1,1),FALSE)</f>
        <v>200.14400000000001</v>
      </c>
      <c r="O77">
        <f>VLOOKUP($A77,'UN Treasury'!$A$1:$BQ$224,_xlfn.XMATCH(O$1,'UN Treasury'!$A$1:$BQ$1,-1,1),FALSE)</f>
        <v>199.369</v>
      </c>
      <c r="P77">
        <f>VLOOKUP($A77,'UN Treasury'!$A$1:$BQ$224,_xlfn.XMATCH(P$1,'UN Treasury'!$A$1:$BQ$1,-1,1),FALSE)</f>
        <v>198.011</v>
      </c>
      <c r="Q77">
        <f>VLOOKUP($A77,'UN Treasury'!$A$1:$BQ$224,_xlfn.XMATCH(Q$1,'UN Treasury'!$A$1:$BQ$1,-1,1),FALSE)</f>
        <v>198.18</v>
      </c>
      <c r="R77">
        <f>VLOOKUP($A77,'UN Treasury'!$A$1:$BQ$224,_xlfn.XMATCH(R$1,'UN Treasury'!$A$1:$BQ$1,-1,1),FALSE)</f>
        <v>198.91399999999999</v>
      </c>
      <c r="S77">
        <f>VLOOKUP($A77,'UN Treasury'!$A$1:$BQ$224,_xlfn.XMATCH(S$1,'UN Treasury'!$A$1:$BQ$1,-1,1),FALSE)</f>
        <v>197.898</v>
      </c>
      <c r="T77">
        <f>VLOOKUP($A77,'UN Treasury'!$A$1:$BQ$224,_xlfn.XMATCH(T$1,'UN Treasury'!$A$1:$BQ$1,-1,1),FALSE)</f>
        <v>196.42099999999999</v>
      </c>
      <c r="U77">
        <f>VLOOKUP($A77,'UN Treasury'!$A$1:$BQ$224,_xlfn.XMATCH(U$1,'UN Treasury'!$A$1:$BQ$1,-1,1),FALSE)</f>
        <v>186.23</v>
      </c>
      <c r="V77">
        <f>VLOOKUP($A77,'UN Treasury'!$A$1:$BQ$224,_xlfn.XMATCH(V$1,'UN Treasury'!$A$1:$BQ$1,-1,1),FALSE)</f>
        <v>178.20400000000001</v>
      </c>
      <c r="W77">
        <f>VLOOKUP($A77,'UN Treasury'!$A$1:$BQ$224,_xlfn.XMATCH(W$1,'UN Treasury'!$A$1:$BQ$1,-1,1),FALSE)</f>
        <v>188.63200000000001</v>
      </c>
      <c r="X77">
        <f>VLOOKUP($A77,'UN Treasury'!$A$1:$BQ$224,_xlfn.XMATCH(X$1,'UN Treasury'!$A$1:$BQ$1,-1,1),FALSE)</f>
        <v>192.30099999999999</v>
      </c>
      <c r="Y77">
        <f>VLOOKUP($A77,'UN Treasury'!$A$1:$BQ$224,_xlfn.XMATCH(Y$1,'UN Treasury'!$A$1:$BQ$1,-1,1),FALSE)</f>
        <v>194.20500000000001</v>
      </c>
      <c r="Z77">
        <f>VLOOKUP($A77,'UN Treasury'!$A$1:$BQ$224,_xlfn.XMATCH(Z$1,'UN Treasury'!$A$1:$BQ$1,-1,1),FALSE)</f>
        <v>194.571</v>
      </c>
      <c r="AA77">
        <f>VLOOKUP($A77,'UN Treasury'!$A$1:$BQ$224,_xlfn.XMATCH(AA$1,'UN Treasury'!$A$1:$BQ$1,-1,1),FALSE)</f>
        <v>194.238</v>
      </c>
      <c r="AB77">
        <f>VLOOKUP($A77,'UN Treasury'!$A$1:$BQ$224,_xlfn.XMATCH(AB$1,'UN Treasury'!$A$1:$BQ$1,-1,1),FALSE)</f>
        <v>193.119</v>
      </c>
      <c r="AC77">
        <f>VLOOKUP($A77,'UN Treasury'!$A$1:$BQ$224,_xlfn.XMATCH(AC$1,'UN Treasury'!$A$1:$BQ$1,-1,1),FALSE)</f>
        <v>192.55199999999999</v>
      </c>
      <c r="AD77">
        <f>VLOOKUP($A77,'UN Treasury'!$A$1:$BQ$224,_xlfn.XMATCH(AD$1,'UN Treasury'!$A$1:$BQ$1,-1,1),FALSE)</f>
        <v>191.95400000000001</v>
      </c>
      <c r="AE77">
        <f>VLOOKUP($A77,'UN Treasury'!$A$1:$BQ$224,_xlfn.XMATCH(AE$1,'UN Treasury'!$A$1:$BQ$1,-1,1),FALSE)</f>
        <v>191.542</v>
      </c>
      <c r="AF77">
        <f>VLOOKUP($A77,'UN Treasury'!$A$1:$BQ$224,_xlfn.XMATCH(AF$1,'UN Treasury'!$A$1:$BQ$1,-1,1),FALSE)</f>
        <v>189.40299999999999</v>
      </c>
      <c r="AG77">
        <f>VLOOKUP($A77,'UN Treasury'!$A$1:$BQ$224,_xlfn.XMATCH(AG$1,'UN Treasury'!$A$1:$BQ$1,-1,1),FALSE)</f>
        <v>188.018</v>
      </c>
      <c r="AH77">
        <f>VLOOKUP($A77,'UN Treasury'!$A$1:$BQ$224,_xlfn.XMATCH(AH$1,'UN Treasury'!$A$1:$BQ$1,-1,1),FALSE)</f>
        <v>187.22900000000001</v>
      </c>
      <c r="AI77">
        <f>VLOOKUP($A77,'UN Treasury'!$A$1:$BQ$224,_xlfn.XMATCH(AI$1,'UN Treasury'!$A$1:$BQ$1,-1,1),FALSE)</f>
        <v>186.77199999999999</v>
      </c>
      <c r="AJ77">
        <f>VLOOKUP($A77,'UN Treasury'!$A$1:$BQ$224,_xlfn.XMATCH(AJ$1,'UN Treasury'!$A$1:$BQ$1,-1,1),FALSE)</f>
        <v>185.83199999999999</v>
      </c>
      <c r="AK77">
        <f>VLOOKUP($A77,'UN Treasury'!$A$1:$BQ$224,_xlfn.XMATCH(AK$1,'UN Treasury'!$A$1:$BQ$1,-1,1),FALSE)</f>
        <v>185.232</v>
      </c>
      <c r="AL77">
        <f>VLOOKUP($A77,'UN Treasury'!$A$1:$BQ$224,_xlfn.XMATCH(AL$1,'UN Treasury'!$A$1:$BQ$1,-1,1),FALSE)</f>
        <v>185.554</v>
      </c>
      <c r="AM77">
        <f>VLOOKUP($A77,'UN Treasury'!$A$1:$BQ$224,_xlfn.XMATCH(AM$1,'UN Treasury'!$A$1:$BQ$1,-1,1),FALSE)</f>
        <v>181.45400000000001</v>
      </c>
      <c r="AN77">
        <f>VLOOKUP($A77,'UN Treasury'!$A$1:$BQ$224,_xlfn.XMATCH(AN$1,'UN Treasury'!$A$1:$BQ$1,-1,1),FALSE)</f>
        <v>169.858</v>
      </c>
      <c r="AO77">
        <f>VLOOKUP($A77,'UN Treasury'!$A$1:$BQ$224,_xlfn.XMATCH(AO$1,'UN Treasury'!$A$1:$BQ$1,-1,1),FALSE)</f>
        <v>164.84700000000001</v>
      </c>
      <c r="AP77">
        <f>VLOOKUP($A77,'UN Treasury'!$A$1:$BQ$224,_xlfn.XMATCH(AP$1,'UN Treasury'!$A$1:$BQ$1,-1,1),FALSE)</f>
        <v>161.85300000000001</v>
      </c>
      <c r="AQ77">
        <f>VLOOKUP($A77,'UN Treasury'!$A$1:$BQ$224,_xlfn.XMATCH(AQ$1,'UN Treasury'!$A$1:$BQ$1,-1,1),FALSE)</f>
        <v>159.285</v>
      </c>
      <c r="AR77">
        <f>VLOOKUP($A77,'UN Treasury'!$A$1:$BQ$224,_xlfn.XMATCH(AR$1,'UN Treasury'!$A$1:$BQ$1,-1,1),FALSE)</f>
        <v>156.01300000000001</v>
      </c>
      <c r="AS77">
        <f>VLOOKUP($A77,'UN Treasury'!$A$1:$BQ$224,_xlfn.XMATCH(AS$1,'UN Treasury'!$A$1:$BQ$1,-1,1),FALSE)</f>
        <v>153.77099999999999</v>
      </c>
      <c r="AT77">
        <f>VLOOKUP($A77,'UN Treasury'!$A$1:$BQ$224,_xlfn.XMATCH(AT$1,'UN Treasury'!$A$1:$BQ$1,-1,1),FALSE)</f>
        <v>153.41200000000001</v>
      </c>
      <c r="AU77">
        <f>VLOOKUP($A77,'UN Treasury'!$A$1:$BQ$224,_xlfn.XMATCH(AU$1,'UN Treasury'!$A$1:$BQ$1,-1,1),FALSE)</f>
        <v>152.90100000000001</v>
      </c>
      <c r="AV77">
        <f>VLOOKUP($A77,'UN Treasury'!$A$1:$BQ$224,_xlfn.XMATCH(AV$1,'UN Treasury'!$A$1:$BQ$1,-1,1),FALSE)</f>
        <v>152.75</v>
      </c>
      <c r="AW77">
        <f>VLOOKUP($A77,'UN Treasury'!$A$1:$BQ$224,_xlfn.XMATCH(AW$1,'UN Treasury'!$A$1:$BQ$1,-1,1),FALSE)</f>
        <v>153.09399999999999</v>
      </c>
      <c r="AX77">
        <f>VLOOKUP($A77,'UN Treasury'!$A$1:$BQ$224,_xlfn.XMATCH(AX$1,'UN Treasury'!$A$1:$BQ$1,-1,1),FALSE)</f>
        <v>152.614</v>
      </c>
      <c r="AY77">
        <f>VLOOKUP($A77,'UN Treasury'!$A$1:$BQ$224,_xlfn.XMATCH(AY$1,'UN Treasury'!$A$1:$BQ$1,-1,1),FALSE)</f>
        <v>152.4</v>
      </c>
      <c r="AZ77">
        <f>VLOOKUP($A77,'UN Treasury'!$A$1:$BQ$224,_xlfn.XMATCH(AZ$1,'UN Treasury'!$A$1:$BQ$1,-1,1),FALSE)</f>
        <v>152</v>
      </c>
      <c r="BA77">
        <f>VLOOKUP($A77,'UN Treasury'!$A$1:$BQ$224,_xlfn.XMATCH(BA$1,'UN Treasury'!$A$1:$BQ$1,-1,1),FALSE)</f>
        <v>150.5</v>
      </c>
      <c r="BB77">
        <f>VLOOKUP($A77,'UN Treasury'!$A$1:$BQ$224,_xlfn.XMATCH(BB$1,'UN Treasury'!$A$1:$BQ$1,-1,1),FALSE)</f>
        <v>151.673</v>
      </c>
      <c r="BC77">
        <f>VLOOKUP($A77,'UN Treasury'!$A$1:$BQ$224,_xlfn.XMATCH(BC$1,'UN Treasury'!$A$1:$BQ$1,-1,1),FALSE)</f>
        <v>153.065</v>
      </c>
      <c r="BD77">
        <f>VLOOKUP($A77,'UN Treasury'!$A$1:$BQ$224,_xlfn.XMATCH(BD$1,'UN Treasury'!$A$1:$BQ$1,-1,1),FALSE)</f>
        <v>152.67599999999999</v>
      </c>
      <c r="BE77">
        <f>VLOOKUP($A77,'UN Treasury'!$A$1:$BQ$224,_xlfn.XMATCH(BE$1,'UN Treasury'!$A$1:$BQ$1,-1,1),FALSE)</f>
        <v>142.477</v>
      </c>
      <c r="BF77">
        <f>VLOOKUP($A77,'UN Treasury'!$A$1:$BQ$224,_xlfn.XMATCH(BF$1,'UN Treasury'!$A$1:$BQ$1,-1,1),FALSE)</f>
        <v>142.80099999999999</v>
      </c>
      <c r="BG77">
        <f>VLOOKUP($A77,'UN Treasury'!$A$1:$BQ$224,_xlfn.XMATCH(BG$1,'UN Treasury'!$A$1:$BQ$1,-1,1),FALSE)</f>
        <v>153.71199999999999</v>
      </c>
      <c r="BH77">
        <f>VLOOKUP($A77,'UN Treasury'!$A$1:$BQ$224,_xlfn.XMATCH(BH$1,'UN Treasury'!$A$1:$BQ$1,-1,1),FALSE)</f>
        <v>170.40799999999999</v>
      </c>
      <c r="BI77">
        <f>VLOOKUP($A77,'UN Treasury'!$A$1:$BQ$224,_xlfn.XMATCH(BI$1,'UN Treasury'!$A$1:$BQ$1,-1,1),FALSE)</f>
        <v>170.98099999999999</v>
      </c>
      <c r="BJ77">
        <f>VLOOKUP($A77,'UN Treasury'!$A$1:$BQ$224,_xlfn.XMATCH(BJ$1,'UN Treasury'!$A$1:$BQ$1,-1,1),FALSE)</f>
        <v>170.91200000000001</v>
      </c>
      <c r="BK77">
        <f>VLOOKUP($A77,'UN Treasury'!$A$1:$BQ$224,_xlfn.XMATCH(BK$1,'UN Treasury'!$A$1:$BQ$1,-1,1),FALSE)</f>
        <v>170.64</v>
      </c>
      <c r="BL77">
        <f>VLOOKUP($A77,'UN Treasury'!$A$1:$BQ$224,_xlfn.XMATCH(BL$1,'UN Treasury'!$A$1:$BQ$1,-1,1),FALSE)</f>
        <v>170.87299999999999</v>
      </c>
      <c r="BM77">
        <f>VLOOKUP($A77,'UN Treasury'!$A$1:$BQ$224,_xlfn.XMATCH(BM$1,'UN Treasury'!$A$1:$BQ$1,-1,1),FALSE)</f>
        <v>171.565</v>
      </c>
      <c r="BN77">
        <f>VLOOKUP($A77,'UN Treasury'!$A$1:$BQ$224,_xlfn.XMATCH(BN$1,'UN Treasury'!$A$1:$BQ$1,-1,1),FALSE)</f>
        <v>172.202</v>
      </c>
      <c r="BO77">
        <f>VLOOKUP($A77,'UN Treasury'!$A$1:$BQ$224,_xlfn.XMATCH(BO$1,'UN Treasury'!$A$1:$BQ$1,-1,1),FALSE)</f>
        <v>172.673</v>
      </c>
      <c r="BP77">
        <f>VLOOKUP($A77,'UN Treasury'!$A$1:$BQ$224,_xlfn.XMATCH(BP$1,'UN Treasury'!$A$1:$BQ$1,-1,1),FALSE)</f>
        <v>169.565</v>
      </c>
      <c r="BQ77">
        <f>VLOOKUP($A77,'UN Treasury'!$A$1:$BQ$224,_xlfn.XMATCH(BQ$1,'UN Treasury'!$A$1:$BQ$1,-1,1),FALSE)</f>
        <v>162.06299999999999</v>
      </c>
    </row>
    <row r="78" spans="1:69" x14ac:dyDescent="0.25">
      <c r="A78" t="s">
        <v>181</v>
      </c>
      <c r="B78">
        <f>VLOOKUP($A78,'UN Treasury'!$A$1:$BQ$224,_xlfn.XMATCH(B$1,'UN Treasury'!$A$1:$BQ$1,-1,1),FALSE)</f>
        <v>16.131</v>
      </c>
      <c r="C78">
        <f>VLOOKUP($A78,'UN Treasury'!$A$1:$BQ$224,_xlfn.XMATCH(C$1,'UN Treasury'!$A$1:$BQ$1,-1,1),FALSE)</f>
        <v>16.356000000000002</v>
      </c>
      <c r="D78">
        <f>VLOOKUP($A78,'UN Treasury'!$A$1:$BQ$224,_xlfn.XMATCH(D$1,'UN Treasury'!$A$1:$BQ$1,-1,1),FALSE)</f>
        <v>16.521999999999998</v>
      </c>
      <c r="E78">
        <f>VLOOKUP($A78,'UN Treasury'!$A$1:$BQ$224,_xlfn.XMATCH(E$1,'UN Treasury'!$A$1:$BQ$1,-1,1),FALSE)</f>
        <v>16.457000000000001</v>
      </c>
      <c r="F78">
        <f>VLOOKUP($A78,'UN Treasury'!$A$1:$BQ$224,_xlfn.XMATCH(F$1,'UN Treasury'!$A$1:$BQ$1,-1,1),FALSE)</f>
        <v>16.501000000000001</v>
      </c>
      <c r="G78">
        <f>VLOOKUP($A78,'UN Treasury'!$A$1:$BQ$224,_xlfn.XMATCH(G$1,'UN Treasury'!$A$1:$BQ$1,-1,1),FALSE)</f>
        <v>16.675000000000001</v>
      </c>
      <c r="H78">
        <f>VLOOKUP($A78,'UN Treasury'!$A$1:$BQ$224,_xlfn.XMATCH(H$1,'UN Treasury'!$A$1:$BQ$1,-1,1),FALSE)</f>
        <v>15.827</v>
      </c>
      <c r="I78">
        <f>VLOOKUP($A78,'UN Treasury'!$A$1:$BQ$224,_xlfn.XMATCH(I$1,'UN Treasury'!$A$1:$BQ$1,-1,1),FALSE)</f>
        <v>16.433</v>
      </c>
      <c r="J78">
        <f>VLOOKUP($A78,'UN Treasury'!$A$1:$BQ$224,_xlfn.XMATCH(J$1,'UN Treasury'!$A$1:$BQ$1,-1,1),FALSE)</f>
        <v>16.890999999999998</v>
      </c>
      <c r="K78">
        <f>VLOOKUP($A78,'UN Treasury'!$A$1:$BQ$224,_xlfn.XMATCH(K$1,'UN Treasury'!$A$1:$BQ$1,-1,1),FALSE)</f>
        <v>17.085999999999999</v>
      </c>
      <c r="L78">
        <f>VLOOKUP($A78,'UN Treasury'!$A$1:$BQ$224,_xlfn.XMATCH(L$1,'UN Treasury'!$A$1:$BQ$1,-1,1),FALSE)</f>
        <v>17.312000000000001</v>
      </c>
      <c r="M78">
        <f>VLOOKUP($A78,'UN Treasury'!$A$1:$BQ$224,_xlfn.XMATCH(M$1,'UN Treasury'!$A$1:$BQ$1,-1,1),FALSE)</f>
        <v>17.445</v>
      </c>
      <c r="N78">
        <f>VLOOKUP($A78,'UN Treasury'!$A$1:$BQ$224,_xlfn.XMATCH(N$1,'UN Treasury'!$A$1:$BQ$1,-1,1),FALSE)</f>
        <v>17.523</v>
      </c>
      <c r="O78">
        <f>VLOOKUP($A78,'UN Treasury'!$A$1:$BQ$224,_xlfn.XMATCH(O$1,'UN Treasury'!$A$1:$BQ$1,-1,1),FALSE)</f>
        <v>17.911999999999999</v>
      </c>
      <c r="P78">
        <f>VLOOKUP($A78,'UN Treasury'!$A$1:$BQ$224,_xlfn.XMATCH(P$1,'UN Treasury'!$A$1:$BQ$1,-1,1),FALSE)</f>
        <v>17.712</v>
      </c>
      <c r="Q78">
        <f>VLOOKUP($A78,'UN Treasury'!$A$1:$BQ$224,_xlfn.XMATCH(Q$1,'UN Treasury'!$A$1:$BQ$1,-1,1),FALSE)</f>
        <v>18.420999999999999</v>
      </c>
      <c r="R78">
        <f>VLOOKUP($A78,'UN Treasury'!$A$1:$BQ$224,_xlfn.XMATCH(R$1,'UN Treasury'!$A$1:$BQ$1,-1,1),FALSE)</f>
        <v>19.183</v>
      </c>
      <c r="S78">
        <f>VLOOKUP($A78,'UN Treasury'!$A$1:$BQ$224,_xlfn.XMATCH(S$1,'UN Treasury'!$A$1:$BQ$1,-1,1),FALSE)</f>
        <v>18.373999999999999</v>
      </c>
      <c r="T78">
        <f>VLOOKUP($A78,'UN Treasury'!$A$1:$BQ$224,_xlfn.XMATCH(T$1,'UN Treasury'!$A$1:$BQ$1,-1,1),FALSE)</f>
        <v>18.533000000000001</v>
      </c>
      <c r="U78">
        <f>VLOOKUP($A78,'UN Treasury'!$A$1:$BQ$224,_xlfn.XMATCH(U$1,'UN Treasury'!$A$1:$BQ$1,-1,1),FALSE)</f>
        <v>19.071999999999999</v>
      </c>
      <c r="V78">
        <f>VLOOKUP($A78,'UN Treasury'!$A$1:$BQ$224,_xlfn.XMATCH(V$1,'UN Treasury'!$A$1:$BQ$1,-1,1),FALSE)</f>
        <v>17.757000000000001</v>
      </c>
      <c r="W78">
        <f>VLOOKUP($A78,'UN Treasury'!$A$1:$BQ$224,_xlfn.XMATCH(W$1,'UN Treasury'!$A$1:$BQ$1,-1,1),FALSE)</f>
        <v>18.071000000000002</v>
      </c>
      <c r="X78">
        <f>VLOOKUP($A78,'UN Treasury'!$A$1:$BQ$224,_xlfn.XMATCH(X$1,'UN Treasury'!$A$1:$BQ$1,-1,1),FALSE)</f>
        <v>17.463000000000001</v>
      </c>
      <c r="Y78">
        <f>VLOOKUP($A78,'UN Treasury'!$A$1:$BQ$224,_xlfn.XMATCH(Y$1,'UN Treasury'!$A$1:$BQ$1,-1,1),FALSE)</f>
        <v>17.931999999999999</v>
      </c>
      <c r="Z78">
        <f>VLOOKUP($A78,'UN Treasury'!$A$1:$BQ$224,_xlfn.XMATCH(Z$1,'UN Treasury'!$A$1:$BQ$1,-1,1),FALSE)</f>
        <v>18.149999999999999</v>
      </c>
      <c r="AA78">
        <f>VLOOKUP($A78,'UN Treasury'!$A$1:$BQ$224,_xlfn.XMATCH(AA$1,'UN Treasury'!$A$1:$BQ$1,-1,1),FALSE)</f>
        <v>17.96</v>
      </c>
      <c r="AB78">
        <f>VLOOKUP($A78,'UN Treasury'!$A$1:$BQ$224,_xlfn.XMATCH(AB$1,'UN Treasury'!$A$1:$BQ$1,-1,1),FALSE)</f>
        <v>18.466999999999999</v>
      </c>
      <c r="AC78">
        <f>VLOOKUP($A78,'UN Treasury'!$A$1:$BQ$224,_xlfn.XMATCH(AC$1,'UN Treasury'!$A$1:$BQ$1,-1,1),FALSE)</f>
        <v>18.298999999999999</v>
      </c>
      <c r="AD78">
        <f>VLOOKUP($A78,'UN Treasury'!$A$1:$BQ$224,_xlfn.XMATCH(AD$1,'UN Treasury'!$A$1:$BQ$1,-1,1),FALSE)</f>
        <v>18.733000000000001</v>
      </c>
      <c r="AE78">
        <f>VLOOKUP($A78,'UN Treasury'!$A$1:$BQ$224,_xlfn.XMATCH(AE$1,'UN Treasury'!$A$1:$BQ$1,-1,1),FALSE)</f>
        <v>18.64</v>
      </c>
      <c r="AF78">
        <f>VLOOKUP($A78,'UN Treasury'!$A$1:$BQ$224,_xlfn.XMATCH(AF$1,'UN Treasury'!$A$1:$BQ$1,-1,1),FALSE)</f>
        <v>19.055</v>
      </c>
      <c r="AG78">
        <f>VLOOKUP($A78,'UN Treasury'!$A$1:$BQ$224,_xlfn.XMATCH(AG$1,'UN Treasury'!$A$1:$BQ$1,-1,1),FALSE)</f>
        <v>18.649999999999999</v>
      </c>
      <c r="AH78">
        <f>VLOOKUP($A78,'UN Treasury'!$A$1:$BQ$224,_xlfn.XMATCH(AH$1,'UN Treasury'!$A$1:$BQ$1,-1,1),FALSE)</f>
        <v>19.035</v>
      </c>
      <c r="AI78">
        <f>VLOOKUP($A78,'UN Treasury'!$A$1:$BQ$224,_xlfn.XMATCH(AI$1,'UN Treasury'!$A$1:$BQ$1,-1,1),FALSE)</f>
        <v>18.785</v>
      </c>
      <c r="AJ78">
        <f>VLOOKUP($A78,'UN Treasury'!$A$1:$BQ$224,_xlfn.XMATCH(AJ$1,'UN Treasury'!$A$1:$BQ$1,-1,1),FALSE)</f>
        <v>18.826000000000001</v>
      </c>
      <c r="AK78">
        <f>VLOOKUP($A78,'UN Treasury'!$A$1:$BQ$224,_xlfn.XMATCH(AK$1,'UN Treasury'!$A$1:$BQ$1,-1,1),FALSE)</f>
        <v>18.824000000000002</v>
      </c>
      <c r="AL78">
        <f>VLOOKUP($A78,'UN Treasury'!$A$1:$BQ$224,_xlfn.XMATCH(AL$1,'UN Treasury'!$A$1:$BQ$1,-1,1),FALSE)</f>
        <v>18.925999999999998</v>
      </c>
      <c r="AM78">
        <f>VLOOKUP($A78,'UN Treasury'!$A$1:$BQ$224,_xlfn.XMATCH(AM$1,'UN Treasury'!$A$1:$BQ$1,-1,1),FALSE)</f>
        <v>18.244</v>
      </c>
      <c r="AN78">
        <f>VLOOKUP($A78,'UN Treasury'!$A$1:$BQ$224,_xlfn.XMATCH(AN$1,'UN Treasury'!$A$1:$BQ$1,-1,1),FALSE)</f>
        <v>18.591999999999999</v>
      </c>
      <c r="AO78">
        <f>VLOOKUP($A78,'UN Treasury'!$A$1:$BQ$224,_xlfn.XMATCH(AO$1,'UN Treasury'!$A$1:$BQ$1,-1,1),FALSE)</f>
        <v>19.242000000000001</v>
      </c>
      <c r="AP78">
        <f>VLOOKUP($A78,'UN Treasury'!$A$1:$BQ$224,_xlfn.XMATCH(AP$1,'UN Treasury'!$A$1:$BQ$1,-1,1),FALSE)</f>
        <v>18.363</v>
      </c>
      <c r="AQ78">
        <f>VLOOKUP($A78,'UN Treasury'!$A$1:$BQ$224,_xlfn.XMATCH(AQ$1,'UN Treasury'!$A$1:$BQ$1,-1,1),FALSE)</f>
        <v>18.198</v>
      </c>
      <c r="AR78">
        <f>VLOOKUP($A78,'UN Treasury'!$A$1:$BQ$224,_xlfn.XMATCH(AR$1,'UN Treasury'!$A$1:$BQ$1,-1,1),FALSE)</f>
        <v>17.84</v>
      </c>
      <c r="AS78">
        <f>VLOOKUP($A78,'UN Treasury'!$A$1:$BQ$224,_xlfn.XMATCH(AS$1,'UN Treasury'!$A$1:$BQ$1,-1,1),FALSE)</f>
        <v>16.960999999999999</v>
      </c>
      <c r="AT78">
        <f>VLOOKUP($A78,'UN Treasury'!$A$1:$BQ$224,_xlfn.XMATCH(AT$1,'UN Treasury'!$A$1:$BQ$1,-1,1),FALSE)</f>
        <v>17.350999999999999</v>
      </c>
      <c r="AU78">
        <f>VLOOKUP($A78,'UN Treasury'!$A$1:$BQ$224,_xlfn.XMATCH(AU$1,'UN Treasury'!$A$1:$BQ$1,-1,1),FALSE)</f>
        <v>17.285</v>
      </c>
      <c r="AV78">
        <f>VLOOKUP($A78,'UN Treasury'!$A$1:$BQ$224,_xlfn.XMATCH(AV$1,'UN Treasury'!$A$1:$BQ$1,-1,1),FALSE)</f>
        <v>18.266999999999999</v>
      </c>
      <c r="AW78">
        <f>VLOOKUP($A78,'UN Treasury'!$A$1:$BQ$224,_xlfn.XMATCH(AW$1,'UN Treasury'!$A$1:$BQ$1,-1,1),FALSE)</f>
        <v>17.346</v>
      </c>
      <c r="AX78">
        <f>VLOOKUP($A78,'UN Treasury'!$A$1:$BQ$224,_xlfn.XMATCH(AX$1,'UN Treasury'!$A$1:$BQ$1,-1,1),FALSE)</f>
        <v>16.141999999999999</v>
      </c>
      <c r="AY78">
        <f>VLOOKUP($A78,'UN Treasury'!$A$1:$BQ$224,_xlfn.XMATCH(AY$1,'UN Treasury'!$A$1:$BQ$1,-1,1),FALSE)</f>
        <v>16.997</v>
      </c>
      <c r="AZ78">
        <f>VLOOKUP($A78,'UN Treasury'!$A$1:$BQ$224,_xlfn.XMATCH(AZ$1,'UN Treasury'!$A$1:$BQ$1,-1,1),FALSE)</f>
        <v>16.134</v>
      </c>
      <c r="BA78">
        <f>VLOOKUP($A78,'UN Treasury'!$A$1:$BQ$224,_xlfn.XMATCH(BA$1,'UN Treasury'!$A$1:$BQ$1,-1,1),FALSE)</f>
        <v>16.058</v>
      </c>
      <c r="BB78">
        <f>VLOOKUP($A78,'UN Treasury'!$A$1:$BQ$224,_xlfn.XMATCH(BB$1,'UN Treasury'!$A$1:$BQ$1,-1,1),FALSE)</f>
        <v>14.504</v>
      </c>
      <c r="BC78">
        <f>VLOOKUP($A78,'UN Treasury'!$A$1:$BQ$224,_xlfn.XMATCH(BC$1,'UN Treasury'!$A$1:$BQ$1,-1,1),FALSE)</f>
        <v>15.023</v>
      </c>
      <c r="BD78">
        <f>VLOOKUP($A78,'UN Treasury'!$A$1:$BQ$224,_xlfn.XMATCH(BD$1,'UN Treasury'!$A$1:$BQ$1,-1,1),FALSE)</f>
        <v>15.112</v>
      </c>
      <c r="BE78">
        <f>VLOOKUP($A78,'UN Treasury'!$A$1:$BQ$224,_xlfn.XMATCH(BE$1,'UN Treasury'!$A$1:$BQ$1,-1,1),FALSE)</f>
        <v>15.377000000000001</v>
      </c>
      <c r="BF78">
        <f>VLOOKUP($A78,'UN Treasury'!$A$1:$BQ$224,_xlfn.XMATCH(BF$1,'UN Treasury'!$A$1:$BQ$1,-1,1),FALSE)</f>
        <v>16.152999999999999</v>
      </c>
      <c r="BG78">
        <f>VLOOKUP($A78,'UN Treasury'!$A$1:$BQ$224,_xlfn.XMATCH(BG$1,'UN Treasury'!$A$1:$BQ$1,-1,1),FALSE)</f>
        <v>15.255000000000001</v>
      </c>
      <c r="BH78">
        <f>VLOOKUP($A78,'UN Treasury'!$A$1:$BQ$224,_xlfn.XMATCH(BH$1,'UN Treasury'!$A$1:$BQ$1,-1,1),FALSE)</f>
        <v>15.146000000000001</v>
      </c>
      <c r="BI78">
        <f>VLOOKUP($A78,'UN Treasury'!$A$1:$BQ$224,_xlfn.XMATCH(BI$1,'UN Treasury'!$A$1:$BQ$1,-1,1),FALSE)</f>
        <v>14.137</v>
      </c>
      <c r="BJ78">
        <f>VLOOKUP($A78,'UN Treasury'!$A$1:$BQ$224,_xlfn.XMATCH(BJ$1,'UN Treasury'!$A$1:$BQ$1,-1,1),FALSE)</f>
        <v>14.606</v>
      </c>
      <c r="BK78">
        <f>VLOOKUP($A78,'UN Treasury'!$A$1:$BQ$224,_xlfn.XMATCH(BK$1,'UN Treasury'!$A$1:$BQ$1,-1,1),FALSE)</f>
        <v>14.24</v>
      </c>
      <c r="BL78">
        <f>VLOOKUP($A78,'UN Treasury'!$A$1:$BQ$224,_xlfn.XMATCH(BL$1,'UN Treasury'!$A$1:$BQ$1,-1,1),FALSE)</f>
        <v>13.733000000000001</v>
      </c>
      <c r="BM78">
        <f>VLOOKUP($A78,'UN Treasury'!$A$1:$BQ$224,_xlfn.XMATCH(BM$1,'UN Treasury'!$A$1:$BQ$1,-1,1),FALSE)</f>
        <v>14.356</v>
      </c>
      <c r="BN78">
        <f>VLOOKUP($A78,'UN Treasury'!$A$1:$BQ$224,_xlfn.XMATCH(BN$1,'UN Treasury'!$A$1:$BQ$1,-1,1),FALSE)</f>
        <v>14.935</v>
      </c>
      <c r="BO78">
        <f>VLOOKUP($A78,'UN Treasury'!$A$1:$BQ$224,_xlfn.XMATCH(BO$1,'UN Treasury'!$A$1:$BQ$1,-1,1),FALSE)</f>
        <v>14.93</v>
      </c>
      <c r="BP78">
        <f>VLOOKUP($A78,'UN Treasury'!$A$1:$BQ$224,_xlfn.XMATCH(BP$1,'UN Treasury'!$A$1:$BQ$1,-1,1),FALSE)</f>
        <v>14.628</v>
      </c>
      <c r="BQ78">
        <f>VLOOKUP($A78,'UN Treasury'!$A$1:$BQ$224,_xlfn.XMATCH(BQ$1,'UN Treasury'!$A$1:$BQ$1,-1,1),FALSE)</f>
        <v>15.241</v>
      </c>
    </row>
    <row r="79" spans="1:69" x14ac:dyDescent="0.25">
      <c r="A79" t="s">
        <v>183</v>
      </c>
      <c r="B79">
        <f>VLOOKUP($A79,'UN Treasury'!$A$1:$BQ$224,_xlfn.XMATCH(B$1,'UN Treasury'!$A$1:$BQ$1,-1,1),FALSE)</f>
        <v>6.3739999999999997</v>
      </c>
      <c r="C79">
        <f>VLOOKUP($A79,'UN Treasury'!$A$1:$BQ$224,_xlfn.XMATCH(C$1,'UN Treasury'!$A$1:$BQ$1,-1,1),FALSE)</f>
        <v>6.3789999999999996</v>
      </c>
      <c r="D79">
        <f>VLOOKUP($A79,'UN Treasury'!$A$1:$BQ$224,_xlfn.XMATCH(D$1,'UN Treasury'!$A$1:$BQ$1,-1,1),FALSE)</f>
        <v>6.3419999999999996</v>
      </c>
      <c r="E79">
        <f>VLOOKUP($A79,'UN Treasury'!$A$1:$BQ$224,_xlfn.XMATCH(E$1,'UN Treasury'!$A$1:$BQ$1,-1,1),FALSE)</f>
        <v>6.3040000000000003</v>
      </c>
      <c r="F79">
        <f>VLOOKUP($A79,'UN Treasury'!$A$1:$BQ$224,_xlfn.XMATCH(F$1,'UN Treasury'!$A$1:$BQ$1,-1,1),FALSE)</f>
        <v>6.3390000000000004</v>
      </c>
      <c r="G79">
        <f>VLOOKUP($A79,'UN Treasury'!$A$1:$BQ$224,_xlfn.XMATCH(G$1,'UN Treasury'!$A$1:$BQ$1,-1,1),FALSE)</f>
        <v>6.3360000000000003</v>
      </c>
      <c r="H79">
        <f>VLOOKUP($A79,'UN Treasury'!$A$1:$BQ$224,_xlfn.XMATCH(H$1,'UN Treasury'!$A$1:$BQ$1,-1,1),FALSE)</f>
        <v>6.2590000000000003</v>
      </c>
      <c r="I79">
        <f>VLOOKUP($A79,'UN Treasury'!$A$1:$BQ$224,_xlfn.XMATCH(I$1,'UN Treasury'!$A$1:$BQ$1,-1,1),FALSE)</f>
        <v>5.4009999999999998</v>
      </c>
      <c r="J79">
        <f>VLOOKUP($A79,'UN Treasury'!$A$1:$BQ$224,_xlfn.XMATCH(J$1,'UN Treasury'!$A$1:$BQ$1,-1,1),FALSE)</f>
        <v>5.42</v>
      </c>
      <c r="K79">
        <f>VLOOKUP($A79,'UN Treasury'!$A$1:$BQ$224,_xlfn.XMATCH(K$1,'UN Treasury'!$A$1:$BQ$1,-1,1),FALSE)</f>
        <v>5.4429999999999996</v>
      </c>
      <c r="L79">
        <f>VLOOKUP($A79,'UN Treasury'!$A$1:$BQ$224,_xlfn.XMATCH(L$1,'UN Treasury'!$A$1:$BQ$1,-1,1),FALSE)</f>
        <v>5.4249999999999998</v>
      </c>
      <c r="M79">
        <f>VLOOKUP($A79,'UN Treasury'!$A$1:$BQ$224,_xlfn.XMATCH(M$1,'UN Treasury'!$A$1:$BQ$1,-1,1),FALSE)</f>
        <v>5.3959999999999999</v>
      </c>
      <c r="N79">
        <f>VLOOKUP($A79,'UN Treasury'!$A$1:$BQ$224,_xlfn.XMATCH(N$1,'UN Treasury'!$A$1:$BQ$1,-1,1),FALSE)</f>
        <v>5.407</v>
      </c>
      <c r="O79">
        <f>VLOOKUP($A79,'UN Treasury'!$A$1:$BQ$224,_xlfn.XMATCH(O$1,'UN Treasury'!$A$1:$BQ$1,-1,1),FALSE)</f>
        <v>5.3949999999999996</v>
      </c>
      <c r="P79">
        <f>VLOOKUP($A79,'UN Treasury'!$A$1:$BQ$224,_xlfn.XMATCH(P$1,'UN Treasury'!$A$1:$BQ$1,-1,1),FALSE)</f>
        <v>5.4589999999999996</v>
      </c>
      <c r="Q79">
        <f>VLOOKUP($A79,'UN Treasury'!$A$1:$BQ$224,_xlfn.XMATCH(Q$1,'UN Treasury'!$A$1:$BQ$1,-1,1),FALSE)</f>
        <v>5.4790000000000001</v>
      </c>
      <c r="R79">
        <f>VLOOKUP($A79,'UN Treasury'!$A$1:$BQ$224,_xlfn.XMATCH(R$1,'UN Treasury'!$A$1:$BQ$1,-1,1),FALSE)</f>
        <v>5.5570000000000004</v>
      </c>
      <c r="S79">
        <f>VLOOKUP($A79,'UN Treasury'!$A$1:$BQ$224,_xlfn.XMATCH(S$1,'UN Treasury'!$A$1:$BQ$1,-1,1),FALSE)</f>
        <v>4.8209999999999997</v>
      </c>
      <c r="T79">
        <f>VLOOKUP($A79,'UN Treasury'!$A$1:$BQ$224,_xlfn.XMATCH(T$1,'UN Treasury'!$A$1:$BQ$1,-1,1),FALSE)</f>
        <v>4.9269999999999996</v>
      </c>
      <c r="U79">
        <f>VLOOKUP($A79,'UN Treasury'!$A$1:$BQ$224,_xlfn.XMATCH(U$1,'UN Treasury'!$A$1:$BQ$1,-1,1),FALSE)</f>
        <v>4.944</v>
      </c>
      <c r="V79">
        <f>VLOOKUP($A79,'UN Treasury'!$A$1:$BQ$224,_xlfn.XMATCH(V$1,'UN Treasury'!$A$1:$BQ$1,-1,1),FALSE)</f>
        <v>4.8769999999999998</v>
      </c>
      <c r="W79">
        <f>VLOOKUP($A79,'UN Treasury'!$A$1:$BQ$224,_xlfn.XMATCH(W$1,'UN Treasury'!$A$1:$BQ$1,-1,1),FALSE)</f>
        <v>4.8460000000000001</v>
      </c>
      <c r="X79">
        <f>VLOOKUP($A79,'UN Treasury'!$A$1:$BQ$224,_xlfn.XMATCH(X$1,'UN Treasury'!$A$1:$BQ$1,-1,1),FALSE)</f>
        <v>4.7839999999999998</v>
      </c>
      <c r="Y79">
        <f>VLOOKUP($A79,'UN Treasury'!$A$1:$BQ$224,_xlfn.XMATCH(Y$1,'UN Treasury'!$A$1:$BQ$1,-1,1),FALSE)</f>
        <v>4.7720000000000002</v>
      </c>
      <c r="Z79">
        <f>VLOOKUP($A79,'UN Treasury'!$A$1:$BQ$224,_xlfn.XMATCH(Z$1,'UN Treasury'!$A$1:$BQ$1,-1,1),FALSE)</f>
        <v>4.8099999999999996</v>
      </c>
      <c r="AA79">
        <f>VLOOKUP($A79,'UN Treasury'!$A$1:$BQ$224,_xlfn.XMATCH(AA$1,'UN Treasury'!$A$1:$BQ$1,-1,1),FALSE)</f>
        <v>4.8499999999999996</v>
      </c>
      <c r="AB79">
        <f>VLOOKUP($A79,'UN Treasury'!$A$1:$BQ$224,_xlfn.XMATCH(AB$1,'UN Treasury'!$A$1:$BQ$1,-1,1),FALSE)</f>
        <v>4.8579999999999997</v>
      </c>
      <c r="AC79">
        <f>VLOOKUP($A79,'UN Treasury'!$A$1:$BQ$224,_xlfn.XMATCH(AC$1,'UN Treasury'!$A$1:$BQ$1,-1,1),FALSE)</f>
        <v>4.8550000000000004</v>
      </c>
      <c r="AD79">
        <f>VLOOKUP($A79,'UN Treasury'!$A$1:$BQ$224,_xlfn.XMATCH(AD$1,'UN Treasury'!$A$1:$BQ$1,-1,1),FALSE)</f>
        <v>4.8390000000000004</v>
      </c>
      <c r="AE79">
        <f>VLOOKUP($A79,'UN Treasury'!$A$1:$BQ$224,_xlfn.XMATCH(AE$1,'UN Treasury'!$A$1:$BQ$1,-1,1),FALSE)</f>
        <v>4.8040000000000003</v>
      </c>
      <c r="AF79">
        <f>VLOOKUP($A79,'UN Treasury'!$A$1:$BQ$224,_xlfn.XMATCH(AF$1,'UN Treasury'!$A$1:$BQ$1,-1,1),FALSE)</f>
        <v>4.8179999999999996</v>
      </c>
      <c r="AG79">
        <f>VLOOKUP($A79,'UN Treasury'!$A$1:$BQ$224,_xlfn.XMATCH(AG$1,'UN Treasury'!$A$1:$BQ$1,-1,1),FALSE)</f>
        <v>4.8010000000000002</v>
      </c>
      <c r="AH79">
        <f>VLOOKUP($A79,'UN Treasury'!$A$1:$BQ$224,_xlfn.XMATCH(AH$1,'UN Treasury'!$A$1:$BQ$1,-1,1),FALSE)</f>
        <v>4.835</v>
      </c>
      <c r="AI79">
        <f>VLOOKUP($A79,'UN Treasury'!$A$1:$BQ$224,_xlfn.XMATCH(AI$1,'UN Treasury'!$A$1:$BQ$1,-1,1),FALSE)</f>
        <v>4.9000000000000004</v>
      </c>
      <c r="AJ79">
        <f>VLOOKUP($A79,'UN Treasury'!$A$1:$BQ$224,_xlfn.XMATCH(AJ$1,'UN Treasury'!$A$1:$BQ$1,-1,1),FALSE)</f>
        <v>4.8929999999999998</v>
      </c>
      <c r="AK79">
        <f>VLOOKUP($A79,'UN Treasury'!$A$1:$BQ$224,_xlfn.XMATCH(AK$1,'UN Treasury'!$A$1:$BQ$1,-1,1),FALSE)</f>
        <v>4.8499999999999996</v>
      </c>
      <c r="AL79">
        <f>VLOOKUP($A79,'UN Treasury'!$A$1:$BQ$224,_xlfn.XMATCH(AL$1,'UN Treasury'!$A$1:$BQ$1,-1,1),FALSE)</f>
        <v>4.7910000000000004</v>
      </c>
      <c r="AM79">
        <f>VLOOKUP($A79,'UN Treasury'!$A$1:$BQ$224,_xlfn.XMATCH(AM$1,'UN Treasury'!$A$1:$BQ$1,-1,1),FALSE)</f>
        <v>4.8339999999999996</v>
      </c>
      <c r="AN79">
        <f>VLOOKUP($A79,'UN Treasury'!$A$1:$BQ$224,_xlfn.XMATCH(AN$1,'UN Treasury'!$A$1:$BQ$1,-1,1),FALSE)</f>
        <v>4.8339999999999996</v>
      </c>
      <c r="AO79">
        <f>VLOOKUP($A79,'UN Treasury'!$A$1:$BQ$224,_xlfn.XMATCH(AO$1,'UN Treasury'!$A$1:$BQ$1,-1,1),FALSE)</f>
        <v>4.7640000000000002</v>
      </c>
      <c r="AP79">
        <f>VLOOKUP($A79,'UN Treasury'!$A$1:$BQ$224,_xlfn.XMATCH(AP$1,'UN Treasury'!$A$1:$BQ$1,-1,1),FALSE)</f>
        <v>4.7690000000000001</v>
      </c>
      <c r="AQ79">
        <f>VLOOKUP($A79,'UN Treasury'!$A$1:$BQ$224,_xlfn.XMATCH(AQ$1,'UN Treasury'!$A$1:$BQ$1,-1,1),FALSE)</f>
        <v>4.8520000000000003</v>
      </c>
      <c r="AR79">
        <f>VLOOKUP($A79,'UN Treasury'!$A$1:$BQ$224,_xlfn.XMATCH(AR$1,'UN Treasury'!$A$1:$BQ$1,-1,1),FALSE)</f>
        <v>4.76</v>
      </c>
      <c r="AS79">
        <f>VLOOKUP($A79,'UN Treasury'!$A$1:$BQ$224,_xlfn.XMATCH(AS$1,'UN Treasury'!$A$1:$BQ$1,-1,1),FALSE)</f>
        <v>4.798</v>
      </c>
      <c r="AT79">
        <f>VLOOKUP($A79,'UN Treasury'!$A$1:$BQ$224,_xlfn.XMATCH(AT$1,'UN Treasury'!$A$1:$BQ$1,-1,1),FALSE)</f>
        <v>4.8470000000000004</v>
      </c>
      <c r="AU79">
        <f>VLOOKUP($A79,'UN Treasury'!$A$1:$BQ$224,_xlfn.XMATCH(AU$1,'UN Treasury'!$A$1:$BQ$1,-1,1),FALSE)</f>
        <v>4.9740000000000002</v>
      </c>
      <c r="AV79">
        <f>VLOOKUP($A79,'UN Treasury'!$A$1:$BQ$224,_xlfn.XMATCH(AV$1,'UN Treasury'!$A$1:$BQ$1,-1,1),FALSE)</f>
        <v>5.0490000000000004</v>
      </c>
      <c r="AW79">
        <f>VLOOKUP($A79,'UN Treasury'!$A$1:$BQ$224,_xlfn.XMATCH(AW$1,'UN Treasury'!$A$1:$BQ$1,-1,1),FALSE)</f>
        <v>4.9560000000000004</v>
      </c>
      <c r="AX79">
        <f>VLOOKUP($A79,'UN Treasury'!$A$1:$BQ$224,_xlfn.XMATCH(AX$1,'UN Treasury'!$A$1:$BQ$1,-1,1),FALSE)</f>
        <v>4.8730000000000002</v>
      </c>
      <c r="AY79">
        <f>VLOOKUP($A79,'UN Treasury'!$A$1:$BQ$224,_xlfn.XMATCH(AY$1,'UN Treasury'!$A$1:$BQ$1,-1,1),FALSE)</f>
        <v>4.8810000000000002</v>
      </c>
      <c r="AZ79">
        <f>VLOOKUP($A79,'UN Treasury'!$A$1:$BQ$224,_xlfn.XMATCH(AZ$1,'UN Treasury'!$A$1:$BQ$1,-1,1),FALSE)</f>
        <v>4.78</v>
      </c>
      <c r="BA79">
        <f>VLOOKUP($A79,'UN Treasury'!$A$1:$BQ$224,_xlfn.XMATCH(BA$1,'UN Treasury'!$A$1:$BQ$1,-1,1),FALSE)</f>
        <v>4.8109999999999999</v>
      </c>
      <c r="BB79">
        <f>VLOOKUP($A79,'UN Treasury'!$A$1:$BQ$224,_xlfn.XMATCH(BB$1,'UN Treasury'!$A$1:$BQ$1,-1,1),FALSE)</f>
        <v>4.6920000000000002</v>
      </c>
      <c r="BC79">
        <f>VLOOKUP($A79,'UN Treasury'!$A$1:$BQ$224,_xlfn.XMATCH(BC$1,'UN Treasury'!$A$1:$BQ$1,-1,1),FALSE)</f>
        <v>4.5979999999999999</v>
      </c>
      <c r="BD79">
        <f>VLOOKUP($A79,'UN Treasury'!$A$1:$BQ$224,_xlfn.XMATCH(BD$1,'UN Treasury'!$A$1:$BQ$1,-1,1),FALSE)</f>
        <v>4.5819999999999999</v>
      </c>
      <c r="BE79">
        <f>VLOOKUP($A79,'UN Treasury'!$A$1:$BQ$224,_xlfn.XMATCH(BE$1,'UN Treasury'!$A$1:$BQ$1,-1,1),FALSE)</f>
        <v>4.5999999999999996</v>
      </c>
      <c r="BF79">
        <f>VLOOKUP($A79,'UN Treasury'!$A$1:$BQ$224,_xlfn.XMATCH(BF$1,'UN Treasury'!$A$1:$BQ$1,-1,1),FALSE)</f>
        <v>4.6109999999999998</v>
      </c>
      <c r="BG79">
        <f>VLOOKUP($A79,'UN Treasury'!$A$1:$BQ$224,_xlfn.XMATCH(BG$1,'UN Treasury'!$A$1:$BQ$1,-1,1),FALSE)</f>
        <v>4.5439999999999996</v>
      </c>
      <c r="BH79">
        <f>VLOOKUP($A79,'UN Treasury'!$A$1:$BQ$224,_xlfn.XMATCH(BH$1,'UN Treasury'!$A$1:$BQ$1,-1,1),FALSE)</f>
        <v>4.5339999999999998</v>
      </c>
      <c r="BI79">
        <f>VLOOKUP($A79,'UN Treasury'!$A$1:$BQ$224,_xlfn.XMATCH(BI$1,'UN Treasury'!$A$1:$BQ$1,-1,1),FALSE)</f>
        <v>4.5359999999999996</v>
      </c>
      <c r="BJ79">
        <f>VLOOKUP($A79,'UN Treasury'!$A$1:$BQ$224,_xlfn.XMATCH(BJ$1,'UN Treasury'!$A$1:$BQ$1,-1,1),FALSE)</f>
        <v>4.5140000000000002</v>
      </c>
      <c r="BK79">
        <f>VLOOKUP($A79,'UN Treasury'!$A$1:$BQ$224,_xlfn.XMATCH(BK$1,'UN Treasury'!$A$1:$BQ$1,-1,1),FALSE)</f>
        <v>4.5010000000000003</v>
      </c>
      <c r="BL79">
        <f>VLOOKUP($A79,'UN Treasury'!$A$1:$BQ$224,_xlfn.XMATCH(BL$1,'UN Treasury'!$A$1:$BQ$1,-1,1),FALSE)</f>
        <v>4.4480000000000004</v>
      </c>
      <c r="BM79">
        <f>VLOOKUP($A79,'UN Treasury'!$A$1:$BQ$224,_xlfn.XMATCH(BM$1,'UN Treasury'!$A$1:$BQ$1,-1,1),FALSE)</f>
        <v>4.4820000000000002</v>
      </c>
      <c r="BN79">
        <f>VLOOKUP($A79,'UN Treasury'!$A$1:$BQ$224,_xlfn.XMATCH(BN$1,'UN Treasury'!$A$1:$BQ$1,-1,1),FALSE)</f>
        <v>4.4909999999999997</v>
      </c>
      <c r="BO79">
        <f>VLOOKUP($A79,'UN Treasury'!$A$1:$BQ$224,_xlfn.XMATCH(BO$1,'UN Treasury'!$A$1:$BQ$1,-1,1),FALSE)</f>
        <v>4.4630000000000001</v>
      </c>
      <c r="BP79">
        <f>VLOOKUP($A79,'UN Treasury'!$A$1:$BQ$224,_xlfn.XMATCH(BP$1,'UN Treasury'!$A$1:$BQ$1,-1,1),FALSE)</f>
        <v>4.4550000000000001</v>
      </c>
      <c r="BQ79">
        <f>VLOOKUP($A79,'UN Treasury'!$A$1:$BQ$224,_xlfn.XMATCH(BQ$1,'UN Treasury'!$A$1:$BQ$1,-1,1),FALSE)</f>
        <v>4.4800000000000004</v>
      </c>
    </row>
    <row r="80" spans="1:69" x14ac:dyDescent="0.25">
      <c r="A80" t="s">
        <v>185</v>
      </c>
      <c r="B80">
        <f>VLOOKUP($A80,'UN Treasury'!$A$1:$BQ$224,_xlfn.XMATCH(B$1,'UN Treasury'!$A$1:$BQ$1,-1,1),FALSE)</f>
        <v>9.2919999999999998</v>
      </c>
      <c r="C80">
        <f>VLOOKUP($A80,'UN Treasury'!$A$1:$BQ$224,_xlfn.XMATCH(C$1,'UN Treasury'!$A$1:$BQ$1,-1,1),FALSE)</f>
        <v>9.3170000000000002</v>
      </c>
      <c r="D80">
        <f>VLOOKUP($A80,'UN Treasury'!$A$1:$BQ$224,_xlfn.XMATCH(D$1,'UN Treasury'!$A$1:$BQ$1,-1,1),FALSE)</f>
        <v>9.282</v>
      </c>
      <c r="E80">
        <f>VLOOKUP($A80,'UN Treasury'!$A$1:$BQ$224,_xlfn.XMATCH(E$1,'UN Treasury'!$A$1:$BQ$1,-1,1),FALSE)</f>
        <v>9.1639999999999997</v>
      </c>
      <c r="F80">
        <f>VLOOKUP($A80,'UN Treasury'!$A$1:$BQ$224,_xlfn.XMATCH(F$1,'UN Treasury'!$A$1:$BQ$1,-1,1),FALSE)</f>
        <v>9.2829999999999995</v>
      </c>
      <c r="G80">
        <f>VLOOKUP($A80,'UN Treasury'!$A$1:$BQ$224,_xlfn.XMATCH(G$1,'UN Treasury'!$A$1:$BQ$1,-1,1),FALSE)</f>
        <v>9.3879999999999999</v>
      </c>
      <c r="H80">
        <f>VLOOKUP($A80,'UN Treasury'!$A$1:$BQ$224,_xlfn.XMATCH(H$1,'UN Treasury'!$A$1:$BQ$1,-1,1),FALSE)</f>
        <v>9.1289999999999996</v>
      </c>
      <c r="I80">
        <f>VLOOKUP($A80,'UN Treasury'!$A$1:$BQ$224,_xlfn.XMATCH(I$1,'UN Treasury'!$A$1:$BQ$1,-1,1),FALSE)</f>
        <v>9.2119999999999997</v>
      </c>
      <c r="J80">
        <f>VLOOKUP($A80,'UN Treasury'!$A$1:$BQ$224,_xlfn.XMATCH(J$1,'UN Treasury'!$A$1:$BQ$1,-1,1),FALSE)</f>
        <v>9.1760000000000002</v>
      </c>
      <c r="K80">
        <f>VLOOKUP($A80,'UN Treasury'!$A$1:$BQ$224,_xlfn.XMATCH(K$1,'UN Treasury'!$A$1:$BQ$1,-1,1),FALSE)</f>
        <v>9.2940000000000005</v>
      </c>
      <c r="L80">
        <f>VLOOKUP($A80,'UN Treasury'!$A$1:$BQ$224,_xlfn.XMATCH(L$1,'UN Treasury'!$A$1:$BQ$1,-1,1),FALSE)</f>
        <v>9.1910000000000007</v>
      </c>
      <c r="M80">
        <f>VLOOKUP($A80,'UN Treasury'!$A$1:$BQ$224,_xlfn.XMATCH(M$1,'UN Treasury'!$A$1:$BQ$1,-1,1),FALSE)</f>
        <v>9.0030000000000001</v>
      </c>
      <c r="N80">
        <f>VLOOKUP($A80,'UN Treasury'!$A$1:$BQ$224,_xlfn.XMATCH(N$1,'UN Treasury'!$A$1:$BQ$1,-1,1),FALSE)</f>
        <v>9.0039999999999996</v>
      </c>
      <c r="O80">
        <f>VLOOKUP($A80,'UN Treasury'!$A$1:$BQ$224,_xlfn.XMATCH(O$1,'UN Treasury'!$A$1:$BQ$1,-1,1),FALSE)</f>
        <v>9.01</v>
      </c>
      <c r="P80">
        <f>VLOOKUP($A80,'UN Treasury'!$A$1:$BQ$224,_xlfn.XMATCH(P$1,'UN Treasury'!$A$1:$BQ$1,-1,1),FALSE)</f>
        <v>9.1460000000000008</v>
      </c>
      <c r="Q80">
        <f>VLOOKUP($A80,'UN Treasury'!$A$1:$BQ$224,_xlfn.XMATCH(Q$1,'UN Treasury'!$A$1:$BQ$1,-1,1),FALSE)</f>
        <v>9.3079999999999998</v>
      </c>
      <c r="R80">
        <f>VLOOKUP($A80,'UN Treasury'!$A$1:$BQ$224,_xlfn.XMATCH(R$1,'UN Treasury'!$A$1:$BQ$1,-1,1),FALSE)</f>
        <v>9.2910000000000004</v>
      </c>
      <c r="S80">
        <f>VLOOKUP($A80,'UN Treasury'!$A$1:$BQ$224,_xlfn.XMATCH(S$1,'UN Treasury'!$A$1:$BQ$1,-1,1),FALSE)</f>
        <v>9.6850000000000005</v>
      </c>
      <c r="T80">
        <f>VLOOKUP($A80,'UN Treasury'!$A$1:$BQ$224,_xlfn.XMATCH(T$1,'UN Treasury'!$A$1:$BQ$1,-1,1),FALSE)</f>
        <v>10.013999999999999</v>
      </c>
      <c r="U80">
        <f>VLOOKUP($A80,'UN Treasury'!$A$1:$BQ$224,_xlfn.XMATCH(U$1,'UN Treasury'!$A$1:$BQ$1,-1,1),FALSE)</f>
        <v>10.087</v>
      </c>
      <c r="V80">
        <f>VLOOKUP($A80,'UN Treasury'!$A$1:$BQ$224,_xlfn.XMATCH(V$1,'UN Treasury'!$A$1:$BQ$1,-1,1),FALSE)</f>
        <v>9.9830000000000005</v>
      </c>
      <c r="W80">
        <f>VLOOKUP($A80,'UN Treasury'!$A$1:$BQ$224,_xlfn.XMATCH(W$1,'UN Treasury'!$A$1:$BQ$1,-1,1),FALSE)</f>
        <v>9.9369999999999994</v>
      </c>
      <c r="X80">
        <f>VLOOKUP($A80,'UN Treasury'!$A$1:$BQ$224,_xlfn.XMATCH(X$1,'UN Treasury'!$A$1:$BQ$1,-1,1),FALSE)</f>
        <v>9.8049999999999997</v>
      </c>
      <c r="Y80">
        <f>VLOOKUP($A80,'UN Treasury'!$A$1:$BQ$224,_xlfn.XMATCH(Y$1,'UN Treasury'!$A$1:$BQ$1,-1,1),FALSE)</f>
        <v>9.766</v>
      </c>
      <c r="Z80">
        <f>VLOOKUP($A80,'UN Treasury'!$A$1:$BQ$224,_xlfn.XMATCH(Z$1,'UN Treasury'!$A$1:$BQ$1,-1,1),FALSE)</f>
        <v>9.7959999999999994</v>
      </c>
      <c r="AA80">
        <f>VLOOKUP($A80,'UN Treasury'!$A$1:$BQ$224,_xlfn.XMATCH(AA$1,'UN Treasury'!$A$1:$BQ$1,-1,1),FALSE)</f>
        <v>9.8190000000000008</v>
      </c>
      <c r="AB80">
        <f>VLOOKUP($A80,'UN Treasury'!$A$1:$BQ$224,_xlfn.XMATCH(AB$1,'UN Treasury'!$A$1:$BQ$1,-1,1),FALSE)</f>
        <v>9.9410000000000007</v>
      </c>
      <c r="AC80">
        <f>VLOOKUP($A80,'UN Treasury'!$A$1:$BQ$224,_xlfn.XMATCH(AC$1,'UN Treasury'!$A$1:$BQ$1,-1,1),FALSE)</f>
        <v>10.016999999999999</v>
      </c>
      <c r="AD80">
        <f>VLOOKUP($A80,'UN Treasury'!$A$1:$BQ$224,_xlfn.XMATCH(AD$1,'UN Treasury'!$A$1:$BQ$1,-1,1),FALSE)</f>
        <v>10.026</v>
      </c>
      <c r="AE80">
        <f>VLOOKUP($A80,'UN Treasury'!$A$1:$BQ$224,_xlfn.XMATCH(AE$1,'UN Treasury'!$A$1:$BQ$1,-1,1),FALSE)</f>
        <v>10.019</v>
      </c>
      <c r="AF80">
        <f>VLOOKUP($A80,'UN Treasury'!$A$1:$BQ$224,_xlfn.XMATCH(AF$1,'UN Treasury'!$A$1:$BQ$1,-1,1),FALSE)</f>
        <v>10.063000000000001</v>
      </c>
      <c r="AG80">
        <f>VLOOKUP($A80,'UN Treasury'!$A$1:$BQ$224,_xlfn.XMATCH(AG$1,'UN Treasury'!$A$1:$BQ$1,-1,1),FALSE)</f>
        <v>9.9489999999999998</v>
      </c>
      <c r="AH80">
        <f>VLOOKUP($A80,'UN Treasury'!$A$1:$BQ$224,_xlfn.XMATCH(AH$1,'UN Treasury'!$A$1:$BQ$1,-1,1),FALSE)</f>
        <v>10.188000000000001</v>
      </c>
      <c r="AI80">
        <f>VLOOKUP($A80,'UN Treasury'!$A$1:$BQ$224,_xlfn.XMATCH(AI$1,'UN Treasury'!$A$1:$BQ$1,-1,1),FALSE)</f>
        <v>10.222</v>
      </c>
      <c r="AJ80">
        <f>VLOOKUP($A80,'UN Treasury'!$A$1:$BQ$224,_xlfn.XMATCH(AJ$1,'UN Treasury'!$A$1:$BQ$1,-1,1),FALSE)</f>
        <v>10.218999999999999</v>
      </c>
      <c r="AK80">
        <f>VLOOKUP($A80,'UN Treasury'!$A$1:$BQ$224,_xlfn.XMATCH(AK$1,'UN Treasury'!$A$1:$BQ$1,-1,1),FALSE)</f>
        <v>10.164999999999999</v>
      </c>
      <c r="AL80">
        <f>VLOOKUP($A80,'UN Treasury'!$A$1:$BQ$224,_xlfn.XMATCH(AL$1,'UN Treasury'!$A$1:$BQ$1,-1,1),FALSE)</f>
        <v>9.8770000000000007</v>
      </c>
      <c r="AM80">
        <f>VLOOKUP($A80,'UN Treasury'!$A$1:$BQ$224,_xlfn.XMATCH(AM$1,'UN Treasury'!$A$1:$BQ$1,-1,1),FALSE)</f>
        <v>9.7439999999999998</v>
      </c>
      <c r="AN80">
        <f>VLOOKUP($A80,'UN Treasury'!$A$1:$BQ$224,_xlfn.XMATCH(AN$1,'UN Treasury'!$A$1:$BQ$1,-1,1),FALSE)</f>
        <v>10.102</v>
      </c>
      <c r="AO80">
        <f>VLOOKUP($A80,'UN Treasury'!$A$1:$BQ$224,_xlfn.XMATCH(AO$1,'UN Treasury'!$A$1:$BQ$1,-1,1),FALSE)</f>
        <v>10.061</v>
      </c>
      <c r="AP80">
        <f>VLOOKUP($A80,'UN Treasury'!$A$1:$BQ$224,_xlfn.XMATCH(AP$1,'UN Treasury'!$A$1:$BQ$1,-1,1),FALSE)</f>
        <v>10.151</v>
      </c>
      <c r="AQ80">
        <f>VLOOKUP($A80,'UN Treasury'!$A$1:$BQ$224,_xlfn.XMATCH(AQ$1,'UN Treasury'!$A$1:$BQ$1,-1,1),FALSE)</f>
        <v>10.388999999999999</v>
      </c>
      <c r="AR80">
        <f>VLOOKUP($A80,'UN Treasury'!$A$1:$BQ$224,_xlfn.XMATCH(AR$1,'UN Treasury'!$A$1:$BQ$1,-1,1),FALSE)</f>
        <v>10.263</v>
      </c>
      <c r="AS80">
        <f>VLOOKUP($A80,'UN Treasury'!$A$1:$BQ$224,_xlfn.XMATCH(AS$1,'UN Treasury'!$A$1:$BQ$1,-1,1),FALSE)</f>
        <v>10.199999999999999</v>
      </c>
      <c r="AT80">
        <f>VLOOKUP($A80,'UN Treasury'!$A$1:$BQ$224,_xlfn.XMATCH(AT$1,'UN Treasury'!$A$1:$BQ$1,-1,1),FALSE)</f>
        <v>10.478999999999999</v>
      </c>
      <c r="AU80">
        <f>VLOOKUP($A80,'UN Treasury'!$A$1:$BQ$224,_xlfn.XMATCH(AU$1,'UN Treasury'!$A$1:$BQ$1,-1,1),FALSE)</f>
        <v>10.736000000000001</v>
      </c>
      <c r="AV80">
        <f>VLOOKUP($A80,'UN Treasury'!$A$1:$BQ$224,_xlfn.XMATCH(AV$1,'UN Treasury'!$A$1:$BQ$1,-1,1),FALSE)</f>
        <v>11.028</v>
      </c>
      <c r="AW80">
        <f>VLOOKUP($A80,'UN Treasury'!$A$1:$BQ$224,_xlfn.XMATCH(AW$1,'UN Treasury'!$A$1:$BQ$1,-1,1),FALSE)</f>
        <v>10.750999999999999</v>
      </c>
      <c r="AX80">
        <f>VLOOKUP($A80,'UN Treasury'!$A$1:$BQ$224,_xlfn.XMATCH(AX$1,'UN Treasury'!$A$1:$BQ$1,-1,1),FALSE)</f>
        <v>10.236000000000001</v>
      </c>
      <c r="AY80">
        <f>VLOOKUP($A80,'UN Treasury'!$A$1:$BQ$224,_xlfn.XMATCH(AY$1,'UN Treasury'!$A$1:$BQ$1,-1,1),FALSE)</f>
        <v>10.288</v>
      </c>
      <c r="AZ80">
        <f>VLOOKUP($A80,'UN Treasury'!$A$1:$BQ$224,_xlfn.XMATCH(AZ$1,'UN Treasury'!$A$1:$BQ$1,-1,1),FALSE)</f>
        <v>10.018000000000001</v>
      </c>
      <c r="BA80">
        <f>VLOOKUP($A80,'UN Treasury'!$A$1:$BQ$224,_xlfn.XMATCH(BA$1,'UN Treasury'!$A$1:$BQ$1,-1,1),FALSE)</f>
        <v>10.026999999999999</v>
      </c>
      <c r="BB80">
        <f>VLOOKUP($A80,'UN Treasury'!$A$1:$BQ$224,_xlfn.XMATCH(BB$1,'UN Treasury'!$A$1:$BQ$1,-1,1),FALSE)</f>
        <v>9.8140000000000001</v>
      </c>
      <c r="BC80">
        <f>VLOOKUP($A80,'UN Treasury'!$A$1:$BQ$224,_xlfn.XMATCH(BC$1,'UN Treasury'!$A$1:$BQ$1,-1,1),FALSE)</f>
        <v>9.7140000000000004</v>
      </c>
      <c r="BD80">
        <f>VLOOKUP($A80,'UN Treasury'!$A$1:$BQ$224,_xlfn.XMATCH(BD$1,'UN Treasury'!$A$1:$BQ$1,-1,1),FALSE)</f>
        <v>9.34</v>
      </c>
      <c r="BE80">
        <f>VLOOKUP($A80,'UN Treasury'!$A$1:$BQ$224,_xlfn.XMATCH(BE$1,'UN Treasury'!$A$1:$BQ$1,-1,1),FALSE)</f>
        <v>9.2159999999999993</v>
      </c>
      <c r="BF80">
        <f>VLOOKUP($A80,'UN Treasury'!$A$1:$BQ$224,_xlfn.XMATCH(BF$1,'UN Treasury'!$A$1:$BQ$1,-1,1),FALSE)</f>
        <v>9.2590000000000003</v>
      </c>
      <c r="BG80">
        <f>VLOOKUP($A80,'UN Treasury'!$A$1:$BQ$224,_xlfn.XMATCH(BG$1,'UN Treasury'!$A$1:$BQ$1,-1,1),FALSE)</f>
        <v>9.0220000000000002</v>
      </c>
      <c r="BH80">
        <f>VLOOKUP($A80,'UN Treasury'!$A$1:$BQ$224,_xlfn.XMATCH(BH$1,'UN Treasury'!$A$1:$BQ$1,-1,1),FALSE)</f>
        <v>9.032</v>
      </c>
      <c r="BI80">
        <f>VLOOKUP($A80,'UN Treasury'!$A$1:$BQ$224,_xlfn.XMATCH(BI$1,'UN Treasury'!$A$1:$BQ$1,-1,1),FALSE)</f>
        <v>8.8840000000000003</v>
      </c>
      <c r="BJ80">
        <f>VLOOKUP($A80,'UN Treasury'!$A$1:$BQ$224,_xlfn.XMATCH(BJ$1,'UN Treasury'!$A$1:$BQ$1,-1,1),FALSE)</f>
        <v>8.8800000000000008</v>
      </c>
      <c r="BK80">
        <f>VLOOKUP($A80,'UN Treasury'!$A$1:$BQ$224,_xlfn.XMATCH(BK$1,'UN Treasury'!$A$1:$BQ$1,-1,1),FALSE)</f>
        <v>8.8930000000000007</v>
      </c>
      <c r="BL80">
        <f>VLOOKUP($A80,'UN Treasury'!$A$1:$BQ$224,_xlfn.XMATCH(BL$1,'UN Treasury'!$A$1:$BQ$1,-1,1),FALSE)</f>
        <v>8.8369999999999997</v>
      </c>
      <c r="BM80">
        <f>VLOOKUP($A80,'UN Treasury'!$A$1:$BQ$224,_xlfn.XMATCH(BM$1,'UN Treasury'!$A$1:$BQ$1,-1,1),FALSE)</f>
        <v>8.9060000000000006</v>
      </c>
      <c r="BN80">
        <f>VLOOKUP($A80,'UN Treasury'!$A$1:$BQ$224,_xlfn.XMATCH(BN$1,'UN Treasury'!$A$1:$BQ$1,-1,1),FALSE)</f>
        <v>9.0640000000000001</v>
      </c>
      <c r="BO80">
        <f>VLOOKUP($A80,'UN Treasury'!$A$1:$BQ$224,_xlfn.XMATCH(BO$1,'UN Treasury'!$A$1:$BQ$1,-1,1),FALSE)</f>
        <v>8.875</v>
      </c>
      <c r="BP80">
        <f>VLOOKUP($A80,'UN Treasury'!$A$1:$BQ$224,_xlfn.XMATCH(BP$1,'UN Treasury'!$A$1:$BQ$1,-1,1),FALSE)</f>
        <v>8.9559999999999995</v>
      </c>
      <c r="BQ80">
        <f>VLOOKUP($A80,'UN Treasury'!$A$1:$BQ$224,_xlfn.XMATCH(BQ$1,'UN Treasury'!$A$1:$BQ$1,-1,1),FALSE)</f>
        <v>8.9160000000000004</v>
      </c>
    </row>
    <row r="81" spans="1:69" x14ac:dyDescent="0.25">
      <c r="A81" t="s">
        <v>187</v>
      </c>
      <c r="B81">
        <f>VLOOKUP($A81,'UN Treasury'!$A$1:$BQ$224,_xlfn.XMATCH(B$1,'UN Treasury'!$A$1:$BQ$1,-1,1),FALSE)</f>
        <v>17.225000000000001</v>
      </c>
      <c r="C81">
        <f>VLOOKUP($A81,'UN Treasury'!$A$1:$BQ$224,_xlfn.XMATCH(C$1,'UN Treasury'!$A$1:$BQ$1,-1,1),FALSE)</f>
        <v>17.46</v>
      </c>
      <c r="D81">
        <f>VLOOKUP($A81,'UN Treasury'!$A$1:$BQ$224,_xlfn.XMATCH(D$1,'UN Treasury'!$A$1:$BQ$1,-1,1),FALSE)</f>
        <v>17.3</v>
      </c>
      <c r="E81">
        <f>VLOOKUP($A81,'UN Treasury'!$A$1:$BQ$224,_xlfn.XMATCH(E$1,'UN Treasury'!$A$1:$BQ$1,-1,1),FALSE)</f>
        <v>17.03</v>
      </c>
      <c r="F81">
        <f>VLOOKUP($A81,'UN Treasury'!$A$1:$BQ$224,_xlfn.XMATCH(F$1,'UN Treasury'!$A$1:$BQ$1,-1,1),FALSE)</f>
        <v>17.100000000000001</v>
      </c>
      <c r="G81">
        <f>VLOOKUP($A81,'UN Treasury'!$A$1:$BQ$224,_xlfn.XMATCH(G$1,'UN Treasury'!$A$1:$BQ$1,-1,1),FALSE)</f>
        <v>17.21</v>
      </c>
      <c r="H81">
        <f>VLOOKUP($A81,'UN Treasury'!$A$1:$BQ$224,_xlfn.XMATCH(H$1,'UN Treasury'!$A$1:$BQ$1,-1,1),FALSE)</f>
        <v>16.73</v>
      </c>
      <c r="I81">
        <f>VLOOKUP($A81,'UN Treasury'!$A$1:$BQ$224,_xlfn.XMATCH(I$1,'UN Treasury'!$A$1:$BQ$1,-1,1),FALSE)</f>
        <v>16.872</v>
      </c>
      <c r="J81">
        <f>VLOOKUP($A81,'UN Treasury'!$A$1:$BQ$224,_xlfn.XMATCH(J$1,'UN Treasury'!$A$1:$BQ$1,-1,1),FALSE)</f>
        <v>16.866</v>
      </c>
      <c r="K81">
        <f>VLOOKUP($A81,'UN Treasury'!$A$1:$BQ$224,_xlfn.XMATCH(K$1,'UN Treasury'!$A$1:$BQ$1,-1,1),FALSE)</f>
        <v>16.829999999999998</v>
      </c>
      <c r="L81">
        <f>VLOOKUP($A81,'UN Treasury'!$A$1:$BQ$224,_xlfn.XMATCH(L$1,'UN Treasury'!$A$1:$BQ$1,-1,1),FALSE)</f>
        <v>16.760000000000002</v>
      </c>
      <c r="M81">
        <f>VLOOKUP($A81,'UN Treasury'!$A$1:$BQ$224,_xlfn.XMATCH(M$1,'UN Treasury'!$A$1:$BQ$1,-1,1),FALSE)</f>
        <v>16.475999999999999</v>
      </c>
      <c r="N81">
        <f>VLOOKUP($A81,'UN Treasury'!$A$1:$BQ$224,_xlfn.XMATCH(N$1,'UN Treasury'!$A$1:$BQ$1,-1,1),FALSE)</f>
        <v>16.648</v>
      </c>
      <c r="O81">
        <f>VLOOKUP($A81,'UN Treasury'!$A$1:$BQ$224,_xlfn.XMATCH(O$1,'UN Treasury'!$A$1:$BQ$1,-1,1),FALSE)</f>
        <v>16.846</v>
      </c>
      <c r="P81">
        <f>VLOOKUP($A81,'UN Treasury'!$A$1:$BQ$224,_xlfn.XMATCH(P$1,'UN Treasury'!$A$1:$BQ$1,-1,1),FALSE)</f>
        <v>17.14</v>
      </c>
      <c r="Q81">
        <f>VLOOKUP($A81,'UN Treasury'!$A$1:$BQ$224,_xlfn.XMATCH(Q$1,'UN Treasury'!$A$1:$BQ$1,-1,1),FALSE)</f>
        <v>17.309000000000001</v>
      </c>
      <c r="R81">
        <f>VLOOKUP($A81,'UN Treasury'!$A$1:$BQ$224,_xlfn.XMATCH(R$1,'UN Treasury'!$A$1:$BQ$1,-1,1),FALSE)</f>
        <v>17.617999999999999</v>
      </c>
      <c r="S81">
        <f>VLOOKUP($A81,'UN Treasury'!$A$1:$BQ$224,_xlfn.XMATCH(S$1,'UN Treasury'!$A$1:$BQ$1,-1,1),FALSE)</f>
        <v>17.78</v>
      </c>
      <c r="T81">
        <f>VLOOKUP($A81,'UN Treasury'!$A$1:$BQ$224,_xlfn.XMATCH(T$1,'UN Treasury'!$A$1:$BQ$1,-1,1),FALSE)</f>
        <v>18.681000000000001</v>
      </c>
      <c r="U81">
        <f>VLOOKUP($A81,'UN Treasury'!$A$1:$BQ$224,_xlfn.XMATCH(U$1,'UN Treasury'!$A$1:$BQ$1,-1,1),FALSE)</f>
        <v>18.61</v>
      </c>
      <c r="V81">
        <f>VLOOKUP($A81,'UN Treasury'!$A$1:$BQ$224,_xlfn.XMATCH(V$1,'UN Treasury'!$A$1:$BQ$1,-1,1),FALSE)</f>
        <v>18.201000000000001</v>
      </c>
      <c r="W81">
        <f>VLOOKUP($A81,'UN Treasury'!$A$1:$BQ$224,_xlfn.XMATCH(W$1,'UN Treasury'!$A$1:$BQ$1,-1,1),FALSE)</f>
        <v>17.896999999999998</v>
      </c>
      <c r="X81">
        <f>VLOOKUP($A81,'UN Treasury'!$A$1:$BQ$224,_xlfn.XMATCH(X$1,'UN Treasury'!$A$1:$BQ$1,-1,1),FALSE)</f>
        <v>17.53</v>
      </c>
      <c r="Y81">
        <f>VLOOKUP($A81,'UN Treasury'!$A$1:$BQ$224,_xlfn.XMATCH(Y$1,'UN Treasury'!$A$1:$BQ$1,-1,1),FALSE)</f>
        <v>17.329999999999998</v>
      </c>
      <c r="Z81">
        <f>VLOOKUP($A81,'UN Treasury'!$A$1:$BQ$224,_xlfn.XMATCH(Z$1,'UN Treasury'!$A$1:$BQ$1,-1,1),FALSE)</f>
        <v>17.483000000000001</v>
      </c>
      <c r="AA81">
        <f>VLOOKUP($A81,'UN Treasury'!$A$1:$BQ$224,_xlfn.XMATCH(AA$1,'UN Treasury'!$A$1:$BQ$1,-1,1),FALSE)</f>
        <v>17.661999999999999</v>
      </c>
      <c r="AB81">
        <f>VLOOKUP($A81,'UN Treasury'!$A$1:$BQ$224,_xlfn.XMATCH(AB$1,'UN Treasury'!$A$1:$BQ$1,-1,1),FALSE)</f>
        <v>17.594000000000001</v>
      </c>
      <c r="AC81">
        <f>VLOOKUP($A81,'UN Treasury'!$A$1:$BQ$224,_xlfn.XMATCH(AC$1,'UN Treasury'!$A$1:$BQ$1,-1,1),FALSE)</f>
        <v>17.643000000000001</v>
      </c>
      <c r="AD81">
        <f>VLOOKUP($A81,'UN Treasury'!$A$1:$BQ$224,_xlfn.XMATCH(AD$1,'UN Treasury'!$A$1:$BQ$1,-1,1),FALSE)</f>
        <v>17.562000000000001</v>
      </c>
      <c r="AE81">
        <f>VLOOKUP($A81,'UN Treasury'!$A$1:$BQ$224,_xlfn.XMATCH(AE$1,'UN Treasury'!$A$1:$BQ$1,-1,1),FALSE)</f>
        <v>17.530999999999999</v>
      </c>
      <c r="AF81">
        <f>VLOOKUP($A81,'UN Treasury'!$A$1:$BQ$224,_xlfn.XMATCH(AF$1,'UN Treasury'!$A$1:$BQ$1,-1,1),FALSE)</f>
        <v>17.68</v>
      </c>
      <c r="AG81">
        <f>VLOOKUP($A81,'UN Treasury'!$A$1:$BQ$224,_xlfn.XMATCH(AG$1,'UN Treasury'!$A$1:$BQ$1,-1,1),FALSE)</f>
        <v>17.614999999999998</v>
      </c>
      <c r="AH81">
        <f>VLOOKUP($A81,'UN Treasury'!$A$1:$BQ$224,_xlfn.XMATCH(AH$1,'UN Treasury'!$A$1:$BQ$1,-1,1),FALSE)</f>
        <v>17.736999999999998</v>
      </c>
      <c r="AI81">
        <f>VLOOKUP($A81,'UN Treasury'!$A$1:$BQ$224,_xlfn.XMATCH(AI$1,'UN Treasury'!$A$1:$BQ$1,-1,1),FALSE)</f>
        <v>17.86</v>
      </c>
      <c r="AJ81">
        <f>VLOOKUP($A81,'UN Treasury'!$A$1:$BQ$224,_xlfn.XMATCH(AJ$1,'UN Treasury'!$A$1:$BQ$1,-1,1),FALSE)</f>
        <v>18.085000000000001</v>
      </c>
      <c r="AK81">
        <f>VLOOKUP($A81,'UN Treasury'!$A$1:$BQ$224,_xlfn.XMATCH(AK$1,'UN Treasury'!$A$1:$BQ$1,-1,1),FALSE)</f>
        <v>17.896000000000001</v>
      </c>
      <c r="AL81">
        <f>VLOOKUP($A81,'UN Treasury'!$A$1:$BQ$224,_xlfn.XMATCH(AL$1,'UN Treasury'!$A$1:$BQ$1,-1,1),FALSE)</f>
        <v>17.555</v>
      </c>
      <c r="AM81">
        <f>VLOOKUP($A81,'UN Treasury'!$A$1:$BQ$224,_xlfn.XMATCH(AM$1,'UN Treasury'!$A$1:$BQ$1,-1,1),FALSE)</f>
        <v>18.117999999999999</v>
      </c>
      <c r="AN81">
        <f>VLOOKUP($A81,'UN Treasury'!$A$1:$BQ$224,_xlfn.XMATCH(AN$1,'UN Treasury'!$A$1:$BQ$1,-1,1),FALSE)</f>
        <v>17.712</v>
      </c>
      <c r="AO81">
        <f>VLOOKUP($A81,'UN Treasury'!$A$1:$BQ$224,_xlfn.XMATCH(AO$1,'UN Treasury'!$A$1:$BQ$1,-1,1),FALSE)</f>
        <v>17.748999999999999</v>
      </c>
      <c r="AP81">
        <f>VLOOKUP($A81,'UN Treasury'!$A$1:$BQ$224,_xlfn.XMATCH(AP$1,'UN Treasury'!$A$1:$BQ$1,-1,1),FALSE)</f>
        <v>18.042000000000002</v>
      </c>
      <c r="AQ81">
        <f>VLOOKUP($A81,'UN Treasury'!$A$1:$BQ$224,_xlfn.XMATCH(AQ$1,'UN Treasury'!$A$1:$BQ$1,-1,1),FALSE)</f>
        <v>18.649000000000001</v>
      </c>
      <c r="AR81">
        <f>VLOOKUP($A81,'UN Treasury'!$A$1:$BQ$224,_xlfn.XMATCH(AR$1,'UN Treasury'!$A$1:$BQ$1,-1,1),FALSE)</f>
        <v>18.681000000000001</v>
      </c>
      <c r="AS81">
        <f>VLOOKUP($A81,'UN Treasury'!$A$1:$BQ$224,_xlfn.XMATCH(AS$1,'UN Treasury'!$A$1:$BQ$1,-1,1),FALSE)</f>
        <v>19.074000000000002</v>
      </c>
      <c r="AT81">
        <f>VLOOKUP($A81,'UN Treasury'!$A$1:$BQ$224,_xlfn.XMATCH(AT$1,'UN Treasury'!$A$1:$BQ$1,-1,1),FALSE)</f>
        <v>19.260000000000002</v>
      </c>
      <c r="AU81">
        <f>VLOOKUP($A81,'UN Treasury'!$A$1:$BQ$224,_xlfn.XMATCH(AU$1,'UN Treasury'!$A$1:$BQ$1,-1,1),FALSE)</f>
        <v>19.135999999999999</v>
      </c>
      <c r="AV81">
        <f>VLOOKUP($A81,'UN Treasury'!$A$1:$BQ$224,_xlfn.XMATCH(AV$1,'UN Treasury'!$A$1:$BQ$1,-1,1),FALSE)</f>
        <v>19.355</v>
      </c>
      <c r="AW81">
        <f>VLOOKUP($A81,'UN Treasury'!$A$1:$BQ$224,_xlfn.XMATCH(AW$1,'UN Treasury'!$A$1:$BQ$1,-1,1),FALSE)</f>
        <v>19.210999999999999</v>
      </c>
      <c r="AX81">
        <f>VLOOKUP($A81,'UN Treasury'!$A$1:$BQ$224,_xlfn.XMATCH(AX$1,'UN Treasury'!$A$1:$BQ$1,-1,1),FALSE)</f>
        <v>19.169</v>
      </c>
      <c r="AY81">
        <f>VLOOKUP($A81,'UN Treasury'!$A$1:$BQ$224,_xlfn.XMATCH(AY$1,'UN Treasury'!$A$1:$BQ$1,-1,1),FALSE)</f>
        <v>19.210999999999999</v>
      </c>
      <c r="AZ81">
        <f>VLOOKUP($A81,'UN Treasury'!$A$1:$BQ$224,_xlfn.XMATCH(AZ$1,'UN Treasury'!$A$1:$BQ$1,-1,1),FALSE)</f>
        <v>18.954999999999998</v>
      </c>
      <c r="BA81">
        <f>VLOOKUP($A81,'UN Treasury'!$A$1:$BQ$224,_xlfn.XMATCH(BA$1,'UN Treasury'!$A$1:$BQ$1,-1,1),FALSE)</f>
        <v>18.809999999999999</v>
      </c>
      <c r="BB81">
        <f>VLOOKUP($A81,'UN Treasury'!$A$1:$BQ$224,_xlfn.XMATCH(BB$1,'UN Treasury'!$A$1:$BQ$1,-1,1),FALSE)</f>
        <v>18.37</v>
      </c>
      <c r="BC81">
        <f>VLOOKUP($A81,'UN Treasury'!$A$1:$BQ$224,_xlfn.XMATCH(BC$1,'UN Treasury'!$A$1:$BQ$1,-1,1),FALSE)</f>
        <v>18.36</v>
      </c>
      <c r="BD81">
        <f>VLOOKUP($A81,'UN Treasury'!$A$1:$BQ$224,_xlfn.XMATCH(BD$1,'UN Treasury'!$A$1:$BQ$1,-1,1),FALSE)</f>
        <v>17.760000000000002</v>
      </c>
      <c r="BE81">
        <f>VLOOKUP($A81,'UN Treasury'!$A$1:$BQ$224,_xlfn.XMATCH(BE$1,'UN Treasury'!$A$1:$BQ$1,-1,1),FALSE)</f>
        <v>17.940000000000001</v>
      </c>
      <c r="BF81">
        <f>VLOOKUP($A81,'UN Treasury'!$A$1:$BQ$224,_xlfn.XMATCH(BF$1,'UN Treasury'!$A$1:$BQ$1,-1,1),FALSE)</f>
        <v>17.655000000000001</v>
      </c>
      <c r="BG81">
        <f>VLOOKUP($A81,'UN Treasury'!$A$1:$BQ$224,_xlfn.XMATCH(BG$1,'UN Treasury'!$A$1:$BQ$1,-1,1),FALSE)</f>
        <v>17.445</v>
      </c>
      <c r="BH81">
        <f>VLOOKUP($A81,'UN Treasury'!$A$1:$BQ$224,_xlfn.XMATCH(BH$1,'UN Treasury'!$A$1:$BQ$1,-1,1),FALSE)</f>
        <v>17.59</v>
      </c>
      <c r="BI81">
        <f>VLOOKUP($A81,'UN Treasury'!$A$1:$BQ$224,_xlfn.XMATCH(BI$1,'UN Treasury'!$A$1:$BQ$1,-1,1),FALSE)</f>
        <v>17.71</v>
      </c>
      <c r="BJ81">
        <f>VLOOKUP($A81,'UN Treasury'!$A$1:$BQ$224,_xlfn.XMATCH(BJ$1,'UN Treasury'!$A$1:$BQ$1,-1,1),FALSE)</f>
        <v>17.79</v>
      </c>
      <c r="BK81">
        <f>VLOOKUP($A81,'UN Treasury'!$A$1:$BQ$224,_xlfn.XMATCH(BK$1,'UN Treasury'!$A$1:$BQ$1,-1,1),FALSE)</f>
        <v>17.899999999999999</v>
      </c>
      <c r="BL81">
        <f>VLOOKUP($A81,'UN Treasury'!$A$1:$BQ$224,_xlfn.XMATCH(BL$1,'UN Treasury'!$A$1:$BQ$1,-1,1),FALSE)</f>
        <v>17.535</v>
      </c>
      <c r="BM81">
        <f>VLOOKUP($A81,'UN Treasury'!$A$1:$BQ$224,_xlfn.XMATCH(BM$1,'UN Treasury'!$A$1:$BQ$1,-1,1),FALSE)</f>
        <v>17.66</v>
      </c>
      <c r="BN81">
        <f>VLOOKUP($A81,'UN Treasury'!$A$1:$BQ$224,_xlfn.XMATCH(BN$1,'UN Treasury'!$A$1:$BQ$1,-1,1),FALSE)</f>
        <v>17.934999999999999</v>
      </c>
      <c r="BO81">
        <f>VLOOKUP($A81,'UN Treasury'!$A$1:$BQ$224,_xlfn.XMATCH(BO$1,'UN Treasury'!$A$1:$BQ$1,-1,1),FALSE)</f>
        <v>17.353000000000002</v>
      </c>
      <c r="BP81">
        <f>VLOOKUP($A81,'UN Treasury'!$A$1:$BQ$224,_xlfn.XMATCH(BP$1,'UN Treasury'!$A$1:$BQ$1,-1,1),FALSE)</f>
        <v>17.2</v>
      </c>
      <c r="BQ81">
        <f>VLOOKUP($A81,'UN Treasury'!$A$1:$BQ$224,_xlfn.XMATCH(BQ$1,'UN Treasury'!$A$1:$BQ$1,-1,1),FALSE)</f>
        <v>17.14</v>
      </c>
    </row>
    <row r="82" spans="1:69" x14ac:dyDescent="0.25">
      <c r="A82" t="s">
        <v>189</v>
      </c>
      <c r="B82">
        <f>VLOOKUP($A82,'UN Treasury'!$A$1:$BQ$224,_xlfn.XMATCH(B$1,'UN Treasury'!$A$1:$BQ$1,-1,1),FALSE)</f>
        <v>4279</v>
      </c>
      <c r="C82">
        <f>VLOOKUP($A82,'UN Treasury'!$A$1:$BQ$224,_xlfn.XMATCH(C$1,'UN Treasury'!$A$1:$BQ$1,-1,1),FALSE)</f>
        <v>4250.3500000000004</v>
      </c>
      <c r="D82">
        <f>VLOOKUP($A82,'UN Treasury'!$A$1:$BQ$224,_xlfn.XMATCH(D$1,'UN Treasury'!$A$1:$BQ$1,-1,1),FALSE)</f>
        <v>4174</v>
      </c>
      <c r="E82">
        <f>VLOOKUP($A82,'UN Treasury'!$A$1:$BQ$224,_xlfn.XMATCH(E$1,'UN Treasury'!$A$1:$BQ$1,-1,1),FALSE)</f>
        <v>4139.92</v>
      </c>
      <c r="F82">
        <f>VLOOKUP($A82,'UN Treasury'!$A$1:$BQ$224,_xlfn.XMATCH(F$1,'UN Treasury'!$A$1:$BQ$1,-1,1),FALSE)</f>
        <v>4133.96</v>
      </c>
      <c r="G82">
        <f>VLOOKUP($A82,'UN Treasury'!$A$1:$BQ$224,_xlfn.XMATCH(G$1,'UN Treasury'!$A$1:$BQ$1,-1,1),FALSE)</f>
        <v>4366.2</v>
      </c>
      <c r="H82">
        <f>VLOOKUP($A82,'UN Treasury'!$A$1:$BQ$224,_xlfn.XMATCH(H$1,'UN Treasury'!$A$1:$BQ$1,-1,1),FALSE)</f>
        <v>4434.8100000000004</v>
      </c>
      <c r="I82">
        <f>VLOOKUP($A82,'UN Treasury'!$A$1:$BQ$224,_xlfn.XMATCH(I$1,'UN Treasury'!$A$1:$BQ$1,-1,1),FALSE)</f>
        <v>4535.25</v>
      </c>
      <c r="J82">
        <f>VLOOKUP($A82,'UN Treasury'!$A$1:$BQ$224,_xlfn.XMATCH(J$1,'UN Treasury'!$A$1:$BQ$1,-1,1),FALSE)</f>
        <v>4424.03</v>
      </c>
      <c r="K82">
        <f>VLOOKUP($A82,'UN Treasury'!$A$1:$BQ$224,_xlfn.XMATCH(K$1,'UN Treasury'!$A$1:$BQ$1,-1,1),FALSE)</f>
        <v>4477.6400000000003</v>
      </c>
      <c r="L82">
        <f>VLOOKUP($A82,'UN Treasury'!$A$1:$BQ$224,_xlfn.XMATCH(L$1,'UN Treasury'!$A$1:$BQ$1,-1,1),FALSE)</f>
        <v>4464.6400000000003</v>
      </c>
      <c r="M82">
        <f>VLOOKUP($A82,'UN Treasury'!$A$1:$BQ$224,_xlfn.XMATCH(M$1,'UN Treasury'!$A$1:$BQ$1,-1,1),FALSE)</f>
        <v>4464.88</v>
      </c>
      <c r="N82">
        <f>VLOOKUP($A82,'UN Treasury'!$A$1:$BQ$224,_xlfn.XMATCH(N$1,'UN Treasury'!$A$1:$BQ$1,-1,1),FALSE)</f>
        <v>4438.7</v>
      </c>
      <c r="O82">
        <f>VLOOKUP($A82,'UN Treasury'!$A$1:$BQ$224,_xlfn.XMATCH(O$1,'UN Treasury'!$A$1:$BQ$1,-1,1),FALSE)</f>
        <v>4411.0600000000004</v>
      </c>
      <c r="P82">
        <f>VLOOKUP($A82,'UN Treasury'!$A$1:$BQ$224,_xlfn.XMATCH(P$1,'UN Treasury'!$A$1:$BQ$1,-1,1),FALSE)</f>
        <v>4496.38</v>
      </c>
      <c r="Q82">
        <f>VLOOKUP($A82,'UN Treasury'!$A$1:$BQ$224,_xlfn.XMATCH(Q$1,'UN Treasury'!$A$1:$BQ$1,-1,1),FALSE)</f>
        <v>4443.2700000000004</v>
      </c>
      <c r="R82">
        <f>VLOOKUP($A82,'UN Treasury'!$A$1:$BQ$224,_xlfn.XMATCH(R$1,'UN Treasury'!$A$1:$BQ$1,-1,1),FALSE)</f>
        <v>4622.26</v>
      </c>
      <c r="S82">
        <f>VLOOKUP($A82,'UN Treasury'!$A$1:$BQ$224,_xlfn.XMATCH(S$1,'UN Treasury'!$A$1:$BQ$1,-1,1),FALSE)</f>
        <v>4676.6099999999997</v>
      </c>
      <c r="T82">
        <f>VLOOKUP($A82,'UN Treasury'!$A$1:$BQ$224,_xlfn.XMATCH(T$1,'UN Treasury'!$A$1:$BQ$1,-1,1),FALSE)</f>
        <v>4694.41</v>
      </c>
      <c r="U82">
        <f>VLOOKUP($A82,'UN Treasury'!$A$1:$BQ$224,_xlfn.XMATCH(U$1,'UN Treasury'!$A$1:$BQ$1,-1,1),FALSE)</f>
        <v>4691.6000000000004</v>
      </c>
      <c r="V82">
        <f>VLOOKUP($A82,'UN Treasury'!$A$1:$BQ$224,_xlfn.XMATCH(V$1,'UN Treasury'!$A$1:$BQ$1,-1,1),FALSE)</f>
        <v>4676.33</v>
      </c>
      <c r="W82">
        <f>VLOOKUP($A82,'UN Treasury'!$A$1:$BQ$224,_xlfn.XMATCH(W$1,'UN Treasury'!$A$1:$BQ$1,-1,1),FALSE)</f>
        <v>4624.66</v>
      </c>
      <c r="X82">
        <f>VLOOKUP($A82,'UN Treasury'!$A$1:$BQ$224,_xlfn.XMATCH(X$1,'UN Treasury'!$A$1:$BQ$1,-1,1),FALSE)</f>
        <v>4559.1400000000003</v>
      </c>
      <c r="Y82">
        <f>VLOOKUP($A82,'UN Treasury'!$A$1:$BQ$224,_xlfn.XMATCH(Y$1,'UN Treasury'!$A$1:$BQ$1,-1,1),FALSE)</f>
        <v>4524.82</v>
      </c>
      <c r="Z82">
        <f>VLOOKUP($A82,'UN Treasury'!$A$1:$BQ$224,_xlfn.XMATCH(Z$1,'UN Treasury'!$A$1:$BQ$1,-1,1),FALSE)</f>
        <v>4560.75</v>
      </c>
      <c r="AA82">
        <f>VLOOKUP($A82,'UN Treasury'!$A$1:$BQ$224,_xlfn.XMATCH(AA$1,'UN Treasury'!$A$1:$BQ$1,-1,1),FALSE)</f>
        <v>4469.92</v>
      </c>
      <c r="AB82">
        <f>VLOOKUP($A82,'UN Treasury'!$A$1:$BQ$224,_xlfn.XMATCH(AB$1,'UN Treasury'!$A$1:$BQ$1,-1,1),FALSE)</f>
        <v>4464.93</v>
      </c>
      <c r="AC82">
        <f>VLOOKUP($A82,'UN Treasury'!$A$1:$BQ$224,_xlfn.XMATCH(AC$1,'UN Treasury'!$A$1:$BQ$1,-1,1),FALSE)</f>
        <v>4420.49</v>
      </c>
      <c r="AD82">
        <f>VLOOKUP($A82,'UN Treasury'!$A$1:$BQ$224,_xlfn.XMATCH(AD$1,'UN Treasury'!$A$1:$BQ$1,-1,1),FALSE)</f>
        <v>4341.21</v>
      </c>
      <c r="AE82">
        <f>VLOOKUP($A82,'UN Treasury'!$A$1:$BQ$224,_xlfn.XMATCH(AE$1,'UN Treasury'!$A$1:$BQ$1,-1,1),FALSE)</f>
        <v>4502.8900000000003</v>
      </c>
      <c r="AF82">
        <f>VLOOKUP($A82,'UN Treasury'!$A$1:$BQ$224,_xlfn.XMATCH(AF$1,'UN Treasury'!$A$1:$BQ$1,-1,1),FALSE)</f>
        <v>4536.1899999999996</v>
      </c>
      <c r="AG82">
        <f>VLOOKUP($A82,'UN Treasury'!$A$1:$BQ$224,_xlfn.XMATCH(AG$1,'UN Treasury'!$A$1:$BQ$1,-1,1),FALSE)</f>
        <v>4594.2700000000004</v>
      </c>
      <c r="AH82">
        <f>VLOOKUP($A82,'UN Treasury'!$A$1:$BQ$224,_xlfn.XMATCH(AH$1,'UN Treasury'!$A$1:$BQ$1,-1,1),FALSE)</f>
        <v>4564.5600000000004</v>
      </c>
      <c r="AI82">
        <f>VLOOKUP($A82,'UN Treasury'!$A$1:$BQ$224,_xlfn.XMATCH(AI$1,'UN Treasury'!$A$1:$BQ$1,-1,1),FALSE)</f>
        <v>4488.4399999999996</v>
      </c>
      <c r="AJ82">
        <f>VLOOKUP($A82,'UN Treasury'!$A$1:$BQ$224,_xlfn.XMATCH(AJ$1,'UN Treasury'!$A$1:$BQ$1,-1,1),FALSE)</f>
        <v>4519.68</v>
      </c>
      <c r="AK82">
        <f>VLOOKUP($A82,'UN Treasury'!$A$1:$BQ$224,_xlfn.XMATCH(AK$1,'UN Treasury'!$A$1:$BQ$1,-1,1),FALSE)</f>
        <v>4466.8999999999996</v>
      </c>
      <c r="AL82">
        <f>VLOOKUP($A82,'UN Treasury'!$A$1:$BQ$224,_xlfn.XMATCH(AL$1,'UN Treasury'!$A$1:$BQ$1,-1,1),FALSE)</f>
        <v>4448.4799999999996</v>
      </c>
      <c r="AM82">
        <f>VLOOKUP($A82,'UN Treasury'!$A$1:$BQ$224,_xlfn.XMATCH(AM$1,'UN Treasury'!$A$1:$BQ$1,-1,1),FALSE)</f>
        <v>4517.58</v>
      </c>
      <c r="AN82">
        <f>VLOOKUP($A82,'UN Treasury'!$A$1:$BQ$224,_xlfn.XMATCH(AN$1,'UN Treasury'!$A$1:$BQ$1,-1,1),FALSE)</f>
        <v>4405.09</v>
      </c>
      <c r="AO82">
        <f>VLOOKUP($A82,'UN Treasury'!$A$1:$BQ$224,_xlfn.XMATCH(AO$1,'UN Treasury'!$A$1:$BQ$1,-1,1),FALSE)</f>
        <v>4396.42</v>
      </c>
      <c r="AP82">
        <f>VLOOKUP($A82,'UN Treasury'!$A$1:$BQ$224,_xlfn.XMATCH(AP$1,'UN Treasury'!$A$1:$BQ$1,-1,1),FALSE)</f>
        <v>4355.09</v>
      </c>
      <c r="AQ82">
        <f>VLOOKUP($A82,'UN Treasury'!$A$1:$BQ$224,_xlfn.XMATCH(AQ$1,'UN Treasury'!$A$1:$BQ$1,-1,1),FALSE)</f>
        <v>4293.13</v>
      </c>
      <c r="AR82">
        <f>VLOOKUP($A82,'UN Treasury'!$A$1:$BQ$224,_xlfn.XMATCH(AR$1,'UN Treasury'!$A$1:$BQ$1,-1,1),FALSE)</f>
        <v>4296.37</v>
      </c>
      <c r="AS82">
        <f>VLOOKUP($A82,'UN Treasury'!$A$1:$BQ$224,_xlfn.XMATCH(AS$1,'UN Treasury'!$A$1:$BQ$1,-1,1),FALSE)</f>
        <v>4493.7700000000004</v>
      </c>
      <c r="AT82">
        <f>VLOOKUP($A82,'UN Treasury'!$A$1:$BQ$224,_xlfn.XMATCH(AT$1,'UN Treasury'!$A$1:$BQ$1,-1,1),FALSE)</f>
        <v>4383.5200000000004</v>
      </c>
      <c r="AU82">
        <f>VLOOKUP($A82,'UN Treasury'!$A$1:$BQ$224,_xlfn.XMATCH(AU$1,'UN Treasury'!$A$1:$BQ$1,-1,1),FALSE)</f>
        <v>4271.55</v>
      </c>
      <c r="AV82">
        <f>VLOOKUP($A82,'UN Treasury'!$A$1:$BQ$224,_xlfn.XMATCH(AV$1,'UN Treasury'!$A$1:$BQ$1,-1,1),FALSE)</f>
        <v>4198.6000000000004</v>
      </c>
      <c r="AW82">
        <f>VLOOKUP($A82,'UN Treasury'!$A$1:$BQ$224,_xlfn.XMATCH(AW$1,'UN Treasury'!$A$1:$BQ$1,-1,1),FALSE)</f>
        <v>4110.88</v>
      </c>
      <c r="AX82">
        <f>VLOOKUP($A82,'UN Treasury'!$A$1:$BQ$224,_xlfn.XMATCH(AX$1,'UN Treasury'!$A$1:$BQ$1,-1,1),FALSE)</f>
        <v>4101.32</v>
      </c>
      <c r="AY82">
        <f>VLOOKUP($A82,'UN Treasury'!$A$1:$BQ$224,_xlfn.XMATCH(AY$1,'UN Treasury'!$A$1:$BQ$1,-1,1),FALSE)</f>
        <v>4090.9</v>
      </c>
      <c r="AZ82">
        <f>VLOOKUP($A82,'UN Treasury'!$A$1:$BQ$224,_xlfn.XMATCH(AZ$1,'UN Treasury'!$A$1:$BQ$1,-1,1),FALSE)</f>
        <v>4018.77</v>
      </c>
      <c r="BA82">
        <f>VLOOKUP($A82,'UN Treasury'!$A$1:$BQ$224,_xlfn.XMATCH(BA$1,'UN Treasury'!$A$1:$BQ$1,-1,1),FALSE)</f>
        <v>4033.42</v>
      </c>
      <c r="BB82">
        <f>VLOOKUP($A82,'UN Treasury'!$A$1:$BQ$224,_xlfn.XMATCH(BB$1,'UN Treasury'!$A$1:$BQ$1,-1,1),FALSE)</f>
        <v>4032.11</v>
      </c>
      <c r="BC82">
        <f>VLOOKUP($A82,'UN Treasury'!$A$1:$BQ$224,_xlfn.XMATCH(BC$1,'UN Treasury'!$A$1:$BQ$1,-1,1),FALSE)</f>
        <v>3974.5</v>
      </c>
      <c r="BD82">
        <f>VLOOKUP($A82,'UN Treasury'!$A$1:$BQ$224,_xlfn.XMATCH(BD$1,'UN Treasury'!$A$1:$BQ$1,-1,1),FALSE)</f>
        <v>3975.99</v>
      </c>
      <c r="BE82">
        <f>VLOOKUP($A82,'UN Treasury'!$A$1:$BQ$224,_xlfn.XMATCH(BE$1,'UN Treasury'!$A$1:$BQ$1,-1,1),FALSE)</f>
        <v>3952.29</v>
      </c>
      <c r="BF82">
        <f>VLOOKUP($A82,'UN Treasury'!$A$1:$BQ$224,_xlfn.XMATCH(BF$1,'UN Treasury'!$A$1:$BQ$1,-1,1),FALSE)</f>
        <v>3961.75</v>
      </c>
      <c r="BG82">
        <f>VLOOKUP($A82,'UN Treasury'!$A$1:$BQ$224,_xlfn.XMATCH(BG$1,'UN Treasury'!$A$1:$BQ$1,-1,1),FALSE)</f>
        <v>3936.67</v>
      </c>
      <c r="BH82">
        <f>VLOOKUP($A82,'UN Treasury'!$A$1:$BQ$224,_xlfn.XMATCH(BH$1,'UN Treasury'!$A$1:$BQ$1,-1,1),FALSE)</f>
        <v>3931.8</v>
      </c>
      <c r="BI82">
        <f>VLOOKUP($A82,'UN Treasury'!$A$1:$BQ$224,_xlfn.XMATCH(BI$1,'UN Treasury'!$A$1:$BQ$1,-1,1),FALSE)</f>
        <v>3842.05</v>
      </c>
      <c r="BJ82">
        <f>VLOOKUP($A82,'UN Treasury'!$A$1:$BQ$224,_xlfn.XMATCH(BJ$1,'UN Treasury'!$A$1:$BQ$1,-1,1),FALSE)</f>
        <v>3802.24</v>
      </c>
      <c r="BK82">
        <f>VLOOKUP($A82,'UN Treasury'!$A$1:$BQ$224,_xlfn.XMATCH(BK$1,'UN Treasury'!$A$1:$BQ$1,-1,1),FALSE)</f>
        <v>3769.63</v>
      </c>
      <c r="BL82">
        <f>VLOOKUP($A82,'UN Treasury'!$A$1:$BQ$224,_xlfn.XMATCH(BL$1,'UN Treasury'!$A$1:$BQ$1,-1,1),FALSE)</f>
        <v>3744.49</v>
      </c>
      <c r="BM82">
        <f>VLOOKUP($A82,'UN Treasury'!$A$1:$BQ$224,_xlfn.XMATCH(BM$1,'UN Treasury'!$A$1:$BQ$1,-1,1),FALSE)</f>
        <v>3767.05</v>
      </c>
      <c r="BN82">
        <f>VLOOKUP($A82,'UN Treasury'!$A$1:$BQ$224,_xlfn.XMATCH(BN$1,'UN Treasury'!$A$1:$BQ$1,-1,1),FALSE)</f>
        <v>3788.41</v>
      </c>
      <c r="BO82">
        <f>VLOOKUP($A82,'UN Treasury'!$A$1:$BQ$224,_xlfn.XMATCH(BO$1,'UN Treasury'!$A$1:$BQ$1,-1,1),FALSE)</f>
        <v>3741.83</v>
      </c>
      <c r="BP82">
        <f>VLOOKUP($A82,'UN Treasury'!$A$1:$BQ$224,_xlfn.XMATCH(BP$1,'UN Treasury'!$A$1:$BQ$1,-1,1),FALSE)</f>
        <v>3752.02</v>
      </c>
      <c r="BQ82">
        <f>VLOOKUP($A82,'UN Treasury'!$A$1:$BQ$224,_xlfn.XMATCH(BQ$1,'UN Treasury'!$A$1:$BQ$1,-1,1),FALSE)</f>
        <v>3789.97</v>
      </c>
    </row>
    <row r="83" spans="1:69" x14ac:dyDescent="0.25">
      <c r="A83" t="s">
        <v>191</v>
      </c>
      <c r="B83">
        <f>VLOOKUP($A83,'UN Treasury'!$A$1:$BQ$224,_xlfn.XMATCH(B$1,'UN Treasury'!$A$1:$BQ$1,-1,1),FALSE)</f>
        <v>53.098999999999997</v>
      </c>
      <c r="C83">
        <f>VLOOKUP($A83,'UN Treasury'!$A$1:$BQ$224,_xlfn.XMATCH(C$1,'UN Treasury'!$A$1:$BQ$1,-1,1),FALSE)</f>
        <v>53.765999999999998</v>
      </c>
      <c r="D83">
        <f>VLOOKUP($A83,'UN Treasury'!$A$1:$BQ$224,_xlfn.XMATCH(D$1,'UN Treasury'!$A$1:$BQ$1,-1,1),FALSE)</f>
        <v>53.326000000000001</v>
      </c>
      <c r="E83">
        <f>VLOOKUP($A83,'UN Treasury'!$A$1:$BQ$224,_xlfn.XMATCH(E$1,'UN Treasury'!$A$1:$BQ$1,-1,1),FALSE)</f>
        <v>52.459000000000003</v>
      </c>
      <c r="F83">
        <f>VLOOKUP($A83,'UN Treasury'!$A$1:$BQ$224,_xlfn.XMATCH(F$1,'UN Treasury'!$A$1:$BQ$1,-1,1),FALSE)</f>
        <v>52.628999999999998</v>
      </c>
      <c r="G83">
        <f>VLOOKUP($A83,'UN Treasury'!$A$1:$BQ$224,_xlfn.XMATCH(G$1,'UN Treasury'!$A$1:$BQ$1,-1,1),FALSE)</f>
        <v>53.28</v>
      </c>
      <c r="H83">
        <f>VLOOKUP($A83,'UN Treasury'!$A$1:$BQ$224,_xlfn.XMATCH(H$1,'UN Treasury'!$A$1:$BQ$1,-1,1),FALSE)</f>
        <v>51.72</v>
      </c>
      <c r="I83">
        <f>VLOOKUP($A83,'UN Treasury'!$A$1:$BQ$224,_xlfn.XMATCH(I$1,'UN Treasury'!$A$1:$BQ$1,-1,1),FALSE)</f>
        <v>52.74</v>
      </c>
      <c r="J83">
        <f>VLOOKUP($A83,'UN Treasury'!$A$1:$BQ$224,_xlfn.XMATCH(J$1,'UN Treasury'!$A$1:$BQ$1,-1,1),FALSE)</f>
        <v>52.35</v>
      </c>
      <c r="K83">
        <f>VLOOKUP($A83,'UN Treasury'!$A$1:$BQ$224,_xlfn.XMATCH(K$1,'UN Treasury'!$A$1:$BQ$1,-1,1),FALSE)</f>
        <v>53.134999999999998</v>
      </c>
      <c r="L83">
        <f>VLOOKUP($A83,'UN Treasury'!$A$1:$BQ$224,_xlfn.XMATCH(L$1,'UN Treasury'!$A$1:$BQ$1,-1,1),FALSE)</f>
        <v>53.15</v>
      </c>
      <c r="M83">
        <f>VLOOKUP($A83,'UN Treasury'!$A$1:$BQ$224,_xlfn.XMATCH(M$1,'UN Treasury'!$A$1:$BQ$1,-1,1),FALSE)</f>
        <v>52.198999999999998</v>
      </c>
      <c r="N83">
        <f>VLOOKUP($A83,'UN Treasury'!$A$1:$BQ$224,_xlfn.XMATCH(N$1,'UN Treasury'!$A$1:$BQ$1,-1,1),FALSE)</f>
        <v>52.277999999999999</v>
      </c>
      <c r="O83">
        <f>VLOOKUP($A83,'UN Treasury'!$A$1:$BQ$224,_xlfn.XMATCH(O$1,'UN Treasury'!$A$1:$BQ$1,-1,1),FALSE)</f>
        <v>52.59</v>
      </c>
      <c r="P83">
        <f>VLOOKUP($A83,'UN Treasury'!$A$1:$BQ$224,_xlfn.XMATCH(P$1,'UN Treasury'!$A$1:$BQ$1,-1,1),FALSE)</f>
        <v>53.478000000000002</v>
      </c>
      <c r="Q83">
        <f>VLOOKUP($A83,'UN Treasury'!$A$1:$BQ$224,_xlfn.XMATCH(Q$1,'UN Treasury'!$A$1:$BQ$1,-1,1),FALSE)</f>
        <v>55.15</v>
      </c>
      <c r="R83">
        <f>VLOOKUP($A83,'UN Treasury'!$A$1:$BQ$224,_xlfn.XMATCH(R$1,'UN Treasury'!$A$1:$BQ$1,-1,1),FALSE)</f>
        <v>54.084000000000003</v>
      </c>
      <c r="S83">
        <f>VLOOKUP($A83,'UN Treasury'!$A$1:$BQ$224,_xlfn.XMATCH(S$1,'UN Treasury'!$A$1:$BQ$1,-1,1),FALSE)</f>
        <v>56.46</v>
      </c>
      <c r="T83">
        <f>VLOOKUP($A83,'UN Treasury'!$A$1:$BQ$224,_xlfn.XMATCH(T$1,'UN Treasury'!$A$1:$BQ$1,-1,1),FALSE)</f>
        <v>59.118000000000002</v>
      </c>
      <c r="U83">
        <f>VLOOKUP($A83,'UN Treasury'!$A$1:$BQ$224,_xlfn.XMATCH(U$1,'UN Treasury'!$A$1:$BQ$1,-1,1),FALSE)</f>
        <v>60.085999999999999</v>
      </c>
      <c r="V83">
        <f>VLOOKUP($A83,'UN Treasury'!$A$1:$BQ$224,_xlfn.XMATCH(V$1,'UN Treasury'!$A$1:$BQ$1,-1,1),FALSE)</f>
        <v>58.387</v>
      </c>
      <c r="W83">
        <f>VLOOKUP($A83,'UN Treasury'!$A$1:$BQ$224,_xlfn.XMATCH(W$1,'UN Treasury'!$A$1:$BQ$1,-1,1),FALSE)</f>
        <v>57.790999999999997</v>
      </c>
      <c r="X83">
        <f>VLOOKUP($A83,'UN Treasury'!$A$1:$BQ$224,_xlfn.XMATCH(X$1,'UN Treasury'!$A$1:$BQ$1,-1,1),FALSE)</f>
        <v>56.11</v>
      </c>
      <c r="Y83">
        <f>VLOOKUP($A83,'UN Treasury'!$A$1:$BQ$224,_xlfn.XMATCH(Y$1,'UN Treasury'!$A$1:$BQ$1,-1,1),FALSE)</f>
        <v>55.661000000000001</v>
      </c>
      <c r="Z83">
        <f>VLOOKUP($A83,'UN Treasury'!$A$1:$BQ$224,_xlfn.XMATCH(Z$1,'UN Treasury'!$A$1:$BQ$1,-1,1),FALSE)</f>
        <v>56.36</v>
      </c>
      <c r="AA83">
        <f>VLOOKUP($A83,'UN Treasury'!$A$1:$BQ$224,_xlfn.XMATCH(AA$1,'UN Treasury'!$A$1:$BQ$1,-1,1),FALSE)</f>
        <v>56.392000000000003</v>
      </c>
      <c r="AB83">
        <f>VLOOKUP($A83,'UN Treasury'!$A$1:$BQ$224,_xlfn.XMATCH(AB$1,'UN Treasury'!$A$1:$BQ$1,-1,1),FALSE)</f>
        <v>56.74</v>
      </c>
      <c r="AC83">
        <f>VLOOKUP($A83,'UN Treasury'!$A$1:$BQ$224,_xlfn.XMATCH(AC$1,'UN Treasury'!$A$1:$BQ$1,-1,1),FALSE)</f>
        <v>56.972999999999999</v>
      </c>
      <c r="AD83">
        <f>VLOOKUP($A83,'UN Treasury'!$A$1:$BQ$224,_xlfn.XMATCH(AD$1,'UN Treasury'!$A$1:$BQ$1,-1,1),FALSE)</f>
        <v>57.07</v>
      </c>
      <c r="AE83">
        <f>VLOOKUP($A83,'UN Treasury'!$A$1:$BQ$224,_xlfn.XMATCH(AE$1,'UN Treasury'!$A$1:$BQ$1,-1,1),FALSE)</f>
        <v>56.094999999999999</v>
      </c>
      <c r="AF83">
        <f>VLOOKUP($A83,'UN Treasury'!$A$1:$BQ$224,_xlfn.XMATCH(AF$1,'UN Treasury'!$A$1:$BQ$1,-1,1),FALSE)</f>
        <v>57.223999999999997</v>
      </c>
      <c r="AG83">
        <f>VLOOKUP($A83,'UN Treasury'!$A$1:$BQ$224,_xlfn.XMATCH(AG$1,'UN Treasury'!$A$1:$BQ$1,-1,1),FALSE)</f>
        <v>55.917999999999999</v>
      </c>
      <c r="AH83">
        <f>VLOOKUP($A83,'UN Treasury'!$A$1:$BQ$224,_xlfn.XMATCH(AH$1,'UN Treasury'!$A$1:$BQ$1,-1,1),FALSE)</f>
        <v>56.859000000000002</v>
      </c>
      <c r="AI83">
        <f>VLOOKUP($A83,'UN Treasury'!$A$1:$BQ$224,_xlfn.XMATCH(AI$1,'UN Treasury'!$A$1:$BQ$1,-1,1),FALSE)</f>
        <v>57.478999999999999</v>
      </c>
      <c r="AJ83">
        <f>VLOOKUP($A83,'UN Treasury'!$A$1:$BQ$224,_xlfn.XMATCH(AJ$1,'UN Treasury'!$A$1:$BQ$1,-1,1),FALSE)</f>
        <v>57.591000000000001</v>
      </c>
      <c r="AK83">
        <f>VLOOKUP($A83,'UN Treasury'!$A$1:$BQ$224,_xlfn.XMATCH(AK$1,'UN Treasury'!$A$1:$BQ$1,-1,1),FALSE)</f>
        <v>57.2</v>
      </c>
      <c r="AL83">
        <f>VLOOKUP($A83,'UN Treasury'!$A$1:$BQ$224,_xlfn.XMATCH(AL$1,'UN Treasury'!$A$1:$BQ$1,-1,1),FALSE)</f>
        <v>55.732999999999997</v>
      </c>
      <c r="AM83">
        <f>VLOOKUP($A83,'UN Treasury'!$A$1:$BQ$224,_xlfn.XMATCH(AM$1,'UN Treasury'!$A$1:$BQ$1,-1,1),FALSE)</f>
        <v>55.43</v>
      </c>
      <c r="AN83">
        <f>VLOOKUP($A83,'UN Treasury'!$A$1:$BQ$224,_xlfn.XMATCH(AN$1,'UN Treasury'!$A$1:$BQ$1,-1,1),FALSE)</f>
        <v>56.884999999999998</v>
      </c>
      <c r="AO83">
        <f>VLOOKUP($A83,'UN Treasury'!$A$1:$BQ$224,_xlfn.XMATCH(AO$1,'UN Treasury'!$A$1:$BQ$1,-1,1),FALSE)</f>
        <v>56.177999999999997</v>
      </c>
      <c r="AP83">
        <f>VLOOKUP($A83,'UN Treasury'!$A$1:$BQ$224,_xlfn.XMATCH(AP$1,'UN Treasury'!$A$1:$BQ$1,-1,1),FALSE)</f>
        <v>55.981000000000002</v>
      </c>
      <c r="AQ83">
        <f>VLOOKUP($A83,'UN Treasury'!$A$1:$BQ$224,_xlfn.XMATCH(AQ$1,'UN Treasury'!$A$1:$BQ$1,-1,1),FALSE)</f>
        <v>57.368000000000002</v>
      </c>
      <c r="AR83">
        <f>VLOOKUP($A83,'UN Treasury'!$A$1:$BQ$224,_xlfn.XMATCH(AR$1,'UN Treasury'!$A$1:$BQ$1,-1,1),FALSE)</f>
        <v>57.228000000000002</v>
      </c>
      <c r="AS83">
        <f>VLOOKUP($A83,'UN Treasury'!$A$1:$BQ$224,_xlfn.XMATCH(AS$1,'UN Treasury'!$A$1:$BQ$1,-1,1),FALSE)</f>
        <v>56.951999999999998</v>
      </c>
      <c r="AT83">
        <f>VLOOKUP($A83,'UN Treasury'!$A$1:$BQ$224,_xlfn.XMATCH(AT$1,'UN Treasury'!$A$1:$BQ$1,-1,1),FALSE)</f>
        <v>57.655000000000001</v>
      </c>
      <c r="AU83">
        <f>VLOOKUP($A83,'UN Treasury'!$A$1:$BQ$224,_xlfn.XMATCH(AU$1,'UN Treasury'!$A$1:$BQ$1,-1,1),FALSE)</f>
        <v>59.478000000000002</v>
      </c>
      <c r="AV83">
        <f>VLOOKUP($A83,'UN Treasury'!$A$1:$BQ$224,_xlfn.XMATCH(AV$1,'UN Treasury'!$A$1:$BQ$1,-1,1),FALSE)</f>
        <v>63.234999999999999</v>
      </c>
      <c r="AW83">
        <f>VLOOKUP($A83,'UN Treasury'!$A$1:$BQ$224,_xlfn.XMATCH(AW$1,'UN Treasury'!$A$1:$BQ$1,-1,1),FALSE)</f>
        <v>61.112000000000002</v>
      </c>
      <c r="AX83">
        <f>VLOOKUP($A83,'UN Treasury'!$A$1:$BQ$224,_xlfn.XMATCH(AX$1,'UN Treasury'!$A$1:$BQ$1,-1,1),FALSE)</f>
        <v>59.213000000000001</v>
      </c>
      <c r="AY83">
        <f>VLOOKUP($A83,'UN Treasury'!$A$1:$BQ$224,_xlfn.XMATCH(AY$1,'UN Treasury'!$A$1:$BQ$1,-1,1),FALSE)</f>
        <v>61.192</v>
      </c>
      <c r="AZ83">
        <f>VLOOKUP($A83,'UN Treasury'!$A$1:$BQ$224,_xlfn.XMATCH(AZ$1,'UN Treasury'!$A$1:$BQ$1,-1,1),FALSE)</f>
        <v>58.642000000000003</v>
      </c>
      <c r="BA83">
        <f>VLOOKUP($A83,'UN Treasury'!$A$1:$BQ$224,_xlfn.XMATCH(BA$1,'UN Treasury'!$A$1:$BQ$1,-1,1),FALSE)</f>
        <v>58.176000000000002</v>
      </c>
      <c r="BB83">
        <f>VLOOKUP($A83,'UN Treasury'!$A$1:$BQ$224,_xlfn.XMATCH(BB$1,'UN Treasury'!$A$1:$BQ$1,-1,1),FALSE)</f>
        <v>56.54</v>
      </c>
      <c r="BC83">
        <f>VLOOKUP($A83,'UN Treasury'!$A$1:$BQ$224,_xlfn.XMATCH(BC$1,'UN Treasury'!$A$1:$BQ$1,-1,1),FALSE)</f>
        <v>56.04</v>
      </c>
      <c r="BD83">
        <f>VLOOKUP($A83,'UN Treasury'!$A$1:$BQ$224,_xlfn.XMATCH(BD$1,'UN Treasury'!$A$1:$BQ$1,-1,1),FALSE)</f>
        <v>53.838999999999999</v>
      </c>
      <c r="BE83">
        <f>VLOOKUP($A83,'UN Treasury'!$A$1:$BQ$224,_xlfn.XMATCH(BE$1,'UN Treasury'!$A$1:$BQ$1,-1,1),FALSE)</f>
        <v>53.731000000000002</v>
      </c>
      <c r="BF83">
        <f>VLOOKUP($A83,'UN Treasury'!$A$1:$BQ$224,_xlfn.XMATCH(BF$1,'UN Treasury'!$A$1:$BQ$1,-1,1),FALSE)</f>
        <v>54.500999999999998</v>
      </c>
      <c r="BG83">
        <f>VLOOKUP($A83,'UN Treasury'!$A$1:$BQ$224,_xlfn.XMATCH(BG$1,'UN Treasury'!$A$1:$BQ$1,-1,1),FALSE)</f>
        <v>52.566000000000003</v>
      </c>
      <c r="BH83">
        <f>VLOOKUP($A83,'UN Treasury'!$A$1:$BQ$224,_xlfn.XMATCH(BH$1,'UN Treasury'!$A$1:$BQ$1,-1,1),FALSE)</f>
        <v>52.774999999999999</v>
      </c>
      <c r="BI83">
        <f>VLOOKUP($A83,'UN Treasury'!$A$1:$BQ$224,_xlfn.XMATCH(BI$1,'UN Treasury'!$A$1:$BQ$1,-1,1),FALSE)</f>
        <v>51.941000000000003</v>
      </c>
      <c r="BJ83">
        <f>VLOOKUP($A83,'UN Treasury'!$A$1:$BQ$224,_xlfn.XMATCH(BJ$1,'UN Treasury'!$A$1:$BQ$1,-1,1),FALSE)</f>
        <v>51.597000000000001</v>
      </c>
      <c r="BK83">
        <f>VLOOKUP($A83,'UN Treasury'!$A$1:$BQ$224,_xlfn.XMATCH(BK$1,'UN Treasury'!$A$1:$BQ$1,-1,1),FALSE)</f>
        <v>51.41</v>
      </c>
      <c r="BL83">
        <f>VLOOKUP($A83,'UN Treasury'!$A$1:$BQ$224,_xlfn.XMATCH(BL$1,'UN Treasury'!$A$1:$BQ$1,-1,1),FALSE)</f>
        <v>50.277999999999999</v>
      </c>
      <c r="BM83">
        <f>VLOOKUP($A83,'UN Treasury'!$A$1:$BQ$224,_xlfn.XMATCH(BM$1,'UN Treasury'!$A$1:$BQ$1,-1,1),FALSE)</f>
        <v>50.664999999999999</v>
      </c>
      <c r="BN83">
        <f>VLOOKUP($A83,'UN Treasury'!$A$1:$BQ$224,_xlfn.XMATCH(BN$1,'UN Treasury'!$A$1:$BQ$1,-1,1),FALSE)</f>
        <v>52.347999999999999</v>
      </c>
      <c r="BO83">
        <f>VLOOKUP($A83,'UN Treasury'!$A$1:$BQ$224,_xlfn.XMATCH(BO$1,'UN Treasury'!$A$1:$BQ$1,-1,1),FALSE)</f>
        <v>50.052999999999997</v>
      </c>
      <c r="BP83">
        <f>VLOOKUP($A83,'UN Treasury'!$A$1:$BQ$224,_xlfn.XMATCH(BP$1,'UN Treasury'!$A$1:$BQ$1,-1,1),FALSE)</f>
        <v>50.578000000000003</v>
      </c>
      <c r="BQ83">
        <f>VLOOKUP($A83,'UN Treasury'!$A$1:$BQ$224,_xlfn.XMATCH(BQ$1,'UN Treasury'!$A$1:$BQ$1,-1,1),FALSE)</f>
        <v>49.795000000000002</v>
      </c>
    </row>
    <row r="84" spans="1:69" x14ac:dyDescent="0.25">
      <c r="A84" t="s">
        <v>193</v>
      </c>
      <c r="B84">
        <f>VLOOKUP($A84,'UN Treasury'!$A$1:$BQ$224,_xlfn.XMATCH(B$1,'UN Treasury'!$A$1:$BQ$1,-1,1),FALSE)</f>
        <v>4192</v>
      </c>
      <c r="C84">
        <f>VLOOKUP($A84,'UN Treasury'!$A$1:$BQ$224,_xlfn.XMATCH(C$1,'UN Treasury'!$A$1:$BQ$1,-1,1),FALSE)</f>
        <v>4150</v>
      </c>
      <c r="D84">
        <f>VLOOKUP($A84,'UN Treasury'!$A$1:$BQ$224,_xlfn.XMATCH(D$1,'UN Treasury'!$A$1:$BQ$1,-1,1),FALSE)</f>
        <v>4211</v>
      </c>
      <c r="E84">
        <f>VLOOKUP($A84,'UN Treasury'!$A$1:$BQ$224,_xlfn.XMATCH(E$1,'UN Treasury'!$A$1:$BQ$1,-1,1),FALSE)</f>
        <v>4212</v>
      </c>
      <c r="F84">
        <f>VLOOKUP($A84,'UN Treasury'!$A$1:$BQ$224,_xlfn.XMATCH(F$1,'UN Treasury'!$A$1:$BQ$1,-1,1),FALSE)</f>
        <v>4125</v>
      </c>
      <c r="G84">
        <f>VLOOKUP($A84,'UN Treasury'!$A$1:$BQ$224,_xlfn.XMATCH(G$1,'UN Treasury'!$A$1:$BQ$1,-1,1),FALSE)</f>
        <v>3905</v>
      </c>
      <c r="H84">
        <f>VLOOKUP($A84,'UN Treasury'!$A$1:$BQ$224,_xlfn.XMATCH(H$1,'UN Treasury'!$A$1:$BQ$1,-1,1),FALSE)</f>
        <v>3915</v>
      </c>
      <c r="I84">
        <f>VLOOKUP($A84,'UN Treasury'!$A$1:$BQ$224,_xlfn.XMATCH(I$1,'UN Treasury'!$A$1:$BQ$1,-1,1),FALSE)</f>
        <v>3820</v>
      </c>
      <c r="J84">
        <f>VLOOKUP($A84,'UN Treasury'!$A$1:$BQ$224,_xlfn.XMATCH(J$1,'UN Treasury'!$A$1:$BQ$1,-1,1),FALSE)</f>
        <v>3950</v>
      </c>
      <c r="K84">
        <f>VLOOKUP($A84,'UN Treasury'!$A$1:$BQ$224,_xlfn.XMATCH(K$1,'UN Treasury'!$A$1:$BQ$1,-1,1),FALSE)</f>
        <v>3950</v>
      </c>
      <c r="L84">
        <f>VLOOKUP($A84,'UN Treasury'!$A$1:$BQ$224,_xlfn.XMATCH(L$1,'UN Treasury'!$A$1:$BQ$1,-1,1),FALSE)</f>
        <v>4000</v>
      </c>
      <c r="M84">
        <f>VLOOKUP($A84,'UN Treasury'!$A$1:$BQ$224,_xlfn.XMATCH(M$1,'UN Treasury'!$A$1:$BQ$1,-1,1),FALSE)</f>
        <v>4200</v>
      </c>
      <c r="N84">
        <f>VLOOKUP($A84,'UN Treasury'!$A$1:$BQ$224,_xlfn.XMATCH(N$1,'UN Treasury'!$A$1:$BQ$1,-1,1),FALSE)</f>
        <v>4200</v>
      </c>
      <c r="O84">
        <f>VLOOKUP($A84,'UN Treasury'!$A$1:$BQ$224,_xlfn.XMATCH(O$1,'UN Treasury'!$A$1:$BQ$1,-1,1),FALSE)</f>
        <v>4200</v>
      </c>
      <c r="P84">
        <f>VLOOKUP($A84,'UN Treasury'!$A$1:$BQ$224,_xlfn.XMATCH(P$1,'UN Treasury'!$A$1:$BQ$1,-1,1),FALSE)</f>
        <v>4195</v>
      </c>
      <c r="Q84">
        <f>VLOOKUP($A84,'UN Treasury'!$A$1:$BQ$224,_xlfn.XMATCH(Q$1,'UN Treasury'!$A$1:$BQ$1,-1,1),FALSE)</f>
        <v>4185</v>
      </c>
      <c r="R84">
        <f>VLOOKUP($A84,'UN Treasury'!$A$1:$BQ$224,_xlfn.XMATCH(R$1,'UN Treasury'!$A$1:$BQ$1,-1,1),FALSE)</f>
        <v>4185</v>
      </c>
      <c r="S84">
        <f>VLOOKUP($A84,'UN Treasury'!$A$1:$BQ$224,_xlfn.XMATCH(S$1,'UN Treasury'!$A$1:$BQ$1,-1,1),FALSE)</f>
        <v>4185</v>
      </c>
      <c r="T84">
        <f>VLOOKUP($A84,'UN Treasury'!$A$1:$BQ$224,_xlfn.XMATCH(T$1,'UN Treasury'!$A$1:$BQ$1,-1,1),FALSE)</f>
        <v>4185</v>
      </c>
      <c r="U84">
        <f>VLOOKUP($A84,'UN Treasury'!$A$1:$BQ$224,_xlfn.XMATCH(U$1,'UN Treasury'!$A$1:$BQ$1,-1,1),FALSE)</f>
        <v>4185</v>
      </c>
      <c r="V84">
        <f>VLOOKUP($A84,'UN Treasury'!$A$1:$BQ$224,_xlfn.XMATCH(V$1,'UN Treasury'!$A$1:$BQ$1,-1,1),FALSE)</f>
        <v>4180</v>
      </c>
      <c r="W84">
        <f>VLOOKUP($A84,'UN Treasury'!$A$1:$BQ$224,_xlfn.XMATCH(W$1,'UN Treasury'!$A$1:$BQ$1,-1,1),FALSE)</f>
        <v>4100</v>
      </c>
      <c r="X84">
        <f>VLOOKUP($A84,'UN Treasury'!$A$1:$BQ$224,_xlfn.XMATCH(X$1,'UN Treasury'!$A$1:$BQ$1,-1,1),FALSE)</f>
        <v>4300</v>
      </c>
      <c r="Y84">
        <f>VLOOKUP($A84,'UN Treasury'!$A$1:$BQ$224,_xlfn.XMATCH(Y$1,'UN Treasury'!$A$1:$BQ$1,-1,1),FALSE)</f>
        <v>4160</v>
      </c>
      <c r="Z84">
        <f>VLOOKUP($A84,'UN Treasury'!$A$1:$BQ$224,_xlfn.XMATCH(Z$1,'UN Treasury'!$A$1:$BQ$1,-1,1),FALSE)</f>
        <v>3508.5</v>
      </c>
      <c r="AA84">
        <f>VLOOKUP($A84,'UN Treasury'!$A$1:$BQ$224,_xlfn.XMATCH(AA$1,'UN Treasury'!$A$1:$BQ$1,-1,1),FALSE)</f>
        <v>3556</v>
      </c>
      <c r="AB84">
        <f>VLOOKUP($A84,'UN Treasury'!$A$1:$BQ$224,_xlfn.XMATCH(AB$1,'UN Treasury'!$A$1:$BQ$1,-1,1),FALSE)</f>
        <v>3537.5</v>
      </c>
      <c r="AC84">
        <f>VLOOKUP($A84,'UN Treasury'!$A$1:$BQ$224,_xlfn.XMATCH(AC$1,'UN Treasury'!$A$1:$BQ$1,-1,1),FALSE)</f>
        <v>3509</v>
      </c>
      <c r="AD84">
        <f>VLOOKUP($A84,'UN Treasury'!$A$1:$BQ$224,_xlfn.XMATCH(AD$1,'UN Treasury'!$A$1:$BQ$1,-1,1),FALSE)</f>
        <v>3472.5</v>
      </c>
      <c r="AE84">
        <f>VLOOKUP($A84,'UN Treasury'!$A$1:$BQ$224,_xlfn.XMATCH(AE$1,'UN Treasury'!$A$1:$BQ$1,-1,1),FALSE)</f>
        <v>3455</v>
      </c>
      <c r="AF84">
        <f>VLOOKUP($A84,'UN Treasury'!$A$1:$BQ$224,_xlfn.XMATCH(AF$1,'UN Treasury'!$A$1:$BQ$1,-1,1),FALSE)</f>
        <v>3390</v>
      </c>
      <c r="AG84">
        <f>VLOOKUP($A84,'UN Treasury'!$A$1:$BQ$224,_xlfn.XMATCH(AG$1,'UN Treasury'!$A$1:$BQ$1,-1,1),FALSE)</f>
        <v>3420</v>
      </c>
      <c r="AH84">
        <f>VLOOKUP($A84,'UN Treasury'!$A$1:$BQ$224,_xlfn.XMATCH(AH$1,'UN Treasury'!$A$1:$BQ$1,-1,1),FALSE)</f>
        <v>3430</v>
      </c>
      <c r="AI84">
        <f>VLOOKUP($A84,'UN Treasury'!$A$1:$BQ$224,_xlfn.XMATCH(AI$1,'UN Treasury'!$A$1:$BQ$1,-1,1),FALSE)</f>
        <v>2100</v>
      </c>
      <c r="AJ84">
        <f>VLOOKUP($A84,'UN Treasury'!$A$1:$BQ$224,_xlfn.XMATCH(AJ$1,'UN Treasury'!$A$1:$BQ$1,-1,1),FALSE)</f>
        <v>2100</v>
      </c>
      <c r="AK84">
        <f>VLOOKUP($A84,'UN Treasury'!$A$1:$BQ$224,_xlfn.XMATCH(AK$1,'UN Treasury'!$A$1:$BQ$1,-1,1),FALSE)</f>
        <v>2100</v>
      </c>
      <c r="AL84">
        <f>VLOOKUP($A84,'UN Treasury'!$A$1:$BQ$224,_xlfn.XMATCH(AL$1,'UN Treasury'!$A$1:$BQ$1,-1,1),FALSE)</f>
        <v>2100</v>
      </c>
      <c r="AM84">
        <f>VLOOKUP($A84,'UN Treasury'!$A$1:$BQ$224,_xlfn.XMATCH(AM$1,'UN Treasury'!$A$1:$BQ$1,-1,1),FALSE)</f>
        <v>2100</v>
      </c>
      <c r="AN84">
        <f>VLOOKUP($A84,'UN Treasury'!$A$1:$BQ$224,_xlfn.XMATCH(AN$1,'UN Treasury'!$A$1:$BQ$1,-1,1),FALSE)</f>
        <v>2100</v>
      </c>
      <c r="AO84">
        <f>VLOOKUP($A84,'UN Treasury'!$A$1:$BQ$224,_xlfn.XMATCH(AO$1,'UN Treasury'!$A$1:$BQ$1,-1,1),FALSE)</f>
        <v>2100</v>
      </c>
      <c r="AP84">
        <f>VLOOKUP($A84,'UN Treasury'!$A$1:$BQ$224,_xlfn.XMATCH(AP$1,'UN Treasury'!$A$1:$BQ$1,-1,1),FALSE)</f>
        <v>2100</v>
      </c>
      <c r="AQ84">
        <f>VLOOKUP($A84,'UN Treasury'!$A$1:$BQ$224,_xlfn.XMATCH(AQ$1,'UN Treasury'!$A$1:$BQ$1,-1,1),FALSE)</f>
        <v>2100</v>
      </c>
      <c r="AR84">
        <f>VLOOKUP($A84,'UN Treasury'!$A$1:$BQ$224,_xlfn.XMATCH(AR$1,'UN Treasury'!$A$1:$BQ$1,-1,1),FALSE)</f>
        <v>2100</v>
      </c>
      <c r="AS84">
        <f>VLOOKUP($A84,'UN Treasury'!$A$1:$BQ$224,_xlfn.XMATCH(AS$1,'UN Treasury'!$A$1:$BQ$1,-1,1),FALSE)</f>
        <v>2100</v>
      </c>
      <c r="AT84">
        <f>VLOOKUP($A84,'UN Treasury'!$A$1:$BQ$224,_xlfn.XMATCH(AT$1,'UN Treasury'!$A$1:$BQ$1,-1,1),FALSE)</f>
        <v>2100</v>
      </c>
      <c r="AU84">
        <f>VLOOKUP($A84,'UN Treasury'!$A$1:$BQ$224,_xlfn.XMATCH(AU$1,'UN Treasury'!$A$1:$BQ$1,-1,1),FALSE)</f>
        <v>2100</v>
      </c>
      <c r="AV84">
        <f>VLOOKUP($A84,'UN Treasury'!$A$1:$BQ$224,_xlfn.XMATCH(AV$1,'UN Treasury'!$A$1:$BQ$1,-1,1),FALSE)</f>
        <v>2100</v>
      </c>
      <c r="AW84">
        <f>VLOOKUP($A84,'UN Treasury'!$A$1:$BQ$224,_xlfn.XMATCH(AW$1,'UN Treasury'!$A$1:$BQ$1,-1,1),FALSE)</f>
        <v>2100</v>
      </c>
      <c r="AX84">
        <f>VLOOKUP($A84,'UN Treasury'!$A$1:$BQ$224,_xlfn.XMATCH(AX$1,'UN Treasury'!$A$1:$BQ$1,-1,1),FALSE)</f>
        <v>2100</v>
      </c>
      <c r="AY84">
        <f>VLOOKUP($A84,'UN Treasury'!$A$1:$BQ$224,_xlfn.XMATCH(AY$1,'UN Treasury'!$A$1:$BQ$1,-1,1),FALSE)</f>
        <v>1850</v>
      </c>
      <c r="AZ84">
        <f>VLOOKUP($A84,'UN Treasury'!$A$1:$BQ$224,_xlfn.XMATCH(AZ$1,'UN Treasury'!$A$1:$BQ$1,-1,1),FALSE)</f>
        <v>1850</v>
      </c>
      <c r="BA84">
        <f>VLOOKUP($A84,'UN Treasury'!$A$1:$BQ$224,_xlfn.XMATCH(BA$1,'UN Treasury'!$A$1:$BQ$1,-1,1),FALSE)</f>
        <v>1850</v>
      </c>
      <c r="BB84">
        <f>VLOOKUP($A84,'UN Treasury'!$A$1:$BQ$224,_xlfn.XMATCH(BB$1,'UN Treasury'!$A$1:$BQ$1,-1,1),FALSE)</f>
        <v>1850</v>
      </c>
      <c r="BC84">
        <f>VLOOKUP($A84,'UN Treasury'!$A$1:$BQ$224,_xlfn.XMATCH(BC$1,'UN Treasury'!$A$1:$BQ$1,-1,1),FALSE)</f>
        <v>1776</v>
      </c>
      <c r="BD84">
        <f>VLOOKUP($A84,'UN Treasury'!$A$1:$BQ$224,_xlfn.XMATCH(BD$1,'UN Treasury'!$A$1:$BQ$1,-1,1),FALSE)</f>
        <v>1776</v>
      </c>
      <c r="BE84">
        <f>VLOOKUP($A84,'UN Treasury'!$A$1:$BQ$224,_xlfn.XMATCH(BE$1,'UN Treasury'!$A$1:$BQ$1,-1,1),FALSE)</f>
        <v>1776</v>
      </c>
      <c r="BF84">
        <f>VLOOKUP($A84,'UN Treasury'!$A$1:$BQ$224,_xlfn.XMATCH(BF$1,'UN Treasury'!$A$1:$BQ$1,-1,1),FALSE)</f>
        <v>1780</v>
      </c>
      <c r="BG84">
        <f>VLOOKUP($A84,'UN Treasury'!$A$1:$BQ$224,_xlfn.XMATCH(BG$1,'UN Treasury'!$A$1:$BQ$1,-1,1),FALSE)</f>
        <v>1800</v>
      </c>
      <c r="BH84">
        <f>VLOOKUP($A84,'UN Treasury'!$A$1:$BQ$224,_xlfn.XMATCH(BH$1,'UN Treasury'!$A$1:$BQ$1,-1,1),FALSE)</f>
        <v>1815</v>
      </c>
      <c r="BI84">
        <f>VLOOKUP($A84,'UN Treasury'!$A$1:$BQ$224,_xlfn.XMATCH(BI$1,'UN Treasury'!$A$1:$BQ$1,-1,1),FALSE)</f>
        <v>1652</v>
      </c>
      <c r="BJ84">
        <f>VLOOKUP($A84,'UN Treasury'!$A$1:$BQ$224,_xlfn.XMATCH(BJ$1,'UN Treasury'!$A$1:$BQ$1,-1,1),FALSE)</f>
        <v>1636</v>
      </c>
      <c r="BK84">
        <f>VLOOKUP($A84,'UN Treasury'!$A$1:$BQ$224,_xlfn.XMATCH(BK$1,'UN Treasury'!$A$1:$BQ$1,-1,1),FALSE)</f>
        <v>1582</v>
      </c>
      <c r="BL84">
        <f>VLOOKUP($A84,'UN Treasury'!$A$1:$BQ$224,_xlfn.XMATCH(BL$1,'UN Treasury'!$A$1:$BQ$1,-1,1),FALSE)</f>
        <v>1651</v>
      </c>
      <c r="BM84">
        <f>VLOOKUP($A84,'UN Treasury'!$A$1:$BQ$224,_xlfn.XMATCH(BM$1,'UN Treasury'!$A$1:$BQ$1,-1,1),FALSE)</f>
        <v>1548</v>
      </c>
      <c r="BN84">
        <f>VLOOKUP($A84,'UN Treasury'!$A$1:$BQ$224,_xlfn.XMATCH(BN$1,'UN Treasury'!$A$1:$BQ$1,-1,1),FALSE)</f>
        <v>1434</v>
      </c>
      <c r="BO84">
        <f>VLOOKUP($A84,'UN Treasury'!$A$1:$BQ$224,_xlfn.XMATCH(BO$1,'UN Treasury'!$A$1:$BQ$1,-1,1),FALSE)</f>
        <v>1413</v>
      </c>
      <c r="BP84">
        <f>VLOOKUP($A84,'UN Treasury'!$A$1:$BQ$224,_xlfn.XMATCH(BP$1,'UN Treasury'!$A$1:$BQ$1,-1,1),FALSE)</f>
        <v>1333</v>
      </c>
      <c r="BQ84">
        <f>VLOOKUP($A84,'UN Treasury'!$A$1:$BQ$224,_xlfn.XMATCH(BQ$1,'UN Treasury'!$A$1:$BQ$1,-1,1),FALSE)</f>
        <v>1353</v>
      </c>
    </row>
    <row r="85" spans="1:69" x14ac:dyDescent="0.25">
      <c r="A85" t="s">
        <v>194</v>
      </c>
      <c r="B85">
        <f>VLOOKUP($A85,'UN Treasury'!$A$1:$BQ$224,_xlfn.XMATCH(B$1,'UN Treasury'!$A$1:$BQ$1,-1,1),FALSE)</f>
        <v>3588</v>
      </c>
      <c r="C85">
        <f>VLOOKUP($A85,'UN Treasury'!$A$1:$BQ$224,_xlfn.XMATCH(C$1,'UN Treasury'!$A$1:$BQ$1,-1,1),FALSE)</f>
        <v>3577</v>
      </c>
      <c r="D85">
        <f>VLOOKUP($A85,'UN Treasury'!$A$1:$BQ$224,_xlfn.XMATCH(D$1,'UN Treasury'!$A$1:$BQ$1,-1,1),FALSE)</f>
        <v>3569</v>
      </c>
      <c r="E85">
        <f>VLOOKUP($A85,'UN Treasury'!$A$1:$BQ$224,_xlfn.XMATCH(E$1,'UN Treasury'!$A$1:$BQ$1,-1,1),FALSE)</f>
        <v>3569</v>
      </c>
      <c r="F85">
        <f>VLOOKUP($A85,'UN Treasury'!$A$1:$BQ$224,_xlfn.XMATCH(F$1,'UN Treasury'!$A$1:$BQ$1,-1,1),FALSE)</f>
        <v>3564.5</v>
      </c>
      <c r="G85">
        <f>VLOOKUP($A85,'UN Treasury'!$A$1:$BQ$224,_xlfn.XMATCH(G$1,'UN Treasury'!$A$1:$BQ$1,-1,1),FALSE)</f>
        <v>3559</v>
      </c>
      <c r="H85">
        <f>VLOOKUP($A85,'UN Treasury'!$A$1:$BQ$224,_xlfn.XMATCH(H$1,'UN Treasury'!$A$1:$BQ$1,-1,1),FALSE)</f>
        <v>3559</v>
      </c>
      <c r="I85">
        <f>VLOOKUP($A85,'UN Treasury'!$A$1:$BQ$224,_xlfn.XMATCH(I$1,'UN Treasury'!$A$1:$BQ$1,-1,1),FALSE)</f>
        <v>3551</v>
      </c>
      <c r="J85">
        <f>VLOOKUP($A85,'UN Treasury'!$A$1:$BQ$224,_xlfn.XMATCH(J$1,'UN Treasury'!$A$1:$BQ$1,-1,1),FALSE)</f>
        <v>3537.5</v>
      </c>
      <c r="K85">
        <f>VLOOKUP($A85,'UN Treasury'!$A$1:$BQ$224,_xlfn.XMATCH(K$1,'UN Treasury'!$A$1:$BQ$1,-1,1),FALSE)</f>
        <v>3572.63</v>
      </c>
      <c r="L85">
        <f>VLOOKUP($A85,'UN Treasury'!$A$1:$BQ$224,_xlfn.XMATCH(L$1,'UN Treasury'!$A$1:$BQ$1,-1,1),FALSE)</f>
        <v>3587</v>
      </c>
      <c r="M85">
        <f>VLOOKUP($A85,'UN Treasury'!$A$1:$BQ$224,_xlfn.XMATCH(M$1,'UN Treasury'!$A$1:$BQ$1,-1,1),FALSE)</f>
        <v>3587</v>
      </c>
      <c r="N85">
        <f>VLOOKUP($A85,'UN Treasury'!$A$1:$BQ$224,_xlfn.XMATCH(N$1,'UN Treasury'!$A$1:$BQ$1,-1,1),FALSE)</f>
        <v>3584</v>
      </c>
      <c r="O85">
        <f>VLOOKUP($A85,'UN Treasury'!$A$1:$BQ$224,_xlfn.XMATCH(O$1,'UN Treasury'!$A$1:$BQ$1,-1,1),FALSE)</f>
        <v>3573.5</v>
      </c>
      <c r="P85">
        <f>VLOOKUP($A85,'UN Treasury'!$A$1:$BQ$224,_xlfn.XMATCH(P$1,'UN Treasury'!$A$1:$BQ$1,-1,1),FALSE)</f>
        <v>3569</v>
      </c>
      <c r="Q85">
        <f>VLOOKUP($A85,'UN Treasury'!$A$1:$BQ$224,_xlfn.XMATCH(Q$1,'UN Treasury'!$A$1:$BQ$1,-1,1),FALSE)</f>
        <v>3567</v>
      </c>
      <c r="R85">
        <f>VLOOKUP($A85,'UN Treasury'!$A$1:$BQ$224,_xlfn.XMATCH(R$1,'UN Treasury'!$A$1:$BQ$1,-1,1),FALSE)</f>
        <v>3523</v>
      </c>
      <c r="S85">
        <f>VLOOKUP($A85,'UN Treasury'!$A$1:$BQ$224,_xlfn.XMATCH(S$1,'UN Treasury'!$A$1:$BQ$1,-1,1),FALSE)</f>
        <v>3460.07</v>
      </c>
      <c r="T85">
        <f>VLOOKUP($A85,'UN Treasury'!$A$1:$BQ$224,_xlfn.XMATCH(T$1,'UN Treasury'!$A$1:$BQ$1,-1,1),FALSE)</f>
        <v>3450.77</v>
      </c>
      <c r="U85">
        <f>VLOOKUP($A85,'UN Treasury'!$A$1:$BQ$224,_xlfn.XMATCH(U$1,'UN Treasury'!$A$1:$BQ$1,-1,1),FALSE)</f>
        <v>3418</v>
      </c>
      <c r="V85">
        <f>VLOOKUP($A85,'UN Treasury'!$A$1:$BQ$224,_xlfn.XMATCH(V$1,'UN Treasury'!$A$1:$BQ$1,-1,1),FALSE)</f>
        <v>3417.21</v>
      </c>
      <c r="W85">
        <f>VLOOKUP($A85,'UN Treasury'!$A$1:$BQ$224,_xlfn.XMATCH(W$1,'UN Treasury'!$A$1:$BQ$1,-1,1),FALSE)</f>
        <v>3404</v>
      </c>
      <c r="X85">
        <f>VLOOKUP($A85,'UN Treasury'!$A$1:$BQ$224,_xlfn.XMATCH(X$1,'UN Treasury'!$A$1:$BQ$1,-1,1),FALSE)</f>
        <v>3380.89</v>
      </c>
      <c r="Y85">
        <f>VLOOKUP($A85,'UN Treasury'!$A$1:$BQ$224,_xlfn.XMATCH(Y$1,'UN Treasury'!$A$1:$BQ$1,-1,1),FALSE)</f>
        <v>3375.24</v>
      </c>
      <c r="Z85">
        <f>VLOOKUP($A85,'UN Treasury'!$A$1:$BQ$224,_xlfn.XMATCH(Z$1,'UN Treasury'!$A$1:$BQ$1,-1,1),FALSE)</f>
        <v>3373.86</v>
      </c>
      <c r="AA85">
        <f>VLOOKUP($A85,'UN Treasury'!$A$1:$BQ$224,_xlfn.XMATCH(AA$1,'UN Treasury'!$A$1:$BQ$1,-1,1),FALSE)</f>
        <v>3375.75</v>
      </c>
      <c r="AB85">
        <f>VLOOKUP($A85,'UN Treasury'!$A$1:$BQ$224,_xlfn.XMATCH(AB$1,'UN Treasury'!$A$1:$BQ$1,-1,1),FALSE)</f>
        <v>3369.68</v>
      </c>
      <c r="AC85">
        <f>VLOOKUP($A85,'UN Treasury'!$A$1:$BQ$224,_xlfn.XMATCH(AC$1,'UN Treasury'!$A$1:$BQ$1,-1,1),FALSE)</f>
        <v>3367.48</v>
      </c>
      <c r="AD85">
        <f>VLOOKUP($A85,'UN Treasury'!$A$1:$BQ$224,_xlfn.XMATCH(AD$1,'UN Treasury'!$A$1:$BQ$1,-1,1),FALSE)</f>
        <v>3366</v>
      </c>
      <c r="AE85">
        <f>VLOOKUP($A85,'UN Treasury'!$A$1:$BQ$224,_xlfn.XMATCH(AE$1,'UN Treasury'!$A$1:$BQ$1,-1,1),FALSE)</f>
        <v>3376.16</v>
      </c>
      <c r="AF85">
        <f>VLOOKUP($A85,'UN Treasury'!$A$1:$BQ$224,_xlfn.XMATCH(AF$1,'UN Treasury'!$A$1:$BQ$1,-1,1),FALSE)</f>
        <v>3390</v>
      </c>
      <c r="AG85">
        <f>VLOOKUP($A85,'UN Treasury'!$A$1:$BQ$224,_xlfn.XMATCH(AG$1,'UN Treasury'!$A$1:$BQ$1,-1,1),FALSE)</f>
        <v>3402.5</v>
      </c>
      <c r="AH85">
        <f>VLOOKUP($A85,'UN Treasury'!$A$1:$BQ$224,_xlfn.XMATCH(AH$1,'UN Treasury'!$A$1:$BQ$1,-1,1),FALSE)</f>
        <v>3434.95</v>
      </c>
      <c r="AI85">
        <f>VLOOKUP($A85,'UN Treasury'!$A$1:$BQ$224,_xlfn.XMATCH(AI$1,'UN Treasury'!$A$1:$BQ$1,-1,1),FALSE)</f>
        <v>3439.23</v>
      </c>
      <c r="AJ85">
        <f>VLOOKUP($A85,'UN Treasury'!$A$1:$BQ$224,_xlfn.XMATCH(AJ$1,'UN Treasury'!$A$1:$BQ$1,-1,1),FALSE)</f>
        <v>3446.5</v>
      </c>
      <c r="AK85">
        <f>VLOOKUP($A85,'UN Treasury'!$A$1:$BQ$224,_xlfn.XMATCH(AK$1,'UN Treasury'!$A$1:$BQ$1,-1,1),FALSE)</f>
        <v>3460</v>
      </c>
      <c r="AL85">
        <f>VLOOKUP($A85,'UN Treasury'!$A$1:$BQ$224,_xlfn.XMATCH(AL$1,'UN Treasury'!$A$1:$BQ$1,-1,1),FALSE)</f>
        <v>3446.98</v>
      </c>
      <c r="AM85">
        <f>VLOOKUP($A85,'UN Treasury'!$A$1:$BQ$224,_xlfn.XMATCH(AM$1,'UN Treasury'!$A$1:$BQ$1,-1,1),FALSE)</f>
        <v>3424.17</v>
      </c>
      <c r="AN85">
        <f>VLOOKUP($A85,'UN Treasury'!$A$1:$BQ$224,_xlfn.XMATCH(AN$1,'UN Treasury'!$A$1:$BQ$1,-1,1),FALSE)</f>
        <v>3432</v>
      </c>
      <c r="AO85">
        <f>VLOOKUP($A85,'UN Treasury'!$A$1:$BQ$224,_xlfn.XMATCH(AO$1,'UN Treasury'!$A$1:$BQ$1,-1,1),FALSE)</f>
        <v>3459</v>
      </c>
      <c r="AP85">
        <f>VLOOKUP($A85,'UN Treasury'!$A$1:$BQ$224,_xlfn.XMATCH(AP$1,'UN Treasury'!$A$1:$BQ$1,-1,1),FALSE)</f>
        <v>3492.98</v>
      </c>
      <c r="AQ85">
        <f>VLOOKUP($A85,'UN Treasury'!$A$1:$BQ$224,_xlfn.XMATCH(AQ$1,'UN Treasury'!$A$1:$BQ$1,-1,1),FALSE)</f>
        <v>3516.74</v>
      </c>
      <c r="AR85">
        <f>VLOOKUP($A85,'UN Treasury'!$A$1:$BQ$224,_xlfn.XMATCH(AR$1,'UN Treasury'!$A$1:$BQ$1,-1,1),FALSE)</f>
        <v>3500</v>
      </c>
      <c r="AS85">
        <f>VLOOKUP($A85,'UN Treasury'!$A$1:$BQ$224,_xlfn.XMATCH(AS$1,'UN Treasury'!$A$1:$BQ$1,-1,1),FALSE)</f>
        <v>3436.58</v>
      </c>
      <c r="AT85">
        <f>VLOOKUP($A85,'UN Treasury'!$A$1:$BQ$224,_xlfn.XMATCH(AT$1,'UN Treasury'!$A$1:$BQ$1,-1,1),FALSE)</f>
        <v>3420</v>
      </c>
      <c r="AU85">
        <f>VLOOKUP($A85,'UN Treasury'!$A$1:$BQ$224,_xlfn.XMATCH(AU$1,'UN Treasury'!$A$1:$BQ$1,-1,1),FALSE)</f>
        <v>3395.03</v>
      </c>
      <c r="AV85">
        <f>VLOOKUP($A85,'UN Treasury'!$A$1:$BQ$224,_xlfn.XMATCH(AV$1,'UN Treasury'!$A$1:$BQ$1,-1,1),FALSE)</f>
        <v>3357.18</v>
      </c>
      <c r="AW85">
        <f>VLOOKUP($A85,'UN Treasury'!$A$1:$BQ$224,_xlfn.XMATCH(AW$1,'UN Treasury'!$A$1:$BQ$1,-1,1),FALSE)</f>
        <v>3223.74</v>
      </c>
      <c r="AX85">
        <f>VLOOKUP($A85,'UN Treasury'!$A$1:$BQ$224,_xlfn.XMATCH(AX$1,'UN Treasury'!$A$1:$BQ$1,-1,1),FALSE)</f>
        <v>3173.82</v>
      </c>
      <c r="AY85">
        <f>VLOOKUP($A85,'UN Treasury'!$A$1:$BQ$224,_xlfn.XMATCH(AY$1,'UN Treasury'!$A$1:$BQ$1,-1,1),FALSE)</f>
        <v>3144</v>
      </c>
      <c r="AZ85">
        <f>VLOOKUP($A85,'UN Treasury'!$A$1:$BQ$224,_xlfn.XMATCH(AZ$1,'UN Treasury'!$A$1:$BQ$1,-1,1),FALSE)</f>
        <v>3113</v>
      </c>
      <c r="BA85">
        <f>VLOOKUP($A85,'UN Treasury'!$A$1:$BQ$224,_xlfn.XMATCH(BA$1,'UN Treasury'!$A$1:$BQ$1,-1,1),FALSE)</f>
        <v>3099</v>
      </c>
      <c r="BB85">
        <f>VLOOKUP($A85,'UN Treasury'!$A$1:$BQ$224,_xlfn.XMATCH(BB$1,'UN Treasury'!$A$1:$BQ$1,-1,1),FALSE)</f>
        <v>3021</v>
      </c>
      <c r="BC85">
        <f>VLOOKUP($A85,'UN Treasury'!$A$1:$BQ$224,_xlfn.XMATCH(BC$1,'UN Treasury'!$A$1:$BQ$1,-1,1),FALSE)</f>
        <v>2877</v>
      </c>
      <c r="BD85">
        <f>VLOOKUP($A85,'UN Treasury'!$A$1:$BQ$224,_xlfn.XMATCH(BD$1,'UN Treasury'!$A$1:$BQ$1,-1,1),FALSE)</f>
        <v>2846.67</v>
      </c>
      <c r="BE85">
        <f>VLOOKUP($A85,'UN Treasury'!$A$1:$BQ$224,_xlfn.XMATCH(BE$1,'UN Treasury'!$A$1:$BQ$1,-1,1),FALSE)</f>
        <v>2841.87</v>
      </c>
      <c r="BF85">
        <f>VLOOKUP($A85,'UN Treasury'!$A$1:$BQ$224,_xlfn.XMATCH(BF$1,'UN Treasury'!$A$1:$BQ$1,-1,1),FALSE)</f>
        <v>2842.7</v>
      </c>
      <c r="BG85">
        <f>VLOOKUP($A85,'UN Treasury'!$A$1:$BQ$224,_xlfn.XMATCH(BG$1,'UN Treasury'!$A$1:$BQ$1,-1,1),FALSE)</f>
        <v>2842.41</v>
      </c>
      <c r="BH85">
        <f>VLOOKUP($A85,'UN Treasury'!$A$1:$BQ$224,_xlfn.XMATCH(BH$1,'UN Treasury'!$A$1:$BQ$1,-1,1),FALSE)</f>
        <v>2835.41</v>
      </c>
      <c r="BI85">
        <f>VLOOKUP($A85,'UN Treasury'!$A$1:$BQ$224,_xlfn.XMATCH(BI$1,'UN Treasury'!$A$1:$BQ$1,-1,1),FALSE)</f>
        <v>2835.42</v>
      </c>
      <c r="BJ85">
        <f>VLOOKUP($A85,'UN Treasury'!$A$1:$BQ$224,_xlfn.XMATCH(BJ$1,'UN Treasury'!$A$1:$BQ$1,-1,1),FALSE)</f>
        <v>2837.37</v>
      </c>
      <c r="BK85">
        <f>VLOOKUP($A85,'UN Treasury'!$A$1:$BQ$224,_xlfn.XMATCH(BK$1,'UN Treasury'!$A$1:$BQ$1,-1,1),FALSE)</f>
        <v>2826.43</v>
      </c>
      <c r="BL85">
        <f>VLOOKUP($A85,'UN Treasury'!$A$1:$BQ$224,_xlfn.XMATCH(BL$1,'UN Treasury'!$A$1:$BQ$1,-1,1),FALSE)</f>
        <v>2845</v>
      </c>
      <c r="BM85">
        <f>VLOOKUP($A85,'UN Treasury'!$A$1:$BQ$224,_xlfn.XMATCH(BM$1,'UN Treasury'!$A$1:$BQ$1,-1,1),FALSE)</f>
        <v>2837.49</v>
      </c>
      <c r="BN85">
        <f>VLOOKUP($A85,'UN Treasury'!$A$1:$BQ$224,_xlfn.XMATCH(BN$1,'UN Treasury'!$A$1:$BQ$1,-1,1),FALSE)</f>
        <v>2841</v>
      </c>
      <c r="BO85">
        <f>VLOOKUP($A85,'UN Treasury'!$A$1:$BQ$224,_xlfn.XMATCH(BO$1,'UN Treasury'!$A$1:$BQ$1,-1,1),FALSE)</f>
        <v>2844</v>
      </c>
      <c r="BP85">
        <f>VLOOKUP($A85,'UN Treasury'!$A$1:$BQ$224,_xlfn.XMATCH(BP$1,'UN Treasury'!$A$1:$BQ$1,-1,1),FALSE)</f>
        <v>2824.56</v>
      </c>
      <c r="BQ85">
        <f>VLOOKUP($A85,'UN Treasury'!$A$1:$BQ$224,_xlfn.XMATCH(BQ$1,'UN Treasury'!$A$1:$BQ$1,-1,1),FALSE)</f>
        <v>2820.23</v>
      </c>
    </row>
    <row r="86" spans="1:69" x14ac:dyDescent="0.25">
      <c r="A86" t="s">
        <v>99</v>
      </c>
      <c r="B86">
        <f>VLOOKUP($A86,'UN Treasury'!$A$1:$BQ$224,_xlfn.XMATCH(B$1,'UN Treasury'!$A$1:$BQ$1,-1,1),FALSE)</f>
        <v>8.0820000000000007</v>
      </c>
      <c r="C86">
        <f>VLOOKUP($A86,'UN Treasury'!$A$1:$BQ$224,_xlfn.XMATCH(C$1,'UN Treasury'!$A$1:$BQ$1,-1,1),FALSE)</f>
        <v>8.0730000000000004</v>
      </c>
      <c r="D86">
        <f>VLOOKUP($A86,'UN Treasury'!$A$1:$BQ$224,_xlfn.XMATCH(D$1,'UN Treasury'!$A$1:$BQ$1,-1,1),FALSE)</f>
        <v>8.0719999999999992</v>
      </c>
      <c r="E86">
        <f>VLOOKUP($A86,'UN Treasury'!$A$1:$BQ$224,_xlfn.XMATCH(E$1,'UN Treasury'!$A$1:$BQ$1,-1,1),FALSE)</f>
        <v>8.0670000000000002</v>
      </c>
      <c r="F86">
        <f>VLOOKUP($A86,'UN Treasury'!$A$1:$BQ$224,_xlfn.XMATCH(F$1,'UN Treasury'!$A$1:$BQ$1,-1,1),FALSE)</f>
        <v>8.0670000000000002</v>
      </c>
      <c r="G86">
        <f>VLOOKUP($A86,'UN Treasury'!$A$1:$BQ$224,_xlfn.XMATCH(G$1,'UN Treasury'!$A$1:$BQ$1,-1,1),FALSE)</f>
        <v>8.0619999999999994</v>
      </c>
      <c r="H86">
        <f>VLOOKUP($A86,'UN Treasury'!$A$1:$BQ$224,_xlfn.XMATCH(H$1,'UN Treasury'!$A$1:$BQ$1,-1,1),FALSE)</f>
        <v>8.0510000000000002</v>
      </c>
      <c r="I86">
        <f>VLOOKUP($A86,'UN Treasury'!$A$1:$BQ$224,_xlfn.XMATCH(I$1,'UN Treasury'!$A$1:$BQ$1,-1,1),FALSE)</f>
        <v>8.0359999999999996</v>
      </c>
      <c r="J86">
        <f>VLOOKUP($A86,'UN Treasury'!$A$1:$BQ$224,_xlfn.XMATCH(J$1,'UN Treasury'!$A$1:$BQ$1,-1,1),FALSE)</f>
        <v>8.0150000000000006</v>
      </c>
      <c r="K86">
        <f>VLOOKUP($A86,'UN Treasury'!$A$1:$BQ$224,_xlfn.XMATCH(K$1,'UN Treasury'!$A$1:$BQ$1,-1,1),FALSE)</f>
        <v>8.0039999999999996</v>
      </c>
      <c r="L86">
        <f>VLOOKUP($A86,'UN Treasury'!$A$1:$BQ$224,_xlfn.XMATCH(L$1,'UN Treasury'!$A$1:$BQ$1,-1,1),FALSE)</f>
        <v>8.0120000000000005</v>
      </c>
      <c r="M86">
        <f>VLOOKUP($A86,'UN Treasury'!$A$1:$BQ$224,_xlfn.XMATCH(M$1,'UN Treasury'!$A$1:$BQ$1,-1,1),FALSE)</f>
        <v>8.0229999999999997</v>
      </c>
      <c r="N86">
        <f>VLOOKUP($A86,'UN Treasury'!$A$1:$BQ$224,_xlfn.XMATCH(N$1,'UN Treasury'!$A$1:$BQ$1,-1,1),FALSE)</f>
        <v>8.0850000000000009</v>
      </c>
      <c r="O86">
        <f>VLOOKUP($A86,'UN Treasury'!$A$1:$BQ$224,_xlfn.XMATCH(O$1,'UN Treasury'!$A$1:$BQ$1,-1,1),FALSE)</f>
        <v>8.0850000000000009</v>
      </c>
      <c r="P86">
        <f>VLOOKUP($A86,'UN Treasury'!$A$1:$BQ$224,_xlfn.XMATCH(P$1,'UN Treasury'!$A$1:$BQ$1,-1,1),FALSE)</f>
        <v>8.0850000000000009</v>
      </c>
      <c r="Q86">
        <f>VLOOKUP($A86,'UN Treasury'!$A$1:$BQ$224,_xlfn.XMATCH(Q$1,'UN Treasury'!$A$1:$BQ$1,-1,1),FALSE)</f>
        <v>8.0289999999999999</v>
      </c>
      <c r="R86">
        <f>VLOOKUP($A86,'UN Treasury'!$A$1:$BQ$224,_xlfn.XMATCH(R$1,'UN Treasury'!$A$1:$BQ$1,-1,1),FALSE)</f>
        <v>7.9889999999999999</v>
      </c>
      <c r="S86">
        <f>VLOOKUP($A86,'UN Treasury'!$A$1:$BQ$224,_xlfn.XMATCH(S$1,'UN Treasury'!$A$1:$BQ$1,-1,1),FALSE)</f>
        <v>8.0030000000000001</v>
      </c>
      <c r="T86">
        <f>VLOOKUP($A86,'UN Treasury'!$A$1:$BQ$224,_xlfn.XMATCH(T$1,'UN Treasury'!$A$1:$BQ$1,-1,1),FALSE)</f>
        <v>8.0250000000000004</v>
      </c>
      <c r="U86">
        <f>VLOOKUP($A86,'UN Treasury'!$A$1:$BQ$224,_xlfn.XMATCH(U$1,'UN Treasury'!$A$1:$BQ$1,-1,1),FALSE)</f>
        <v>8.0190000000000001</v>
      </c>
      <c r="V86">
        <f>VLOOKUP($A86,'UN Treasury'!$A$1:$BQ$224,_xlfn.XMATCH(V$1,'UN Treasury'!$A$1:$BQ$1,-1,1),FALSE)</f>
        <v>8.0090000000000003</v>
      </c>
      <c r="W86">
        <f>VLOOKUP($A86,'UN Treasury'!$A$1:$BQ$224,_xlfn.XMATCH(W$1,'UN Treasury'!$A$1:$BQ$1,-1,1),FALSE)</f>
        <v>8.0129999999999999</v>
      </c>
      <c r="X86">
        <f>VLOOKUP($A86,'UN Treasury'!$A$1:$BQ$224,_xlfn.XMATCH(X$1,'UN Treasury'!$A$1:$BQ$1,-1,1),FALSE)</f>
        <v>8.0050000000000008</v>
      </c>
      <c r="Y86">
        <f>VLOOKUP($A86,'UN Treasury'!$A$1:$BQ$224,_xlfn.XMATCH(Y$1,'UN Treasury'!$A$1:$BQ$1,-1,1),FALSE)</f>
        <v>8.0329999999999995</v>
      </c>
      <c r="Z86">
        <f>VLOOKUP($A86,'UN Treasury'!$A$1:$BQ$224,_xlfn.XMATCH(Z$1,'UN Treasury'!$A$1:$BQ$1,-1,1),FALSE)</f>
        <v>8.0220000000000002</v>
      </c>
      <c r="AA86">
        <f>VLOOKUP($A86,'UN Treasury'!$A$1:$BQ$224,_xlfn.XMATCH(AA$1,'UN Treasury'!$A$1:$BQ$1,-1,1),FALSE)</f>
        <v>8.0410000000000004</v>
      </c>
      <c r="AB86">
        <f>VLOOKUP($A86,'UN Treasury'!$A$1:$BQ$224,_xlfn.XMATCH(AB$1,'UN Treasury'!$A$1:$BQ$1,-1,1),FALSE)</f>
        <v>8.0429999999999993</v>
      </c>
      <c r="AC86">
        <f>VLOOKUP($A86,'UN Treasury'!$A$1:$BQ$224,_xlfn.XMATCH(AC$1,'UN Treasury'!$A$1:$BQ$1,-1,1),FALSE)</f>
        <v>8.0459999999999994</v>
      </c>
      <c r="AD86">
        <f>VLOOKUP($A86,'UN Treasury'!$A$1:$BQ$224,_xlfn.XMATCH(AD$1,'UN Treasury'!$A$1:$BQ$1,-1,1),FALSE)</f>
        <v>8.07</v>
      </c>
      <c r="AE86">
        <f>VLOOKUP($A86,'UN Treasury'!$A$1:$BQ$224,_xlfn.XMATCH(AE$1,'UN Treasury'!$A$1:$BQ$1,-1,1),FALSE)</f>
        <v>8.0579999999999998</v>
      </c>
      <c r="AF86">
        <f>VLOOKUP($A86,'UN Treasury'!$A$1:$BQ$224,_xlfn.XMATCH(AF$1,'UN Treasury'!$A$1:$BQ$1,-1,1),FALSE)</f>
        <v>8.0530000000000008</v>
      </c>
      <c r="AG86">
        <f>VLOOKUP($A86,'UN Treasury'!$A$1:$BQ$224,_xlfn.XMATCH(AG$1,'UN Treasury'!$A$1:$BQ$1,-1,1),FALSE)</f>
        <v>8.0519999999999996</v>
      </c>
      <c r="AH86">
        <f>VLOOKUP($A86,'UN Treasury'!$A$1:$BQ$224,_xlfn.XMATCH(AH$1,'UN Treasury'!$A$1:$BQ$1,-1,1),FALSE)</f>
        <v>8.0470000000000006</v>
      </c>
      <c r="AI86">
        <f>VLOOKUP($A86,'UN Treasury'!$A$1:$BQ$224,_xlfn.XMATCH(AI$1,'UN Treasury'!$A$1:$BQ$1,-1,1),FALSE)</f>
        <v>8.0419999999999998</v>
      </c>
      <c r="AJ86">
        <f>VLOOKUP($A86,'UN Treasury'!$A$1:$BQ$224,_xlfn.XMATCH(AJ$1,'UN Treasury'!$A$1:$BQ$1,-1,1),FALSE)</f>
        <v>8.0540000000000003</v>
      </c>
      <c r="AK86">
        <f>VLOOKUP($A86,'UN Treasury'!$A$1:$BQ$224,_xlfn.XMATCH(AK$1,'UN Treasury'!$A$1:$BQ$1,-1,1),FALSE)</f>
        <v>8.0589999999999993</v>
      </c>
      <c r="AL86">
        <f>VLOOKUP($A86,'UN Treasury'!$A$1:$BQ$224,_xlfn.XMATCH(AL$1,'UN Treasury'!$A$1:$BQ$1,-1,1),FALSE)</f>
        <v>8.0519999999999996</v>
      </c>
      <c r="AM86">
        <f>VLOOKUP($A86,'UN Treasury'!$A$1:$BQ$224,_xlfn.XMATCH(AM$1,'UN Treasury'!$A$1:$BQ$1,-1,1),FALSE)</f>
        <v>8.0619999999999994</v>
      </c>
      <c r="AN86">
        <f>VLOOKUP($A86,'UN Treasury'!$A$1:$BQ$224,_xlfn.XMATCH(AN$1,'UN Treasury'!$A$1:$BQ$1,-1,1),FALSE)</f>
        <v>8.0690000000000008</v>
      </c>
      <c r="AO86">
        <f>VLOOKUP($A86,'UN Treasury'!$A$1:$BQ$224,_xlfn.XMATCH(AO$1,'UN Treasury'!$A$1:$BQ$1,-1,1),FALSE)</f>
        <v>8.0719999999999992</v>
      </c>
      <c r="AP86">
        <f>VLOOKUP($A86,'UN Treasury'!$A$1:$BQ$224,_xlfn.XMATCH(AP$1,'UN Treasury'!$A$1:$BQ$1,-1,1),FALSE)</f>
        <v>8.0850000000000009</v>
      </c>
      <c r="AQ86">
        <f>VLOOKUP($A86,'UN Treasury'!$A$1:$BQ$224,_xlfn.XMATCH(AQ$1,'UN Treasury'!$A$1:$BQ$1,-1,1),FALSE)</f>
        <v>8.0739999999999998</v>
      </c>
      <c r="AR86">
        <f>VLOOKUP($A86,'UN Treasury'!$A$1:$BQ$224,_xlfn.XMATCH(AR$1,'UN Treasury'!$A$1:$BQ$1,-1,1),FALSE)</f>
        <v>8.0850000000000009</v>
      </c>
      <c r="AS86">
        <f>VLOOKUP($A86,'UN Treasury'!$A$1:$BQ$224,_xlfn.XMATCH(AS$1,'UN Treasury'!$A$1:$BQ$1,-1,1),FALSE)</f>
        <v>8.0459999999999994</v>
      </c>
      <c r="AT86">
        <f>VLOOKUP($A86,'UN Treasury'!$A$1:$BQ$224,_xlfn.XMATCH(AT$1,'UN Treasury'!$A$1:$BQ$1,-1,1),FALSE)</f>
        <v>8.0069999999999997</v>
      </c>
      <c r="AU86">
        <f>VLOOKUP($A86,'UN Treasury'!$A$1:$BQ$224,_xlfn.XMATCH(AU$1,'UN Treasury'!$A$1:$BQ$1,-1,1),FALSE)</f>
        <v>8.0719999999999992</v>
      </c>
      <c r="AV86">
        <f>VLOOKUP($A86,'UN Treasury'!$A$1:$BQ$224,_xlfn.XMATCH(AV$1,'UN Treasury'!$A$1:$BQ$1,-1,1),FALSE)</f>
        <v>8.0850000000000009</v>
      </c>
      <c r="AW86">
        <f>VLOOKUP($A86,'UN Treasury'!$A$1:$BQ$224,_xlfn.XMATCH(AW$1,'UN Treasury'!$A$1:$BQ$1,-1,1),FALSE)</f>
        <v>8.0850000000000009</v>
      </c>
      <c r="AX86">
        <f>VLOOKUP($A86,'UN Treasury'!$A$1:$BQ$224,_xlfn.XMATCH(AX$1,'UN Treasury'!$A$1:$BQ$1,-1,1),FALSE)</f>
        <v>8.0790000000000006</v>
      </c>
      <c r="AY86">
        <f>VLOOKUP($A86,'UN Treasury'!$A$1:$BQ$224,_xlfn.XMATCH(AY$1,'UN Treasury'!$A$1:$BQ$1,-1,1),FALSE)</f>
        <v>8.0850000000000009</v>
      </c>
      <c r="AZ86">
        <f>VLOOKUP($A86,'UN Treasury'!$A$1:$BQ$224,_xlfn.XMATCH(AZ$1,'UN Treasury'!$A$1:$BQ$1,-1,1),FALSE)</f>
        <v>8.0850000000000009</v>
      </c>
      <c r="BA86">
        <f>VLOOKUP($A86,'UN Treasury'!$A$1:$BQ$224,_xlfn.XMATCH(BA$1,'UN Treasury'!$A$1:$BQ$1,-1,1),FALSE)</f>
        <v>8.0850000000000009</v>
      </c>
      <c r="BB86">
        <f>VLOOKUP($A86,'UN Treasury'!$A$1:$BQ$224,_xlfn.XMATCH(BB$1,'UN Treasury'!$A$1:$BQ$1,-1,1),FALSE)</f>
        <v>8.0619999999999994</v>
      </c>
      <c r="BC86">
        <f>VLOOKUP($A86,'UN Treasury'!$A$1:$BQ$224,_xlfn.XMATCH(BC$1,'UN Treasury'!$A$1:$BQ$1,-1,1),FALSE)</f>
        <v>8.0489999999999995</v>
      </c>
      <c r="BD86">
        <f>VLOOKUP($A86,'UN Treasury'!$A$1:$BQ$224,_xlfn.XMATCH(BD$1,'UN Treasury'!$A$1:$BQ$1,-1,1),FALSE)</f>
        <v>8.0239999999999991</v>
      </c>
      <c r="BE86">
        <f>VLOOKUP($A86,'UN Treasury'!$A$1:$BQ$224,_xlfn.XMATCH(BE$1,'UN Treasury'!$A$1:$BQ$1,-1,1),FALSE)</f>
        <v>8.0220000000000002</v>
      </c>
      <c r="BF86">
        <f>VLOOKUP($A86,'UN Treasury'!$A$1:$BQ$224,_xlfn.XMATCH(BF$1,'UN Treasury'!$A$1:$BQ$1,-1,1),FALSE)</f>
        <v>8.0250000000000004</v>
      </c>
      <c r="BG86">
        <f>VLOOKUP($A86,'UN Treasury'!$A$1:$BQ$224,_xlfn.XMATCH(BG$1,'UN Treasury'!$A$1:$BQ$1,-1,1),FALSE)</f>
        <v>8.0039999999999996</v>
      </c>
      <c r="BH86">
        <f>VLOOKUP($A86,'UN Treasury'!$A$1:$BQ$224,_xlfn.XMATCH(BH$1,'UN Treasury'!$A$1:$BQ$1,-1,1),FALSE)</f>
        <v>8.0039999999999996</v>
      </c>
      <c r="BI86">
        <f>VLOOKUP($A86,'UN Treasury'!$A$1:$BQ$224,_xlfn.XMATCH(BI$1,'UN Treasury'!$A$1:$BQ$1,-1,1),FALSE)</f>
        <v>8.0050000000000008</v>
      </c>
      <c r="BJ86">
        <f>VLOOKUP($A86,'UN Treasury'!$A$1:$BQ$224,_xlfn.XMATCH(BJ$1,'UN Treasury'!$A$1:$BQ$1,-1,1),FALSE)</f>
        <v>7.9909999999999997</v>
      </c>
      <c r="BK86">
        <f>VLOOKUP($A86,'UN Treasury'!$A$1:$BQ$224,_xlfn.XMATCH(BK$1,'UN Treasury'!$A$1:$BQ$1,-1,1),FALSE)</f>
        <v>7.9939999999999998</v>
      </c>
      <c r="BL86">
        <f>VLOOKUP($A86,'UN Treasury'!$A$1:$BQ$224,_xlfn.XMATCH(BL$1,'UN Treasury'!$A$1:$BQ$1,-1,1),FALSE)</f>
        <v>7.9950000000000001</v>
      </c>
      <c r="BM86">
        <f>VLOOKUP($A86,'UN Treasury'!$A$1:$BQ$224,_xlfn.XMATCH(BM$1,'UN Treasury'!$A$1:$BQ$1,-1,1),FALSE)</f>
        <v>7.9950000000000001</v>
      </c>
      <c r="BN86">
        <f>VLOOKUP($A86,'UN Treasury'!$A$1:$BQ$224,_xlfn.XMATCH(BN$1,'UN Treasury'!$A$1:$BQ$1,-1,1),FALSE)</f>
        <v>8.0079999999999991</v>
      </c>
      <c r="BO86">
        <f>VLOOKUP($A86,'UN Treasury'!$A$1:$BQ$224,_xlfn.XMATCH(BO$1,'UN Treasury'!$A$1:$BQ$1,-1,1),FALSE)</f>
        <v>7.9870000000000001</v>
      </c>
      <c r="BP86">
        <f>VLOOKUP($A86,'UN Treasury'!$A$1:$BQ$224,_xlfn.XMATCH(BP$1,'UN Treasury'!$A$1:$BQ$1,-1,1),FALSE)</f>
        <v>7.9850000000000003</v>
      </c>
      <c r="BQ86">
        <f>VLOOKUP($A86,'UN Treasury'!$A$1:$BQ$224,_xlfn.XMATCH(BQ$1,'UN Treasury'!$A$1:$BQ$1,-1,1),FALSE)</f>
        <v>7.9779999999999998</v>
      </c>
    </row>
    <row r="87" spans="1:69" x14ac:dyDescent="0.25">
      <c r="A87" t="s">
        <v>196</v>
      </c>
      <c r="B87">
        <f>VLOOKUP($A87,'UN Treasury'!$A$1:$BQ$224,_xlfn.XMATCH(B$1,'UN Treasury'!$A$1:$BQ$1,-1,1),FALSE)</f>
        <v>40.082999999999998</v>
      </c>
      <c r="C87">
        <f>VLOOKUP($A87,'UN Treasury'!$A$1:$BQ$224,_xlfn.XMATCH(C$1,'UN Treasury'!$A$1:$BQ$1,-1,1),FALSE)</f>
        <v>39.841000000000001</v>
      </c>
      <c r="D87">
        <f>VLOOKUP($A87,'UN Treasury'!$A$1:$BQ$224,_xlfn.XMATCH(D$1,'UN Treasury'!$A$1:$BQ$1,-1,1),FALSE)</f>
        <v>39.841000000000001</v>
      </c>
      <c r="E87">
        <f>VLOOKUP($A87,'UN Treasury'!$A$1:$BQ$224,_xlfn.XMATCH(E$1,'UN Treasury'!$A$1:$BQ$1,-1,1),FALSE)</f>
        <v>39.841000000000001</v>
      </c>
      <c r="F87">
        <f>VLOOKUP($A87,'UN Treasury'!$A$1:$BQ$224,_xlfn.XMATCH(F$1,'UN Treasury'!$A$1:$BQ$1,-1,1),FALSE)</f>
        <v>39.841000000000001</v>
      </c>
      <c r="G87">
        <f>VLOOKUP($A87,'UN Treasury'!$A$1:$BQ$224,_xlfn.XMATCH(G$1,'UN Treasury'!$A$1:$BQ$1,-1,1),FALSE)</f>
        <v>39.508000000000003</v>
      </c>
      <c r="H87">
        <f>VLOOKUP($A87,'UN Treasury'!$A$1:$BQ$224,_xlfn.XMATCH(H$1,'UN Treasury'!$A$1:$BQ$1,-1,1),FALSE)</f>
        <v>39.505000000000003</v>
      </c>
      <c r="I87">
        <f>VLOOKUP($A87,'UN Treasury'!$A$1:$BQ$224,_xlfn.XMATCH(I$1,'UN Treasury'!$A$1:$BQ$1,-1,1),FALSE)</f>
        <v>39.566000000000003</v>
      </c>
      <c r="J87">
        <f>VLOOKUP($A87,'UN Treasury'!$A$1:$BQ$224,_xlfn.XMATCH(J$1,'UN Treasury'!$A$1:$BQ$1,-1,1),FALSE)</f>
        <v>39.545999999999999</v>
      </c>
      <c r="K87">
        <f>VLOOKUP($A87,'UN Treasury'!$A$1:$BQ$224,_xlfn.XMATCH(K$1,'UN Treasury'!$A$1:$BQ$1,-1,1),FALSE)</f>
        <v>39.770000000000003</v>
      </c>
      <c r="L87">
        <f>VLOOKUP($A87,'UN Treasury'!$A$1:$BQ$224,_xlfn.XMATCH(L$1,'UN Treasury'!$A$1:$BQ$1,-1,1),FALSE)</f>
        <v>39.880000000000003</v>
      </c>
      <c r="M87">
        <f>VLOOKUP($A87,'UN Treasury'!$A$1:$BQ$224,_xlfn.XMATCH(M$1,'UN Treasury'!$A$1:$BQ$1,-1,1),FALSE)</f>
        <v>39.89</v>
      </c>
      <c r="N87">
        <f>VLOOKUP($A87,'UN Treasury'!$A$1:$BQ$224,_xlfn.XMATCH(N$1,'UN Treasury'!$A$1:$BQ$1,-1,1),FALSE)</f>
        <v>39.880000000000003</v>
      </c>
      <c r="O87">
        <f>VLOOKUP($A87,'UN Treasury'!$A$1:$BQ$224,_xlfn.XMATCH(O$1,'UN Treasury'!$A$1:$BQ$1,-1,1),FALSE)</f>
        <v>39.79</v>
      </c>
      <c r="P87">
        <f>VLOOKUP($A87,'UN Treasury'!$A$1:$BQ$224,_xlfn.XMATCH(P$1,'UN Treasury'!$A$1:$BQ$1,-1,1),FALSE)</f>
        <v>39.590000000000003</v>
      </c>
      <c r="Q87">
        <f>VLOOKUP($A87,'UN Treasury'!$A$1:$BQ$224,_xlfn.XMATCH(Q$1,'UN Treasury'!$A$1:$BQ$1,-1,1),FALSE)</f>
        <v>39.659999999999997</v>
      </c>
      <c r="R87">
        <f>VLOOKUP($A87,'UN Treasury'!$A$1:$BQ$224,_xlfn.XMATCH(R$1,'UN Treasury'!$A$1:$BQ$1,-1,1),FALSE)</f>
        <v>39.71</v>
      </c>
      <c r="S87">
        <f>VLOOKUP($A87,'UN Treasury'!$A$1:$BQ$224,_xlfn.XMATCH(S$1,'UN Treasury'!$A$1:$BQ$1,-1,1),FALSE)</f>
        <v>39.78</v>
      </c>
      <c r="T87">
        <f>VLOOKUP($A87,'UN Treasury'!$A$1:$BQ$224,_xlfn.XMATCH(T$1,'UN Treasury'!$A$1:$BQ$1,-1,1),FALSE)</f>
        <v>39.92</v>
      </c>
      <c r="U87">
        <f>VLOOKUP($A87,'UN Treasury'!$A$1:$BQ$224,_xlfn.XMATCH(U$1,'UN Treasury'!$A$1:$BQ$1,-1,1),FALSE)</f>
        <v>39.76</v>
      </c>
      <c r="V87">
        <f>VLOOKUP($A87,'UN Treasury'!$A$1:$BQ$224,_xlfn.XMATCH(V$1,'UN Treasury'!$A$1:$BQ$1,-1,1),FALSE)</f>
        <v>39.630000000000003</v>
      </c>
      <c r="W87">
        <f>VLOOKUP($A87,'UN Treasury'!$A$1:$BQ$224,_xlfn.XMATCH(W$1,'UN Treasury'!$A$1:$BQ$1,-1,1),FALSE)</f>
        <v>39.729999999999997</v>
      </c>
      <c r="X87">
        <f>VLOOKUP($A87,'UN Treasury'!$A$1:$BQ$224,_xlfn.XMATCH(X$1,'UN Treasury'!$A$1:$BQ$1,-1,1),FALSE)</f>
        <v>39.54</v>
      </c>
      <c r="Y87">
        <f>VLOOKUP($A87,'UN Treasury'!$A$1:$BQ$224,_xlfn.XMATCH(Y$1,'UN Treasury'!$A$1:$BQ$1,-1,1),FALSE)</f>
        <v>39.590000000000003</v>
      </c>
      <c r="Z87">
        <f>VLOOKUP($A87,'UN Treasury'!$A$1:$BQ$224,_xlfn.XMATCH(Z$1,'UN Treasury'!$A$1:$BQ$1,-1,1),FALSE)</f>
        <v>39.61</v>
      </c>
      <c r="AA87">
        <f>VLOOKUP($A87,'UN Treasury'!$A$1:$BQ$224,_xlfn.XMATCH(AA$1,'UN Treasury'!$A$1:$BQ$1,-1,1),FALSE)</f>
        <v>39.549999999999997</v>
      </c>
      <c r="AB87">
        <f>VLOOKUP($A87,'UN Treasury'!$A$1:$BQ$224,_xlfn.XMATCH(AB$1,'UN Treasury'!$A$1:$BQ$1,-1,1),FALSE)</f>
        <v>39.24</v>
      </c>
      <c r="AC87">
        <f>VLOOKUP($A87,'UN Treasury'!$A$1:$BQ$224,_xlfn.XMATCH(AC$1,'UN Treasury'!$A$1:$BQ$1,-1,1),FALSE)</f>
        <v>39.729999999999997</v>
      </c>
      <c r="AD87">
        <f>VLOOKUP($A87,'UN Treasury'!$A$1:$BQ$224,_xlfn.XMATCH(AD$1,'UN Treasury'!$A$1:$BQ$1,-1,1),FALSE)</f>
        <v>39.57</v>
      </c>
      <c r="AE87">
        <f>VLOOKUP($A87,'UN Treasury'!$A$1:$BQ$224,_xlfn.XMATCH(AE$1,'UN Treasury'!$A$1:$BQ$1,-1,1),FALSE)</f>
        <v>39.81</v>
      </c>
      <c r="AF87">
        <f>VLOOKUP($A87,'UN Treasury'!$A$1:$BQ$224,_xlfn.XMATCH(AF$1,'UN Treasury'!$A$1:$BQ$1,-1,1),FALSE)</f>
        <v>40.26</v>
      </c>
      <c r="AG87">
        <f>VLOOKUP($A87,'UN Treasury'!$A$1:$BQ$224,_xlfn.XMATCH(AG$1,'UN Treasury'!$A$1:$BQ$1,-1,1),FALSE)</f>
        <v>39.369999999999997</v>
      </c>
      <c r="AH87">
        <f>VLOOKUP($A87,'UN Treasury'!$A$1:$BQ$224,_xlfn.XMATCH(AH$1,'UN Treasury'!$A$1:$BQ$1,-1,1),FALSE)</f>
        <v>39.4</v>
      </c>
      <c r="AI87">
        <f>VLOOKUP($A87,'UN Treasury'!$A$1:$BQ$224,_xlfn.XMATCH(AI$1,'UN Treasury'!$A$1:$BQ$1,-1,1),FALSE)</f>
        <v>39.21</v>
      </c>
      <c r="AJ87">
        <f>VLOOKUP($A87,'UN Treasury'!$A$1:$BQ$224,_xlfn.XMATCH(AJ$1,'UN Treasury'!$A$1:$BQ$1,-1,1),FALSE)</f>
        <v>37.9</v>
      </c>
      <c r="AK87">
        <f>VLOOKUP($A87,'UN Treasury'!$A$1:$BQ$224,_xlfn.XMATCH(AK$1,'UN Treasury'!$A$1:$BQ$1,-1,1),FALSE)</f>
        <v>37.840000000000003</v>
      </c>
      <c r="AL87">
        <f>VLOOKUP($A87,'UN Treasury'!$A$1:$BQ$224,_xlfn.XMATCH(AL$1,'UN Treasury'!$A$1:$BQ$1,-1,1),FALSE)</f>
        <v>37.69</v>
      </c>
      <c r="AM87">
        <f>VLOOKUP($A87,'UN Treasury'!$A$1:$BQ$224,_xlfn.XMATCH(AM$1,'UN Treasury'!$A$1:$BQ$1,-1,1),FALSE)</f>
        <v>34.92</v>
      </c>
      <c r="AN87">
        <f>VLOOKUP($A87,'UN Treasury'!$A$1:$BQ$224,_xlfn.XMATCH(AN$1,'UN Treasury'!$A$1:$BQ$1,-1,1),FALSE)</f>
        <v>34.26</v>
      </c>
      <c r="AO87">
        <f>VLOOKUP($A87,'UN Treasury'!$A$1:$BQ$224,_xlfn.XMATCH(AO$1,'UN Treasury'!$A$1:$BQ$1,-1,1),FALSE)</f>
        <v>34.15</v>
      </c>
      <c r="AP87">
        <f>VLOOKUP($A87,'UN Treasury'!$A$1:$BQ$224,_xlfn.XMATCH(AP$1,'UN Treasury'!$A$1:$BQ$1,-1,1),FALSE)</f>
        <v>34.130000000000003</v>
      </c>
      <c r="AQ87">
        <f>VLOOKUP($A87,'UN Treasury'!$A$1:$BQ$224,_xlfn.XMATCH(AQ$1,'UN Treasury'!$A$1:$BQ$1,-1,1),FALSE)</f>
        <v>34.869999999999997</v>
      </c>
      <c r="AR87">
        <f>VLOOKUP($A87,'UN Treasury'!$A$1:$BQ$224,_xlfn.XMATCH(AR$1,'UN Treasury'!$A$1:$BQ$1,-1,1),FALSE)</f>
        <v>35.380000000000003</v>
      </c>
      <c r="AS87">
        <f>VLOOKUP($A87,'UN Treasury'!$A$1:$BQ$224,_xlfn.XMATCH(AS$1,'UN Treasury'!$A$1:$BQ$1,-1,1),FALSE)</f>
        <v>36.299999999999997</v>
      </c>
      <c r="AT87">
        <f>VLOOKUP($A87,'UN Treasury'!$A$1:$BQ$224,_xlfn.XMATCH(AT$1,'UN Treasury'!$A$1:$BQ$1,-1,1),FALSE)</f>
        <v>37.68</v>
      </c>
      <c r="AU87">
        <f>VLOOKUP($A87,'UN Treasury'!$A$1:$BQ$224,_xlfn.XMATCH(AU$1,'UN Treasury'!$A$1:$BQ$1,-1,1),FALSE)</f>
        <v>37.79</v>
      </c>
      <c r="AV87">
        <f>VLOOKUP($A87,'UN Treasury'!$A$1:$BQ$224,_xlfn.XMATCH(AV$1,'UN Treasury'!$A$1:$BQ$1,-1,1),FALSE)</f>
        <v>37.630000000000003</v>
      </c>
      <c r="AW87">
        <f>VLOOKUP($A87,'UN Treasury'!$A$1:$BQ$224,_xlfn.XMATCH(AW$1,'UN Treasury'!$A$1:$BQ$1,-1,1),FALSE)</f>
        <v>37.590000000000003</v>
      </c>
      <c r="AX87">
        <f>VLOOKUP($A87,'UN Treasury'!$A$1:$BQ$224,_xlfn.XMATCH(AX$1,'UN Treasury'!$A$1:$BQ$1,-1,1),FALSE)</f>
        <v>37.01</v>
      </c>
      <c r="AY87">
        <f>VLOOKUP($A87,'UN Treasury'!$A$1:$BQ$224,_xlfn.XMATCH(AY$1,'UN Treasury'!$A$1:$BQ$1,-1,1),FALSE)</f>
        <v>37.145000000000003</v>
      </c>
      <c r="AZ87">
        <f>VLOOKUP($A87,'UN Treasury'!$A$1:$BQ$224,_xlfn.XMATCH(AZ$1,'UN Treasury'!$A$1:$BQ$1,-1,1),FALSE)</f>
        <v>36.29</v>
      </c>
      <c r="BA87">
        <f>VLOOKUP($A87,'UN Treasury'!$A$1:$BQ$224,_xlfn.XMATCH(BA$1,'UN Treasury'!$A$1:$BQ$1,-1,1),FALSE)</f>
        <v>36.270000000000003</v>
      </c>
      <c r="BB87">
        <f>VLOOKUP($A87,'UN Treasury'!$A$1:$BQ$224,_xlfn.XMATCH(BB$1,'UN Treasury'!$A$1:$BQ$1,-1,1),FALSE)</f>
        <v>36.21</v>
      </c>
      <c r="BC87">
        <f>VLOOKUP($A87,'UN Treasury'!$A$1:$BQ$224,_xlfn.XMATCH(BC$1,'UN Treasury'!$A$1:$BQ$1,-1,1),FALSE)</f>
        <v>36.21</v>
      </c>
      <c r="BD87">
        <f>VLOOKUP($A87,'UN Treasury'!$A$1:$BQ$224,_xlfn.XMATCH(BD$1,'UN Treasury'!$A$1:$BQ$1,-1,1),FALSE)</f>
        <v>36.15</v>
      </c>
      <c r="BE87">
        <f>VLOOKUP($A87,'UN Treasury'!$A$1:$BQ$224,_xlfn.XMATCH(BE$1,'UN Treasury'!$A$1:$BQ$1,-1,1),FALSE)</f>
        <v>36.14</v>
      </c>
      <c r="BF87">
        <f>VLOOKUP($A87,'UN Treasury'!$A$1:$BQ$224,_xlfn.XMATCH(BF$1,'UN Treasury'!$A$1:$BQ$1,-1,1),FALSE)</f>
        <v>36.01</v>
      </c>
      <c r="BG87">
        <f>VLOOKUP($A87,'UN Treasury'!$A$1:$BQ$224,_xlfn.XMATCH(BG$1,'UN Treasury'!$A$1:$BQ$1,-1,1),FALSE)</f>
        <v>36.03</v>
      </c>
      <c r="BH87">
        <f>VLOOKUP($A87,'UN Treasury'!$A$1:$BQ$224,_xlfn.XMATCH(BH$1,'UN Treasury'!$A$1:$BQ$1,-1,1),FALSE)</f>
        <v>36.04</v>
      </c>
      <c r="BI87">
        <f>VLOOKUP($A87,'UN Treasury'!$A$1:$BQ$224,_xlfn.XMATCH(BI$1,'UN Treasury'!$A$1:$BQ$1,-1,1),FALSE)</f>
        <v>36.04</v>
      </c>
      <c r="BJ87">
        <f>VLOOKUP($A87,'UN Treasury'!$A$1:$BQ$224,_xlfn.XMATCH(BJ$1,'UN Treasury'!$A$1:$BQ$1,-1,1),FALSE)</f>
        <v>35.979999999999997</v>
      </c>
      <c r="BK87">
        <f>VLOOKUP($A87,'UN Treasury'!$A$1:$BQ$224,_xlfn.XMATCH(BK$1,'UN Treasury'!$A$1:$BQ$1,-1,1),FALSE)</f>
        <v>36.04</v>
      </c>
      <c r="BL87">
        <f>VLOOKUP($A87,'UN Treasury'!$A$1:$BQ$224,_xlfn.XMATCH(BL$1,'UN Treasury'!$A$1:$BQ$1,-1,1),FALSE)</f>
        <v>35.85</v>
      </c>
      <c r="BM87">
        <f>VLOOKUP($A87,'UN Treasury'!$A$1:$BQ$224,_xlfn.XMATCH(BM$1,'UN Treasury'!$A$1:$BQ$1,-1,1),FALSE)</f>
        <v>35.78</v>
      </c>
      <c r="BN87">
        <f>VLOOKUP($A87,'UN Treasury'!$A$1:$BQ$224,_xlfn.XMATCH(BN$1,'UN Treasury'!$A$1:$BQ$1,-1,1),FALSE)</f>
        <v>35.880000000000003</v>
      </c>
      <c r="BO87">
        <f>VLOOKUP($A87,'UN Treasury'!$A$1:$BQ$224,_xlfn.XMATCH(BO$1,'UN Treasury'!$A$1:$BQ$1,-1,1),FALSE)</f>
        <v>35.880000000000003</v>
      </c>
      <c r="BP87">
        <f>VLOOKUP($A87,'UN Treasury'!$A$1:$BQ$224,_xlfn.XMATCH(BP$1,'UN Treasury'!$A$1:$BQ$1,-1,1),FALSE)</f>
        <v>36.07</v>
      </c>
      <c r="BQ87">
        <f>VLOOKUP($A87,'UN Treasury'!$A$1:$BQ$224,_xlfn.XMATCH(BQ$1,'UN Treasury'!$A$1:$BQ$1,-1,1),FALSE)</f>
        <v>36.29</v>
      </c>
    </row>
    <row r="88" spans="1:69" x14ac:dyDescent="0.25">
      <c r="A88" t="s">
        <v>198</v>
      </c>
      <c r="B88">
        <f>VLOOKUP($A88,'UN Treasury'!$A$1:$BQ$224,_xlfn.XMATCH(B$1,'UN Treasury'!$A$1:$BQ$1,-1,1),FALSE)</f>
        <v>46.984999999999999</v>
      </c>
      <c r="C88">
        <f>VLOOKUP($A88,'UN Treasury'!$A$1:$BQ$224,_xlfn.XMATCH(C$1,'UN Treasury'!$A$1:$BQ$1,-1,1),FALSE)</f>
        <v>47.076000000000001</v>
      </c>
      <c r="D88">
        <f>VLOOKUP($A88,'UN Treasury'!$A$1:$BQ$224,_xlfn.XMATCH(D$1,'UN Treasury'!$A$1:$BQ$1,-1,1),FALSE)</f>
        <v>47.72</v>
      </c>
      <c r="E88">
        <f>VLOOKUP($A88,'UN Treasury'!$A$1:$BQ$224,_xlfn.XMATCH(E$1,'UN Treasury'!$A$1:$BQ$1,-1,1),FALSE)</f>
        <v>46.637999999999998</v>
      </c>
      <c r="F88">
        <f>VLOOKUP($A88,'UN Treasury'!$A$1:$BQ$224,_xlfn.XMATCH(F$1,'UN Treasury'!$A$1:$BQ$1,-1,1),FALSE)</f>
        <v>46.41</v>
      </c>
      <c r="G88">
        <f>VLOOKUP($A88,'UN Treasury'!$A$1:$BQ$224,_xlfn.XMATCH(G$1,'UN Treasury'!$A$1:$BQ$1,-1,1),FALSE)</f>
        <v>45.756</v>
      </c>
      <c r="H88">
        <f>VLOOKUP($A88,'UN Treasury'!$A$1:$BQ$224,_xlfn.XMATCH(H$1,'UN Treasury'!$A$1:$BQ$1,-1,1),FALSE)</f>
        <v>45.728999999999999</v>
      </c>
      <c r="I88">
        <f>VLOOKUP($A88,'UN Treasury'!$A$1:$BQ$224,_xlfn.XMATCH(I$1,'UN Treasury'!$A$1:$BQ$1,-1,1),FALSE)</f>
        <v>46.436</v>
      </c>
      <c r="J88">
        <f>VLOOKUP($A88,'UN Treasury'!$A$1:$BQ$224,_xlfn.XMATCH(J$1,'UN Treasury'!$A$1:$BQ$1,-1,1),FALSE)</f>
        <v>45.771000000000001</v>
      </c>
      <c r="K88">
        <f>VLOOKUP($A88,'UN Treasury'!$A$1:$BQ$224,_xlfn.XMATCH(K$1,'UN Treasury'!$A$1:$BQ$1,-1,1),FALSE)</f>
        <v>45.716999999999999</v>
      </c>
      <c r="L88">
        <f>VLOOKUP($A88,'UN Treasury'!$A$1:$BQ$224,_xlfn.XMATCH(L$1,'UN Treasury'!$A$1:$BQ$1,-1,1),FALSE)</f>
        <v>45.139000000000003</v>
      </c>
      <c r="M88">
        <f>VLOOKUP($A88,'UN Treasury'!$A$1:$BQ$224,_xlfn.XMATCH(M$1,'UN Treasury'!$A$1:$BQ$1,-1,1),FALSE)</f>
        <v>45.406999999999996</v>
      </c>
      <c r="N88">
        <f>VLOOKUP($A88,'UN Treasury'!$A$1:$BQ$224,_xlfn.XMATCH(N$1,'UN Treasury'!$A$1:$BQ$1,-1,1),FALSE)</f>
        <v>45.27</v>
      </c>
      <c r="O88">
        <f>VLOOKUP($A88,'UN Treasury'!$A$1:$BQ$224,_xlfn.XMATCH(O$1,'UN Treasury'!$A$1:$BQ$1,-1,1),FALSE)</f>
        <v>45.268999999999998</v>
      </c>
      <c r="P88">
        <f>VLOOKUP($A88,'UN Treasury'!$A$1:$BQ$224,_xlfn.XMATCH(P$1,'UN Treasury'!$A$1:$BQ$1,-1,1),FALSE)</f>
        <v>45.347999999999999</v>
      </c>
      <c r="Q88">
        <f>VLOOKUP($A88,'UN Treasury'!$A$1:$BQ$224,_xlfn.XMATCH(Q$1,'UN Treasury'!$A$1:$BQ$1,-1,1),FALSE)</f>
        <v>45.731999999999999</v>
      </c>
      <c r="R88">
        <f>VLOOKUP($A88,'UN Treasury'!$A$1:$BQ$224,_xlfn.XMATCH(R$1,'UN Treasury'!$A$1:$BQ$1,-1,1),FALSE)</f>
        <v>43.758000000000003</v>
      </c>
      <c r="S88">
        <f>VLOOKUP($A88,'UN Treasury'!$A$1:$BQ$224,_xlfn.XMATCH(S$1,'UN Treasury'!$A$1:$BQ$1,-1,1),FALSE)</f>
        <v>44.78</v>
      </c>
      <c r="T88">
        <f>VLOOKUP($A88,'UN Treasury'!$A$1:$BQ$224,_xlfn.XMATCH(T$1,'UN Treasury'!$A$1:$BQ$1,-1,1),FALSE)</f>
        <v>46.119</v>
      </c>
      <c r="U88">
        <f>VLOOKUP($A88,'UN Treasury'!$A$1:$BQ$224,_xlfn.XMATCH(U$1,'UN Treasury'!$A$1:$BQ$1,-1,1),FALSE)</f>
        <v>46.177999999999997</v>
      </c>
      <c r="V88">
        <f>VLOOKUP($A88,'UN Treasury'!$A$1:$BQ$224,_xlfn.XMATCH(V$1,'UN Treasury'!$A$1:$BQ$1,-1,1),FALSE)</f>
        <v>45.954000000000001</v>
      </c>
      <c r="W88">
        <f>VLOOKUP($A88,'UN Treasury'!$A$1:$BQ$224,_xlfn.XMATCH(W$1,'UN Treasury'!$A$1:$BQ$1,-1,1),FALSE)</f>
        <v>46.158000000000001</v>
      </c>
      <c r="X88">
        <f>VLOOKUP($A88,'UN Treasury'!$A$1:$BQ$224,_xlfn.XMATCH(X$1,'UN Treasury'!$A$1:$BQ$1,-1,1),FALSE)</f>
        <v>45.94</v>
      </c>
      <c r="Y88">
        <f>VLOOKUP($A88,'UN Treasury'!$A$1:$BQ$224,_xlfn.XMATCH(Y$1,'UN Treasury'!$A$1:$BQ$1,-1,1),FALSE)</f>
        <v>45.902000000000001</v>
      </c>
      <c r="Z88">
        <f>VLOOKUP($A88,'UN Treasury'!$A$1:$BQ$224,_xlfn.XMATCH(Z$1,'UN Treasury'!$A$1:$BQ$1,-1,1),FALSE)</f>
        <v>45.76</v>
      </c>
      <c r="AA88">
        <f>VLOOKUP($A88,'UN Treasury'!$A$1:$BQ$224,_xlfn.XMATCH(AA$1,'UN Treasury'!$A$1:$BQ$1,-1,1),FALSE)</f>
        <v>48.314999999999998</v>
      </c>
      <c r="AB88">
        <f>VLOOKUP($A88,'UN Treasury'!$A$1:$BQ$224,_xlfn.XMATCH(AB$1,'UN Treasury'!$A$1:$BQ$1,-1,1),FALSE)</f>
        <v>47.216999999999999</v>
      </c>
      <c r="AC88">
        <f>VLOOKUP($A88,'UN Treasury'!$A$1:$BQ$224,_xlfn.XMATCH(AC$1,'UN Treasury'!$A$1:$BQ$1,-1,1),FALSE)</f>
        <v>46.566000000000003</v>
      </c>
      <c r="AD88">
        <f>VLOOKUP($A88,'UN Treasury'!$A$1:$BQ$224,_xlfn.XMATCH(AD$1,'UN Treasury'!$A$1:$BQ$1,-1,1),FALSE)</f>
        <v>46.22</v>
      </c>
      <c r="AE88">
        <f>VLOOKUP($A88,'UN Treasury'!$A$1:$BQ$224,_xlfn.XMATCH(AE$1,'UN Treasury'!$A$1:$BQ$1,-1,1),FALSE)</f>
        <v>46.3</v>
      </c>
      <c r="AF88">
        <f>VLOOKUP($A88,'UN Treasury'!$A$1:$BQ$224,_xlfn.XMATCH(AF$1,'UN Treasury'!$A$1:$BQ$1,-1,1),FALSE)</f>
        <v>46.161000000000001</v>
      </c>
      <c r="AG88">
        <f>VLOOKUP($A88,'UN Treasury'!$A$1:$BQ$224,_xlfn.XMATCH(AG$1,'UN Treasury'!$A$1:$BQ$1,-1,1),FALSE)</f>
        <v>44.244999999999997</v>
      </c>
      <c r="AH88">
        <f>VLOOKUP($A88,'UN Treasury'!$A$1:$BQ$224,_xlfn.XMATCH(AH$1,'UN Treasury'!$A$1:$BQ$1,-1,1),FALSE)</f>
        <v>44.673999999999999</v>
      </c>
      <c r="AI88">
        <f>VLOOKUP($A88,'UN Treasury'!$A$1:$BQ$224,_xlfn.XMATCH(AI$1,'UN Treasury'!$A$1:$BQ$1,-1,1),FALSE)</f>
        <v>44.424999999999997</v>
      </c>
      <c r="AJ88">
        <f>VLOOKUP($A88,'UN Treasury'!$A$1:$BQ$224,_xlfn.XMATCH(AJ$1,'UN Treasury'!$A$1:$BQ$1,-1,1),FALSE)</f>
        <v>45.5</v>
      </c>
      <c r="AK88">
        <f>VLOOKUP($A88,'UN Treasury'!$A$1:$BQ$224,_xlfn.XMATCH(AK$1,'UN Treasury'!$A$1:$BQ$1,-1,1),FALSE)</f>
        <v>44.765999999999998</v>
      </c>
      <c r="AL88">
        <f>VLOOKUP($A88,'UN Treasury'!$A$1:$BQ$224,_xlfn.XMATCH(AL$1,'UN Treasury'!$A$1:$BQ$1,-1,1),FALSE)</f>
        <v>44.994999999999997</v>
      </c>
      <c r="AM88">
        <f>VLOOKUP($A88,'UN Treasury'!$A$1:$BQ$224,_xlfn.XMATCH(AM$1,'UN Treasury'!$A$1:$BQ$1,-1,1),FALSE)</f>
        <v>45.223999999999997</v>
      </c>
      <c r="AN88">
        <f>VLOOKUP($A88,'UN Treasury'!$A$1:$BQ$224,_xlfn.XMATCH(AN$1,'UN Treasury'!$A$1:$BQ$1,-1,1),FALSE)</f>
        <v>45.665999999999997</v>
      </c>
      <c r="AO88">
        <f>VLOOKUP($A88,'UN Treasury'!$A$1:$BQ$224,_xlfn.XMATCH(AO$1,'UN Treasury'!$A$1:$BQ$1,-1,1),FALSE)</f>
        <v>44.878999999999998</v>
      </c>
      <c r="AP88">
        <f>VLOOKUP($A88,'UN Treasury'!$A$1:$BQ$224,_xlfn.XMATCH(AP$1,'UN Treasury'!$A$1:$BQ$1,-1,1),FALSE)</f>
        <v>44.918999999999997</v>
      </c>
      <c r="AQ88">
        <f>VLOOKUP($A88,'UN Treasury'!$A$1:$BQ$224,_xlfn.XMATCH(AQ$1,'UN Treasury'!$A$1:$BQ$1,-1,1),FALSE)</f>
        <v>46.64</v>
      </c>
      <c r="AR88">
        <f>VLOOKUP($A88,'UN Treasury'!$A$1:$BQ$224,_xlfn.XMATCH(AR$1,'UN Treasury'!$A$1:$BQ$1,-1,1),FALSE)</f>
        <v>45.637</v>
      </c>
      <c r="AS88">
        <f>VLOOKUP($A88,'UN Treasury'!$A$1:$BQ$224,_xlfn.XMATCH(AS$1,'UN Treasury'!$A$1:$BQ$1,-1,1),FALSE)</f>
        <v>44.015000000000001</v>
      </c>
      <c r="AT88">
        <f>VLOOKUP($A88,'UN Treasury'!$A$1:$BQ$224,_xlfn.XMATCH(AT$1,'UN Treasury'!$A$1:$BQ$1,-1,1),FALSE)</f>
        <v>43.523000000000003</v>
      </c>
      <c r="AU88">
        <f>VLOOKUP($A88,'UN Treasury'!$A$1:$BQ$224,_xlfn.XMATCH(AU$1,'UN Treasury'!$A$1:$BQ$1,-1,1),FALSE)</f>
        <v>43.640999999999998</v>
      </c>
      <c r="AV88">
        <f>VLOOKUP($A88,'UN Treasury'!$A$1:$BQ$224,_xlfn.XMATCH(AV$1,'UN Treasury'!$A$1:$BQ$1,-1,1),FALSE)</f>
        <v>43.3</v>
      </c>
      <c r="AW88">
        <f>VLOOKUP($A88,'UN Treasury'!$A$1:$BQ$224,_xlfn.XMATCH(AW$1,'UN Treasury'!$A$1:$BQ$1,-1,1),FALSE)</f>
        <v>44.695999999999998</v>
      </c>
      <c r="AX88">
        <f>VLOOKUP($A88,'UN Treasury'!$A$1:$BQ$224,_xlfn.XMATCH(AX$1,'UN Treasury'!$A$1:$BQ$1,-1,1),FALSE)</f>
        <v>44.472999999999999</v>
      </c>
      <c r="AY88">
        <f>VLOOKUP($A88,'UN Treasury'!$A$1:$BQ$224,_xlfn.XMATCH(AY$1,'UN Treasury'!$A$1:$BQ$1,-1,1),FALSE)</f>
        <v>44.448</v>
      </c>
      <c r="AZ88">
        <f>VLOOKUP($A88,'UN Treasury'!$A$1:$BQ$224,_xlfn.XMATCH(AZ$1,'UN Treasury'!$A$1:$BQ$1,-1,1),FALSE)</f>
        <v>43.65</v>
      </c>
      <c r="BA88">
        <f>VLOOKUP($A88,'UN Treasury'!$A$1:$BQ$224,_xlfn.XMATCH(BA$1,'UN Treasury'!$A$1:$BQ$1,-1,1),FALSE)</f>
        <v>42.723999999999997</v>
      </c>
      <c r="BB88">
        <f>VLOOKUP($A88,'UN Treasury'!$A$1:$BQ$224,_xlfn.XMATCH(BB$1,'UN Treasury'!$A$1:$BQ$1,-1,1),FALSE)</f>
        <v>42.244</v>
      </c>
      <c r="BC88">
        <f>VLOOKUP($A88,'UN Treasury'!$A$1:$BQ$224,_xlfn.XMATCH(BC$1,'UN Treasury'!$A$1:$BQ$1,-1,1),FALSE)</f>
        <v>43.871000000000002</v>
      </c>
      <c r="BD88">
        <f>VLOOKUP($A88,'UN Treasury'!$A$1:$BQ$224,_xlfn.XMATCH(BD$1,'UN Treasury'!$A$1:$BQ$1,-1,1),FALSE)</f>
        <v>43.158999999999999</v>
      </c>
      <c r="BE88">
        <f>VLOOKUP($A88,'UN Treasury'!$A$1:$BQ$224,_xlfn.XMATCH(BE$1,'UN Treasury'!$A$1:$BQ$1,-1,1),FALSE)</f>
        <v>43.085000000000001</v>
      </c>
      <c r="BF88">
        <f>VLOOKUP($A88,'UN Treasury'!$A$1:$BQ$224,_xlfn.XMATCH(BF$1,'UN Treasury'!$A$1:$BQ$1,-1,1),FALSE)</f>
        <v>42.820999999999998</v>
      </c>
      <c r="BG88">
        <f>VLOOKUP($A88,'UN Treasury'!$A$1:$BQ$224,_xlfn.XMATCH(BG$1,'UN Treasury'!$A$1:$BQ$1,-1,1),FALSE)</f>
        <v>42.064</v>
      </c>
      <c r="BH88">
        <f>VLOOKUP($A88,'UN Treasury'!$A$1:$BQ$224,_xlfn.XMATCH(BH$1,'UN Treasury'!$A$1:$BQ$1,-1,1),FALSE)</f>
        <v>41.924999999999997</v>
      </c>
      <c r="BI88">
        <f>VLOOKUP($A88,'UN Treasury'!$A$1:$BQ$224,_xlfn.XMATCH(BI$1,'UN Treasury'!$A$1:$BQ$1,-1,1),FALSE)</f>
        <v>42.17</v>
      </c>
      <c r="BJ88">
        <f>VLOOKUP($A88,'UN Treasury'!$A$1:$BQ$224,_xlfn.XMATCH(BJ$1,'UN Treasury'!$A$1:$BQ$1,-1,1),FALSE)</f>
        <v>42.372</v>
      </c>
      <c r="BK88">
        <f>VLOOKUP($A88,'UN Treasury'!$A$1:$BQ$224,_xlfn.XMATCH(BK$1,'UN Treasury'!$A$1:$BQ$1,-1,1),FALSE)</f>
        <v>41.524999999999999</v>
      </c>
      <c r="BL88">
        <f>VLOOKUP($A88,'UN Treasury'!$A$1:$BQ$224,_xlfn.XMATCH(BL$1,'UN Treasury'!$A$1:$BQ$1,-1,1),FALSE)</f>
        <v>39.954999999999998</v>
      </c>
      <c r="BM88">
        <f>VLOOKUP($A88,'UN Treasury'!$A$1:$BQ$224,_xlfn.XMATCH(BM$1,'UN Treasury'!$A$1:$BQ$1,-1,1),FALSE)</f>
        <v>39.881</v>
      </c>
      <c r="BN88">
        <f>VLOOKUP($A88,'UN Treasury'!$A$1:$BQ$224,_xlfn.XMATCH(BN$1,'UN Treasury'!$A$1:$BQ$1,-1,1),FALSE)</f>
        <v>39.375</v>
      </c>
      <c r="BO88">
        <f>VLOOKUP($A88,'UN Treasury'!$A$1:$BQ$224,_xlfn.XMATCH(BO$1,'UN Treasury'!$A$1:$BQ$1,-1,1),FALSE)</f>
        <v>39.326999999999998</v>
      </c>
      <c r="BP88">
        <f>VLOOKUP($A88,'UN Treasury'!$A$1:$BQ$224,_xlfn.XMATCH(BP$1,'UN Treasury'!$A$1:$BQ$1,-1,1),FALSE)</f>
        <v>38.908000000000001</v>
      </c>
      <c r="BQ88">
        <f>VLOOKUP($A88,'UN Treasury'!$A$1:$BQ$224,_xlfn.XMATCH(BQ$1,'UN Treasury'!$A$1:$BQ$1,-1,1),FALSE)</f>
        <v>38.764000000000003</v>
      </c>
    </row>
    <row r="89" spans="1:69" x14ac:dyDescent="0.25">
      <c r="A89" t="s">
        <v>199</v>
      </c>
      <c r="B89">
        <f>VLOOKUP($A89,'UN Treasury'!$A$1:$BQ$224,_xlfn.XMATCH(B$1,'UN Treasury'!$A$1:$BQ$1,-1,1),FALSE)</f>
        <v>15</v>
      </c>
      <c r="C89">
        <f>VLOOKUP($A89,'UN Treasury'!$A$1:$BQ$224,_xlfn.XMATCH(C$1,'UN Treasury'!$A$1:$BQ$1,-1,1),FALSE)</f>
        <v>15</v>
      </c>
      <c r="D89">
        <f>VLOOKUP($A89,'UN Treasury'!$A$1:$BQ$224,_xlfn.XMATCH(D$1,'UN Treasury'!$A$1:$BQ$1,-1,1),FALSE)</f>
        <v>15</v>
      </c>
      <c r="E89">
        <f>VLOOKUP($A89,'UN Treasury'!$A$1:$BQ$224,_xlfn.XMATCH(E$1,'UN Treasury'!$A$1:$BQ$1,-1,1),FALSE)</f>
        <v>15</v>
      </c>
      <c r="F89">
        <f>VLOOKUP($A89,'UN Treasury'!$A$1:$BQ$224,_xlfn.XMATCH(F$1,'UN Treasury'!$A$1:$BQ$1,-1,1),FALSE)</f>
        <v>15</v>
      </c>
      <c r="G89">
        <f>VLOOKUP($A89,'UN Treasury'!$A$1:$BQ$224,_xlfn.XMATCH(G$1,'UN Treasury'!$A$1:$BQ$1,-1,1),FALSE)</f>
        <v>15</v>
      </c>
      <c r="H89">
        <f>VLOOKUP($A89,'UN Treasury'!$A$1:$BQ$224,_xlfn.XMATCH(H$1,'UN Treasury'!$A$1:$BQ$1,-1,1),FALSE)</f>
        <v>15</v>
      </c>
      <c r="I89">
        <f>VLOOKUP($A89,'UN Treasury'!$A$1:$BQ$224,_xlfn.XMATCH(I$1,'UN Treasury'!$A$1:$BQ$1,-1,1),FALSE)</f>
        <v>15</v>
      </c>
      <c r="J89">
        <f>VLOOKUP($A89,'UN Treasury'!$A$1:$BQ$224,_xlfn.XMATCH(J$1,'UN Treasury'!$A$1:$BQ$1,-1,1),FALSE)</f>
        <v>15</v>
      </c>
      <c r="K89">
        <f>VLOOKUP($A89,'UN Treasury'!$A$1:$BQ$224,_xlfn.XMATCH(K$1,'UN Treasury'!$A$1:$BQ$1,-1,1),FALSE)</f>
        <v>15</v>
      </c>
      <c r="L89">
        <f>VLOOKUP($A89,'UN Treasury'!$A$1:$BQ$224,_xlfn.XMATCH(L$1,'UN Treasury'!$A$1:$BQ$1,-1,1),FALSE)</f>
        <v>15</v>
      </c>
      <c r="M89">
        <f>VLOOKUP($A89,'UN Treasury'!$A$1:$BQ$224,_xlfn.XMATCH(M$1,'UN Treasury'!$A$1:$BQ$1,-1,1),FALSE)</f>
        <v>15</v>
      </c>
      <c r="N89">
        <f>VLOOKUP($A89,'UN Treasury'!$A$1:$BQ$224,_xlfn.XMATCH(N$1,'UN Treasury'!$A$1:$BQ$1,-1,1),FALSE)</f>
        <v>15</v>
      </c>
      <c r="O89">
        <f>VLOOKUP($A89,'UN Treasury'!$A$1:$BQ$224,_xlfn.XMATCH(O$1,'UN Treasury'!$A$1:$BQ$1,-1,1),FALSE)</f>
        <v>15</v>
      </c>
      <c r="P89">
        <f>VLOOKUP($A89,'UN Treasury'!$A$1:$BQ$224,_xlfn.XMATCH(P$1,'UN Treasury'!$A$1:$BQ$1,-1,1),FALSE)</f>
        <v>15</v>
      </c>
      <c r="Q89">
        <f>VLOOKUP($A89,'UN Treasury'!$A$1:$BQ$224,_xlfn.XMATCH(Q$1,'UN Treasury'!$A$1:$BQ$1,-1,1),FALSE)</f>
        <v>15</v>
      </c>
      <c r="R89">
        <f>VLOOKUP($A89,'UN Treasury'!$A$1:$BQ$224,_xlfn.XMATCH(R$1,'UN Treasury'!$A$1:$BQ$1,-1,1),FALSE)</f>
        <v>15</v>
      </c>
      <c r="S89">
        <f>VLOOKUP($A89,'UN Treasury'!$A$1:$BQ$224,_xlfn.XMATCH(S$1,'UN Treasury'!$A$1:$BQ$1,-1,1),FALSE)</f>
        <v>15</v>
      </c>
      <c r="T89">
        <f>VLOOKUP($A89,'UN Treasury'!$A$1:$BQ$224,_xlfn.XMATCH(T$1,'UN Treasury'!$A$1:$BQ$1,-1,1),FALSE)</f>
        <v>15</v>
      </c>
      <c r="U89">
        <f>VLOOKUP($A89,'UN Treasury'!$A$1:$BQ$224,_xlfn.XMATCH(U$1,'UN Treasury'!$A$1:$BQ$1,-1,1),FALSE)</f>
        <v>15</v>
      </c>
      <c r="V89">
        <f>VLOOKUP($A89,'UN Treasury'!$A$1:$BQ$224,_xlfn.XMATCH(V$1,'UN Treasury'!$A$1:$BQ$1,-1,1),FALSE)</f>
        <v>15</v>
      </c>
      <c r="W89">
        <f>VLOOKUP($A89,'UN Treasury'!$A$1:$BQ$224,_xlfn.XMATCH(W$1,'UN Treasury'!$A$1:$BQ$1,-1,1),FALSE)</f>
        <v>15</v>
      </c>
      <c r="X89">
        <f>VLOOKUP($A89,'UN Treasury'!$A$1:$BQ$224,_xlfn.XMATCH(X$1,'UN Treasury'!$A$1:$BQ$1,-1,1),FALSE)</f>
        <v>15</v>
      </c>
      <c r="Y89">
        <f>VLOOKUP($A89,'UN Treasury'!$A$1:$BQ$224,_xlfn.XMATCH(Y$1,'UN Treasury'!$A$1:$BQ$1,-1,1),FALSE)</f>
        <v>15</v>
      </c>
      <c r="Z89">
        <f>VLOOKUP($A89,'UN Treasury'!$A$1:$BQ$224,_xlfn.XMATCH(Z$1,'UN Treasury'!$A$1:$BQ$1,-1,1),FALSE)</f>
        <v>15</v>
      </c>
      <c r="AA89">
        <f>VLOOKUP($A89,'UN Treasury'!$A$1:$BQ$224,_xlfn.XMATCH(AA$1,'UN Treasury'!$A$1:$BQ$1,-1,1),FALSE)</f>
        <v>15</v>
      </c>
      <c r="AB89">
        <f>VLOOKUP($A89,'UN Treasury'!$A$1:$BQ$224,_xlfn.XMATCH(AB$1,'UN Treasury'!$A$1:$BQ$1,-1,1),FALSE)</f>
        <v>15</v>
      </c>
      <c r="AC89">
        <f>VLOOKUP($A89,'UN Treasury'!$A$1:$BQ$224,_xlfn.XMATCH(AC$1,'UN Treasury'!$A$1:$BQ$1,-1,1),FALSE)</f>
        <v>15</v>
      </c>
      <c r="AD89">
        <f>VLOOKUP($A89,'UN Treasury'!$A$1:$BQ$224,_xlfn.XMATCH(AD$1,'UN Treasury'!$A$1:$BQ$1,-1,1),FALSE)</f>
        <v>15</v>
      </c>
      <c r="AE89">
        <f>VLOOKUP($A89,'UN Treasury'!$A$1:$BQ$224,_xlfn.XMATCH(AE$1,'UN Treasury'!$A$1:$BQ$1,-1,1),FALSE)</f>
        <v>15</v>
      </c>
      <c r="AF89">
        <f>VLOOKUP($A89,'UN Treasury'!$A$1:$BQ$224,_xlfn.XMATCH(AF$1,'UN Treasury'!$A$1:$BQ$1,-1,1),FALSE)</f>
        <v>15</v>
      </c>
      <c r="AG89">
        <f>VLOOKUP($A89,'UN Treasury'!$A$1:$BQ$224,_xlfn.XMATCH(AG$1,'UN Treasury'!$A$1:$BQ$1,-1,1),FALSE)</f>
        <v>15</v>
      </c>
      <c r="AH89">
        <f>VLOOKUP($A89,'UN Treasury'!$A$1:$BQ$224,_xlfn.XMATCH(AH$1,'UN Treasury'!$A$1:$BQ$1,-1,1),FALSE)</f>
        <v>15</v>
      </c>
      <c r="AI89">
        <f>VLOOKUP($A89,'UN Treasury'!$A$1:$BQ$224,_xlfn.XMATCH(AI$1,'UN Treasury'!$A$1:$BQ$1,-1,1),FALSE)</f>
        <v>15</v>
      </c>
      <c r="AJ89">
        <f>VLOOKUP($A89,'UN Treasury'!$A$1:$BQ$224,_xlfn.XMATCH(AJ$1,'UN Treasury'!$A$1:$BQ$1,-1,1),FALSE)</f>
        <v>15</v>
      </c>
      <c r="AK89">
        <f>VLOOKUP($A89,'UN Treasury'!$A$1:$BQ$224,_xlfn.XMATCH(AK$1,'UN Treasury'!$A$1:$BQ$1,-1,1),FALSE)</f>
        <v>15</v>
      </c>
      <c r="AL89">
        <f>VLOOKUP($A89,'UN Treasury'!$A$1:$BQ$224,_xlfn.XMATCH(AL$1,'UN Treasury'!$A$1:$BQ$1,-1,1),FALSE)</f>
        <v>15</v>
      </c>
      <c r="AM89">
        <f>VLOOKUP($A89,'UN Treasury'!$A$1:$BQ$224,_xlfn.XMATCH(AM$1,'UN Treasury'!$A$1:$BQ$1,-1,1),FALSE)</f>
        <v>15</v>
      </c>
      <c r="AN89">
        <f>VLOOKUP($A89,'UN Treasury'!$A$1:$BQ$224,_xlfn.XMATCH(AN$1,'UN Treasury'!$A$1:$BQ$1,-1,1),FALSE)</f>
        <v>15</v>
      </c>
      <c r="AO89">
        <f>VLOOKUP($A89,'UN Treasury'!$A$1:$BQ$224,_xlfn.XMATCH(AO$1,'UN Treasury'!$A$1:$BQ$1,-1,1),FALSE)</f>
        <v>15</v>
      </c>
      <c r="AP89">
        <f>VLOOKUP($A89,'UN Treasury'!$A$1:$BQ$224,_xlfn.XMATCH(AP$1,'UN Treasury'!$A$1:$BQ$1,-1,1),FALSE)</f>
        <v>15</v>
      </c>
      <c r="AQ89">
        <f>VLOOKUP($A89,'UN Treasury'!$A$1:$BQ$224,_xlfn.XMATCH(AQ$1,'UN Treasury'!$A$1:$BQ$1,-1,1),FALSE)</f>
        <v>15</v>
      </c>
      <c r="AR89">
        <f>VLOOKUP($A89,'UN Treasury'!$A$1:$BQ$224,_xlfn.XMATCH(AR$1,'UN Treasury'!$A$1:$BQ$1,-1,1),FALSE)</f>
        <v>15</v>
      </c>
      <c r="AS89">
        <f>VLOOKUP($A89,'UN Treasury'!$A$1:$BQ$224,_xlfn.XMATCH(AS$1,'UN Treasury'!$A$1:$BQ$1,-1,1),FALSE)</f>
        <v>15</v>
      </c>
      <c r="AT89">
        <f>VLOOKUP($A89,'UN Treasury'!$A$1:$BQ$224,_xlfn.XMATCH(AT$1,'UN Treasury'!$A$1:$BQ$1,-1,1),FALSE)</f>
        <v>15</v>
      </c>
      <c r="AU89">
        <f>VLOOKUP($A89,'UN Treasury'!$A$1:$BQ$224,_xlfn.XMATCH(AU$1,'UN Treasury'!$A$1:$BQ$1,-1,1),FALSE)</f>
        <v>15</v>
      </c>
      <c r="AV89">
        <f>VLOOKUP($A89,'UN Treasury'!$A$1:$BQ$224,_xlfn.XMATCH(AV$1,'UN Treasury'!$A$1:$BQ$1,-1,1),FALSE)</f>
        <v>15</v>
      </c>
      <c r="AW89">
        <f>VLOOKUP($A89,'UN Treasury'!$A$1:$BQ$224,_xlfn.XMATCH(AW$1,'UN Treasury'!$A$1:$BQ$1,-1,1),FALSE)</f>
        <v>15</v>
      </c>
      <c r="AX89">
        <f>VLOOKUP($A89,'UN Treasury'!$A$1:$BQ$224,_xlfn.XMATCH(AX$1,'UN Treasury'!$A$1:$BQ$1,-1,1),FALSE)</f>
        <v>15</v>
      </c>
      <c r="AY89">
        <f>VLOOKUP($A89,'UN Treasury'!$A$1:$BQ$224,_xlfn.XMATCH(AY$1,'UN Treasury'!$A$1:$BQ$1,-1,1),FALSE)</f>
        <v>15</v>
      </c>
      <c r="AZ89">
        <f>VLOOKUP($A89,'UN Treasury'!$A$1:$BQ$224,_xlfn.XMATCH(AZ$1,'UN Treasury'!$A$1:$BQ$1,-1,1),FALSE)</f>
        <v>15</v>
      </c>
      <c r="BA89">
        <f>VLOOKUP($A89,'UN Treasury'!$A$1:$BQ$224,_xlfn.XMATCH(BA$1,'UN Treasury'!$A$1:$BQ$1,-1,1),FALSE)</f>
        <v>15</v>
      </c>
      <c r="BB89">
        <f>VLOOKUP($A89,'UN Treasury'!$A$1:$BQ$224,_xlfn.XMATCH(BB$1,'UN Treasury'!$A$1:$BQ$1,-1,1),FALSE)</f>
        <v>15</v>
      </c>
      <c r="BC89">
        <f>VLOOKUP($A89,'UN Treasury'!$A$1:$BQ$224,_xlfn.XMATCH(BC$1,'UN Treasury'!$A$1:$BQ$1,-1,1),FALSE)</f>
        <v>15</v>
      </c>
      <c r="BD89">
        <f>VLOOKUP($A89,'UN Treasury'!$A$1:$BQ$224,_xlfn.XMATCH(BD$1,'UN Treasury'!$A$1:$BQ$1,-1,1),FALSE)</f>
        <v>15</v>
      </c>
      <c r="BE89">
        <f>VLOOKUP($A89,'UN Treasury'!$A$1:$BQ$224,_xlfn.XMATCH(BE$1,'UN Treasury'!$A$1:$BQ$1,-1,1),FALSE)</f>
        <v>15</v>
      </c>
      <c r="BF89">
        <f>VLOOKUP($A89,'UN Treasury'!$A$1:$BQ$224,_xlfn.XMATCH(BF$1,'UN Treasury'!$A$1:$BQ$1,-1,1),FALSE)</f>
        <v>15</v>
      </c>
      <c r="BG89">
        <f>VLOOKUP($A89,'UN Treasury'!$A$1:$BQ$224,_xlfn.XMATCH(BG$1,'UN Treasury'!$A$1:$BQ$1,-1,1),FALSE)</f>
        <v>15</v>
      </c>
      <c r="BH89">
        <f>VLOOKUP($A89,'UN Treasury'!$A$1:$BQ$224,_xlfn.XMATCH(BH$1,'UN Treasury'!$A$1:$BQ$1,-1,1),FALSE)</f>
        <v>15</v>
      </c>
      <c r="BI89">
        <f>VLOOKUP($A89,'UN Treasury'!$A$1:$BQ$224,_xlfn.XMATCH(BI$1,'UN Treasury'!$A$1:$BQ$1,-1,1),FALSE)</f>
        <v>15</v>
      </c>
      <c r="BJ89">
        <f>VLOOKUP($A89,'UN Treasury'!$A$1:$BQ$224,_xlfn.XMATCH(BJ$1,'UN Treasury'!$A$1:$BQ$1,-1,1),FALSE)</f>
        <v>15</v>
      </c>
      <c r="BK89">
        <f>VLOOKUP($A89,'UN Treasury'!$A$1:$BQ$224,_xlfn.XMATCH(BK$1,'UN Treasury'!$A$1:$BQ$1,-1,1),FALSE)</f>
        <v>15</v>
      </c>
      <c r="BL89">
        <f>VLOOKUP($A89,'UN Treasury'!$A$1:$BQ$224,_xlfn.XMATCH(BL$1,'UN Treasury'!$A$1:$BQ$1,-1,1),FALSE)</f>
        <v>15</v>
      </c>
      <c r="BM89">
        <f>VLOOKUP($A89,'UN Treasury'!$A$1:$BQ$224,_xlfn.XMATCH(BM$1,'UN Treasury'!$A$1:$BQ$1,-1,1),FALSE)</f>
        <v>15</v>
      </c>
      <c r="BN89">
        <f>VLOOKUP($A89,'UN Treasury'!$A$1:$BQ$224,_xlfn.XMATCH(BN$1,'UN Treasury'!$A$1:$BQ$1,-1,1),FALSE)</f>
        <v>15</v>
      </c>
      <c r="BO89">
        <f>VLOOKUP($A89,'UN Treasury'!$A$1:$BQ$224,_xlfn.XMATCH(BO$1,'UN Treasury'!$A$1:$BQ$1,-1,1),FALSE)</f>
        <v>15</v>
      </c>
      <c r="BP89">
        <f>VLOOKUP($A89,'UN Treasury'!$A$1:$BQ$224,_xlfn.XMATCH(BP$1,'UN Treasury'!$A$1:$BQ$1,-1,1),FALSE)</f>
        <v>15</v>
      </c>
      <c r="BQ89">
        <f>VLOOKUP($A89,'UN Treasury'!$A$1:$BQ$224,_xlfn.XMATCH(BQ$1,'UN Treasury'!$A$1:$BQ$1,-1,1),FALSE)</f>
        <v>15</v>
      </c>
    </row>
    <row r="90" spans="1:69" x14ac:dyDescent="0.25">
      <c r="A90" t="s">
        <v>201</v>
      </c>
      <c r="B90">
        <f>VLOOKUP($A90,'UN Treasury'!$A$1:$BQ$224,_xlfn.XMATCH(B$1,'UN Treasury'!$A$1:$BQ$1,-1,1),FALSE)</f>
        <v>1724</v>
      </c>
      <c r="C90">
        <f>VLOOKUP($A90,'UN Treasury'!$A$1:$BQ$224,_xlfn.XMATCH(C$1,'UN Treasury'!$A$1:$BQ$1,-1,1),FALSE)</f>
        <v>1724</v>
      </c>
      <c r="D90">
        <f>VLOOKUP($A90,'UN Treasury'!$A$1:$BQ$224,_xlfn.XMATCH(D$1,'UN Treasury'!$A$1:$BQ$1,-1,1),FALSE)</f>
        <v>1724</v>
      </c>
      <c r="E90">
        <f>VLOOKUP($A90,'UN Treasury'!$A$1:$BQ$224,_xlfn.XMATCH(E$1,'UN Treasury'!$A$1:$BQ$1,-1,1),FALSE)</f>
        <v>1724</v>
      </c>
      <c r="F90">
        <f>VLOOKUP($A90,'UN Treasury'!$A$1:$BQ$224,_xlfn.XMATCH(F$1,'UN Treasury'!$A$1:$BQ$1,-1,1),FALSE)</f>
        <v>1724</v>
      </c>
      <c r="G90">
        <f>VLOOKUP($A90,'UN Treasury'!$A$1:$BQ$224,_xlfn.XMATCH(G$1,'UN Treasury'!$A$1:$BQ$1,-1,1),FALSE)</f>
        <v>1724</v>
      </c>
      <c r="H90">
        <f>VLOOKUP($A90,'UN Treasury'!$A$1:$BQ$224,_xlfn.XMATCH(H$1,'UN Treasury'!$A$1:$BQ$1,-1,1),FALSE)</f>
        <v>1751</v>
      </c>
      <c r="I90">
        <f>VLOOKUP($A90,'UN Treasury'!$A$1:$BQ$224,_xlfn.XMATCH(I$1,'UN Treasury'!$A$1:$BQ$1,-1,1),FALSE)</f>
        <v>1751</v>
      </c>
      <c r="J90">
        <f>VLOOKUP($A90,'UN Treasury'!$A$1:$BQ$224,_xlfn.XMATCH(J$1,'UN Treasury'!$A$1:$BQ$1,-1,1),FALSE)</f>
        <v>1724</v>
      </c>
      <c r="K90">
        <f>VLOOKUP($A90,'UN Treasury'!$A$1:$BQ$224,_xlfn.XMATCH(K$1,'UN Treasury'!$A$1:$BQ$1,-1,1),FALSE)</f>
        <v>1751</v>
      </c>
      <c r="L90">
        <f>VLOOKUP($A90,'UN Treasury'!$A$1:$BQ$224,_xlfn.XMATCH(L$1,'UN Treasury'!$A$1:$BQ$1,-1,1),FALSE)</f>
        <v>1751</v>
      </c>
      <c r="M90">
        <f>VLOOKUP($A90,'UN Treasury'!$A$1:$BQ$224,_xlfn.XMATCH(M$1,'UN Treasury'!$A$1:$BQ$1,-1,1),FALSE)</f>
        <v>1751</v>
      </c>
      <c r="N90">
        <f>VLOOKUP($A90,'UN Treasury'!$A$1:$BQ$224,_xlfn.XMATCH(N$1,'UN Treasury'!$A$1:$BQ$1,-1,1),FALSE)</f>
        <v>1751</v>
      </c>
      <c r="O90">
        <f>VLOOKUP($A90,'UN Treasury'!$A$1:$BQ$224,_xlfn.XMATCH(O$1,'UN Treasury'!$A$1:$BQ$1,-1,1),FALSE)</f>
        <v>1751</v>
      </c>
      <c r="P90">
        <f>VLOOKUP($A90,'UN Treasury'!$A$1:$BQ$224,_xlfn.XMATCH(P$1,'UN Treasury'!$A$1:$BQ$1,-1,1),FALSE)</f>
        <v>1751</v>
      </c>
      <c r="Q90">
        <f>VLOOKUP($A90,'UN Treasury'!$A$1:$BQ$224,_xlfn.XMATCH(Q$1,'UN Treasury'!$A$1:$BQ$1,-1,1),FALSE)</f>
        <v>1751</v>
      </c>
      <c r="R90">
        <f>VLOOKUP($A90,'UN Treasury'!$A$1:$BQ$224,_xlfn.XMATCH(R$1,'UN Treasury'!$A$1:$BQ$1,-1,1),FALSE)</f>
        <v>1751</v>
      </c>
      <c r="S90">
        <f>VLOOKUP($A90,'UN Treasury'!$A$1:$BQ$224,_xlfn.XMATCH(S$1,'UN Treasury'!$A$1:$BQ$1,-1,1),FALSE)</f>
        <v>1751</v>
      </c>
      <c r="T90">
        <f>VLOOKUP($A90,'UN Treasury'!$A$1:$BQ$224,_xlfn.XMATCH(T$1,'UN Treasury'!$A$1:$BQ$1,-1,1),FALSE)</f>
        <v>1751</v>
      </c>
      <c r="U90">
        <f>VLOOKUP($A90,'UN Treasury'!$A$1:$BQ$224,_xlfn.XMATCH(U$1,'UN Treasury'!$A$1:$BQ$1,-1,1),FALSE)</f>
        <v>1751</v>
      </c>
      <c r="V90">
        <f>VLOOKUP($A90,'UN Treasury'!$A$1:$BQ$224,_xlfn.XMATCH(V$1,'UN Treasury'!$A$1:$BQ$1,-1,1),FALSE)</f>
        <v>1751</v>
      </c>
      <c r="W90">
        <f>VLOOKUP($A90,'UN Treasury'!$A$1:$BQ$224,_xlfn.XMATCH(W$1,'UN Treasury'!$A$1:$BQ$1,-1,1),FALSE)</f>
        <v>1751</v>
      </c>
      <c r="X90">
        <f>VLOOKUP($A90,'UN Treasury'!$A$1:$BQ$224,_xlfn.XMATCH(X$1,'UN Treasury'!$A$1:$BQ$1,-1,1),FALSE)</f>
        <v>1751</v>
      </c>
      <c r="Y90">
        <f>VLOOKUP($A90,'UN Treasury'!$A$1:$BQ$224,_xlfn.XMATCH(Y$1,'UN Treasury'!$A$1:$BQ$1,-1,1),FALSE)</f>
        <v>1751</v>
      </c>
      <c r="Z90">
        <f>VLOOKUP($A90,'UN Treasury'!$A$1:$BQ$224,_xlfn.XMATCH(Z$1,'UN Treasury'!$A$1:$BQ$1,-1,1),FALSE)</f>
        <v>1751</v>
      </c>
      <c r="AA90">
        <f>VLOOKUP($A90,'UN Treasury'!$A$1:$BQ$224,_xlfn.XMATCH(AA$1,'UN Treasury'!$A$1:$BQ$1,-1,1),FALSE)</f>
        <v>1751</v>
      </c>
      <c r="AB90">
        <f>VLOOKUP($A90,'UN Treasury'!$A$1:$BQ$224,_xlfn.XMATCH(AB$1,'UN Treasury'!$A$1:$BQ$1,-1,1),FALSE)</f>
        <v>1751</v>
      </c>
      <c r="AC90">
        <f>VLOOKUP($A90,'UN Treasury'!$A$1:$BQ$224,_xlfn.XMATCH(AC$1,'UN Treasury'!$A$1:$BQ$1,-1,1),FALSE)</f>
        <v>1751</v>
      </c>
      <c r="AD90">
        <f>VLOOKUP($A90,'UN Treasury'!$A$1:$BQ$224,_xlfn.XMATCH(AD$1,'UN Treasury'!$A$1:$BQ$1,-1,1),FALSE)</f>
        <v>1751</v>
      </c>
      <c r="AE90">
        <f>VLOOKUP($A90,'UN Treasury'!$A$1:$BQ$224,_xlfn.XMATCH(AE$1,'UN Treasury'!$A$1:$BQ$1,-1,1),FALSE)</f>
        <v>1700</v>
      </c>
      <c r="AF90">
        <f>VLOOKUP($A90,'UN Treasury'!$A$1:$BQ$224,_xlfn.XMATCH(AF$1,'UN Treasury'!$A$1:$BQ$1,-1,1),FALSE)</f>
        <v>1700</v>
      </c>
      <c r="AG90">
        <f>VLOOKUP($A90,'UN Treasury'!$A$1:$BQ$224,_xlfn.XMATCH(AG$1,'UN Treasury'!$A$1:$BQ$1,-1,1),FALSE)</f>
        <v>1700</v>
      </c>
      <c r="AH90">
        <f>VLOOKUP($A90,'UN Treasury'!$A$1:$BQ$224,_xlfn.XMATCH(AH$1,'UN Treasury'!$A$1:$BQ$1,-1,1),FALSE)</f>
        <v>1700</v>
      </c>
      <c r="AI90">
        <f>VLOOKUP($A90,'UN Treasury'!$A$1:$BQ$224,_xlfn.XMATCH(AI$1,'UN Treasury'!$A$1:$BQ$1,-1,1),FALSE)</f>
        <v>1700</v>
      </c>
      <c r="AJ90">
        <f>VLOOKUP($A90,'UN Treasury'!$A$1:$BQ$224,_xlfn.XMATCH(AJ$1,'UN Treasury'!$A$1:$BQ$1,-1,1),FALSE)</f>
        <v>1180.29</v>
      </c>
      <c r="AK90">
        <f>VLOOKUP($A90,'UN Treasury'!$A$1:$BQ$224,_xlfn.XMATCH(AK$1,'UN Treasury'!$A$1:$BQ$1,-1,1),FALSE)</f>
        <v>1126.77</v>
      </c>
      <c r="AL90">
        <f>VLOOKUP($A90,'UN Treasury'!$A$1:$BQ$224,_xlfn.XMATCH(AL$1,'UN Treasury'!$A$1:$BQ$1,-1,1),FALSE)</f>
        <v>1095.32</v>
      </c>
      <c r="AM90">
        <f>VLOOKUP($A90,'UN Treasury'!$A$1:$BQ$224,_xlfn.XMATCH(AM$1,'UN Treasury'!$A$1:$BQ$1,-1,1),FALSE)</f>
        <v>1063.8599999999999</v>
      </c>
      <c r="AN90">
        <f>VLOOKUP($A90,'UN Treasury'!$A$1:$BQ$224,_xlfn.XMATCH(AN$1,'UN Treasury'!$A$1:$BQ$1,-1,1),FALSE)</f>
        <v>1036.249</v>
      </c>
      <c r="AO90">
        <f>VLOOKUP($A90,'UN Treasury'!$A$1:$BQ$224,_xlfn.XMATCH(AO$1,'UN Treasury'!$A$1:$BQ$1,-1,1),FALSE)</f>
        <v>1036.249</v>
      </c>
      <c r="AP90">
        <f>VLOOKUP($A90,'UN Treasury'!$A$1:$BQ$224,_xlfn.XMATCH(AP$1,'UN Treasury'!$A$1:$BQ$1,-1,1),FALSE)</f>
        <v>1036.249</v>
      </c>
      <c r="AQ90">
        <f>VLOOKUP($A90,'UN Treasury'!$A$1:$BQ$224,_xlfn.XMATCH(AQ$1,'UN Treasury'!$A$1:$BQ$1,-1,1),FALSE)</f>
        <v>1036.249</v>
      </c>
      <c r="AR90">
        <f>VLOOKUP($A90,'UN Treasury'!$A$1:$BQ$224,_xlfn.XMATCH(AR$1,'UN Treasury'!$A$1:$BQ$1,-1,1),FALSE)</f>
        <v>1036.249</v>
      </c>
      <c r="AS90">
        <f>VLOOKUP($A90,'UN Treasury'!$A$1:$BQ$224,_xlfn.XMATCH(AS$1,'UN Treasury'!$A$1:$BQ$1,-1,1),FALSE)</f>
        <v>1036.249</v>
      </c>
      <c r="AT90">
        <f>VLOOKUP($A90,'UN Treasury'!$A$1:$BQ$224,_xlfn.XMATCH(AT$1,'UN Treasury'!$A$1:$BQ$1,-1,1),FALSE)</f>
        <v>1036.249</v>
      </c>
      <c r="AU90">
        <f>VLOOKUP($A90,'UN Treasury'!$A$1:$BQ$224,_xlfn.XMATCH(AU$1,'UN Treasury'!$A$1:$BQ$1,-1,1),FALSE)</f>
        <v>1036.941</v>
      </c>
      <c r="AV90">
        <f>VLOOKUP($A90,'UN Treasury'!$A$1:$BQ$224,_xlfn.XMATCH(AV$1,'UN Treasury'!$A$1:$BQ$1,-1,1),FALSE)</f>
        <v>1036.249</v>
      </c>
      <c r="AW90">
        <f>VLOOKUP($A90,'UN Treasury'!$A$1:$BQ$224,_xlfn.XMATCH(AW$1,'UN Treasury'!$A$1:$BQ$1,-1,1),FALSE)</f>
        <v>1036.249</v>
      </c>
      <c r="AX90">
        <f>VLOOKUP($A90,'UN Treasury'!$A$1:$BQ$224,_xlfn.XMATCH(AX$1,'UN Treasury'!$A$1:$BQ$1,-1,1),FALSE)</f>
        <v>1036.249</v>
      </c>
      <c r="AY90">
        <f>VLOOKUP($A90,'UN Treasury'!$A$1:$BQ$224,_xlfn.XMATCH(AY$1,'UN Treasury'!$A$1:$BQ$1,-1,1),FALSE)</f>
        <v>1036.249</v>
      </c>
      <c r="AZ90">
        <f>VLOOKUP($A90,'UN Treasury'!$A$1:$BQ$224,_xlfn.XMATCH(AZ$1,'UN Treasury'!$A$1:$BQ$1,-1,1),FALSE)</f>
        <v>1031.25</v>
      </c>
      <c r="BA90">
        <f>VLOOKUP($A90,'UN Treasury'!$A$1:$BQ$224,_xlfn.XMATCH(BA$1,'UN Treasury'!$A$1:$BQ$1,-1,1),FALSE)</f>
        <v>825</v>
      </c>
      <c r="BB90">
        <f>VLOOKUP($A90,'UN Treasury'!$A$1:$BQ$224,_xlfn.XMATCH(BB$1,'UN Treasury'!$A$1:$BQ$1,-1,1),FALSE)</f>
        <v>825</v>
      </c>
      <c r="BC90">
        <f>VLOOKUP($A90,'UN Treasury'!$A$1:$BQ$224,_xlfn.XMATCH(BC$1,'UN Treasury'!$A$1:$BQ$1,-1,1),FALSE)</f>
        <v>825</v>
      </c>
      <c r="BD90">
        <f>VLOOKUP($A90,'UN Treasury'!$A$1:$BQ$224,_xlfn.XMATCH(BD$1,'UN Treasury'!$A$1:$BQ$1,-1,1),FALSE)</f>
        <v>825</v>
      </c>
      <c r="BE90">
        <f>VLOOKUP($A90,'UN Treasury'!$A$1:$BQ$224,_xlfn.XMATCH(BE$1,'UN Treasury'!$A$1:$BQ$1,-1,1),FALSE)</f>
        <v>825</v>
      </c>
      <c r="BF90">
        <f>VLOOKUP($A90,'UN Treasury'!$A$1:$BQ$224,_xlfn.XMATCH(BF$1,'UN Treasury'!$A$1:$BQ$1,-1,1),FALSE)</f>
        <v>821</v>
      </c>
      <c r="BG90">
        <f>VLOOKUP($A90,'UN Treasury'!$A$1:$BQ$224,_xlfn.XMATCH(BG$1,'UN Treasury'!$A$1:$BQ$1,-1,1),FALSE)</f>
        <v>820</v>
      </c>
      <c r="BH90">
        <f>VLOOKUP($A90,'UN Treasury'!$A$1:$BQ$224,_xlfn.XMATCH(BH$1,'UN Treasury'!$A$1:$BQ$1,-1,1),FALSE)</f>
        <v>815</v>
      </c>
      <c r="BI90">
        <f>VLOOKUP($A90,'UN Treasury'!$A$1:$BQ$224,_xlfn.XMATCH(BI$1,'UN Treasury'!$A$1:$BQ$1,-1,1),FALSE)</f>
        <v>815</v>
      </c>
      <c r="BJ90">
        <f>VLOOKUP($A90,'UN Treasury'!$A$1:$BQ$224,_xlfn.XMATCH(BJ$1,'UN Treasury'!$A$1:$BQ$1,-1,1),FALSE)</f>
        <v>811</v>
      </c>
      <c r="BK90">
        <f>VLOOKUP($A90,'UN Treasury'!$A$1:$BQ$224,_xlfn.XMATCH(BK$1,'UN Treasury'!$A$1:$BQ$1,-1,1),FALSE)</f>
        <v>800</v>
      </c>
      <c r="BL90">
        <f>VLOOKUP($A90,'UN Treasury'!$A$1:$BQ$224,_xlfn.XMATCH(BL$1,'UN Treasury'!$A$1:$BQ$1,-1,1),FALSE)</f>
        <v>798</v>
      </c>
      <c r="BM90">
        <f>VLOOKUP($A90,'UN Treasury'!$A$1:$BQ$224,_xlfn.XMATCH(BM$1,'UN Treasury'!$A$1:$BQ$1,-1,1),FALSE)</f>
        <v>791</v>
      </c>
      <c r="BN90">
        <f>VLOOKUP($A90,'UN Treasury'!$A$1:$BQ$224,_xlfn.XMATCH(BN$1,'UN Treasury'!$A$1:$BQ$1,-1,1),FALSE)</f>
        <v>785</v>
      </c>
      <c r="BO90">
        <f>VLOOKUP($A90,'UN Treasury'!$A$1:$BQ$224,_xlfn.XMATCH(BO$1,'UN Treasury'!$A$1:$BQ$1,-1,1),FALSE)</f>
        <v>775</v>
      </c>
      <c r="BP90">
        <f>VLOOKUP($A90,'UN Treasury'!$A$1:$BQ$224,_xlfn.XMATCH(BP$1,'UN Treasury'!$A$1:$BQ$1,-1,1),FALSE)</f>
        <v>775</v>
      </c>
      <c r="BQ90">
        <f>VLOOKUP($A90,'UN Treasury'!$A$1:$BQ$224,_xlfn.XMATCH(BQ$1,'UN Treasury'!$A$1:$BQ$1,-1,1),FALSE)</f>
        <v>767</v>
      </c>
    </row>
    <row r="91" spans="1:69" x14ac:dyDescent="0.25">
      <c r="A91" t="s">
        <v>203</v>
      </c>
      <c r="B91">
        <f>VLOOKUP($A91,'UN Treasury'!$A$1:$BQ$224,_xlfn.XMATCH(B$1,'UN Treasury'!$A$1:$BQ$1,-1,1),FALSE)</f>
        <v>17.053999999999998</v>
      </c>
      <c r="C91">
        <f>VLOOKUP($A91,'UN Treasury'!$A$1:$BQ$224,_xlfn.XMATCH(C$1,'UN Treasury'!$A$1:$BQ$1,-1,1),FALSE)</f>
        <v>17.48</v>
      </c>
      <c r="D91">
        <f>VLOOKUP($A91,'UN Treasury'!$A$1:$BQ$224,_xlfn.XMATCH(D$1,'UN Treasury'!$A$1:$BQ$1,-1,1),FALSE)</f>
        <v>17.414000000000001</v>
      </c>
      <c r="E91">
        <f>VLOOKUP($A91,'UN Treasury'!$A$1:$BQ$224,_xlfn.XMATCH(E$1,'UN Treasury'!$A$1:$BQ$1,-1,1),FALSE)</f>
        <v>17.23</v>
      </c>
      <c r="F91">
        <f>VLOOKUP($A91,'UN Treasury'!$A$1:$BQ$224,_xlfn.XMATCH(F$1,'UN Treasury'!$A$1:$BQ$1,-1,1),FALSE)</f>
        <v>17.353000000000002</v>
      </c>
      <c r="G91">
        <f>VLOOKUP($A91,'UN Treasury'!$A$1:$BQ$224,_xlfn.XMATCH(G$1,'UN Treasury'!$A$1:$BQ$1,-1,1),FALSE)</f>
        <v>17.835000000000001</v>
      </c>
      <c r="H91">
        <f>VLOOKUP($A91,'UN Treasury'!$A$1:$BQ$224,_xlfn.XMATCH(H$1,'UN Treasury'!$A$1:$BQ$1,-1,1),FALSE)</f>
        <v>17.145</v>
      </c>
      <c r="I91">
        <f>VLOOKUP($A91,'UN Treasury'!$A$1:$BQ$224,_xlfn.XMATCH(I$1,'UN Treasury'!$A$1:$BQ$1,-1,1),FALSE)</f>
        <v>17.882000000000001</v>
      </c>
      <c r="J91">
        <f>VLOOKUP($A91,'UN Treasury'!$A$1:$BQ$224,_xlfn.XMATCH(J$1,'UN Treasury'!$A$1:$BQ$1,-1,1),FALSE)</f>
        <v>18.100000000000001</v>
      </c>
      <c r="K91">
        <f>VLOOKUP($A91,'UN Treasury'!$A$1:$BQ$224,_xlfn.XMATCH(K$1,'UN Treasury'!$A$1:$BQ$1,-1,1),FALSE)</f>
        <v>18.302</v>
      </c>
      <c r="L91">
        <f>VLOOKUP($A91,'UN Treasury'!$A$1:$BQ$224,_xlfn.XMATCH(L$1,'UN Treasury'!$A$1:$BQ$1,-1,1),FALSE)</f>
        <v>18.448</v>
      </c>
      <c r="M91">
        <f>VLOOKUP($A91,'UN Treasury'!$A$1:$BQ$224,_xlfn.XMATCH(M$1,'UN Treasury'!$A$1:$BQ$1,-1,1),FALSE)</f>
        <v>18.559999999999999</v>
      </c>
      <c r="N91">
        <f>VLOOKUP($A91,'UN Treasury'!$A$1:$BQ$224,_xlfn.XMATCH(N$1,'UN Treasury'!$A$1:$BQ$1,-1,1),FALSE)</f>
        <v>18.59</v>
      </c>
      <c r="O91">
        <f>VLOOKUP($A91,'UN Treasury'!$A$1:$BQ$224,_xlfn.XMATCH(O$1,'UN Treasury'!$A$1:$BQ$1,-1,1),FALSE)</f>
        <v>18.71</v>
      </c>
      <c r="P91">
        <f>VLOOKUP($A91,'UN Treasury'!$A$1:$BQ$224,_xlfn.XMATCH(P$1,'UN Treasury'!$A$1:$BQ$1,-1,1),FALSE)</f>
        <v>18.98</v>
      </c>
      <c r="Q91">
        <f>VLOOKUP($A91,'UN Treasury'!$A$1:$BQ$224,_xlfn.XMATCH(Q$1,'UN Treasury'!$A$1:$BQ$1,-1,1),FALSE)</f>
        <v>19.53</v>
      </c>
      <c r="R91">
        <f>VLOOKUP($A91,'UN Treasury'!$A$1:$BQ$224,_xlfn.XMATCH(R$1,'UN Treasury'!$A$1:$BQ$1,-1,1),FALSE)</f>
        <v>20.34</v>
      </c>
      <c r="S91">
        <f>VLOOKUP($A91,'UN Treasury'!$A$1:$BQ$224,_xlfn.XMATCH(S$1,'UN Treasury'!$A$1:$BQ$1,-1,1),FALSE)</f>
        <v>20.2</v>
      </c>
      <c r="T91">
        <f>VLOOKUP($A91,'UN Treasury'!$A$1:$BQ$224,_xlfn.XMATCH(T$1,'UN Treasury'!$A$1:$BQ$1,-1,1),FALSE)</f>
        <v>20.56</v>
      </c>
      <c r="U91">
        <f>VLOOKUP($A91,'UN Treasury'!$A$1:$BQ$224,_xlfn.XMATCH(U$1,'UN Treasury'!$A$1:$BQ$1,-1,1),FALSE)</f>
        <v>20.81</v>
      </c>
      <c r="V91">
        <f>VLOOKUP($A91,'UN Treasury'!$A$1:$BQ$224,_xlfn.XMATCH(V$1,'UN Treasury'!$A$1:$BQ$1,-1,1),FALSE)</f>
        <v>20.23</v>
      </c>
      <c r="W91">
        <f>VLOOKUP($A91,'UN Treasury'!$A$1:$BQ$224,_xlfn.XMATCH(W$1,'UN Treasury'!$A$1:$BQ$1,-1,1),FALSE)</f>
        <v>20.6</v>
      </c>
      <c r="X91">
        <f>VLOOKUP($A91,'UN Treasury'!$A$1:$BQ$224,_xlfn.XMATCH(X$1,'UN Treasury'!$A$1:$BQ$1,-1,1),FALSE)</f>
        <v>19.440000000000001</v>
      </c>
      <c r="Y91">
        <f>VLOOKUP($A91,'UN Treasury'!$A$1:$BQ$224,_xlfn.XMATCH(Y$1,'UN Treasury'!$A$1:$BQ$1,-1,1),FALSE)</f>
        <v>19.84</v>
      </c>
      <c r="Z91">
        <f>VLOOKUP($A91,'UN Treasury'!$A$1:$BQ$224,_xlfn.XMATCH(Z$1,'UN Treasury'!$A$1:$BQ$1,-1,1),FALSE)</f>
        <v>19.010000000000002</v>
      </c>
      <c r="AA91">
        <f>VLOOKUP($A91,'UN Treasury'!$A$1:$BQ$224,_xlfn.XMATCH(AA$1,'UN Treasury'!$A$1:$BQ$1,-1,1),FALSE)</f>
        <v>17.8</v>
      </c>
      <c r="AB91">
        <f>VLOOKUP($A91,'UN Treasury'!$A$1:$BQ$224,_xlfn.XMATCH(AB$1,'UN Treasury'!$A$1:$BQ$1,-1,1),FALSE)</f>
        <v>18.88</v>
      </c>
      <c r="AC91">
        <f>VLOOKUP($A91,'UN Treasury'!$A$1:$BQ$224,_xlfn.XMATCH(AC$1,'UN Treasury'!$A$1:$BQ$1,-1,1),FALSE)</f>
        <v>16.739999999999998</v>
      </c>
      <c r="AD91">
        <f>VLOOKUP($A91,'UN Treasury'!$A$1:$BQ$224,_xlfn.XMATCH(AD$1,'UN Treasury'!$A$1:$BQ$1,-1,1),FALSE)</f>
        <v>16.43</v>
      </c>
      <c r="AE91">
        <f>VLOOKUP($A91,'UN Treasury'!$A$1:$BQ$224,_xlfn.XMATCH(AE$1,'UN Treasury'!$A$1:$BQ$1,-1,1),FALSE)</f>
        <v>16.75</v>
      </c>
      <c r="AF91">
        <f>VLOOKUP($A91,'UN Treasury'!$A$1:$BQ$224,_xlfn.XMATCH(AF$1,'UN Treasury'!$A$1:$BQ$1,-1,1),FALSE)</f>
        <v>17.170000000000002</v>
      </c>
      <c r="AG91">
        <f>VLOOKUP($A91,'UN Treasury'!$A$1:$BQ$224,_xlfn.XMATCH(AG$1,'UN Treasury'!$A$1:$BQ$1,-1,1),FALSE)</f>
        <v>16.98</v>
      </c>
      <c r="AH91">
        <f>VLOOKUP($A91,'UN Treasury'!$A$1:$BQ$224,_xlfn.XMATCH(AH$1,'UN Treasury'!$A$1:$BQ$1,-1,1),FALSE)</f>
        <v>17.399999999999999</v>
      </c>
      <c r="AI91">
        <f>VLOOKUP($A91,'UN Treasury'!$A$1:$BQ$224,_xlfn.XMATCH(AI$1,'UN Treasury'!$A$1:$BQ$1,-1,1),FALSE)</f>
        <v>17.670000000000002</v>
      </c>
      <c r="AJ91">
        <f>VLOOKUP($A91,'UN Treasury'!$A$1:$BQ$224,_xlfn.XMATCH(AJ$1,'UN Treasury'!$A$1:$BQ$1,-1,1),FALSE)</f>
        <v>17.8</v>
      </c>
      <c r="AK91">
        <f>VLOOKUP($A91,'UN Treasury'!$A$1:$BQ$224,_xlfn.XMATCH(AK$1,'UN Treasury'!$A$1:$BQ$1,-1,1),FALSE)</f>
        <v>17.14</v>
      </c>
      <c r="AL91">
        <f>VLOOKUP($A91,'UN Treasury'!$A$1:$BQ$224,_xlfn.XMATCH(AL$1,'UN Treasury'!$A$1:$BQ$1,-1,1),FALSE)</f>
        <v>17.03</v>
      </c>
      <c r="AM91">
        <f>VLOOKUP($A91,'UN Treasury'!$A$1:$BQ$224,_xlfn.XMATCH(AM$1,'UN Treasury'!$A$1:$BQ$1,-1,1),FALSE)</f>
        <v>16.84</v>
      </c>
      <c r="AN91">
        <f>VLOOKUP($A91,'UN Treasury'!$A$1:$BQ$224,_xlfn.XMATCH(AN$1,'UN Treasury'!$A$1:$BQ$1,-1,1),FALSE)</f>
        <v>17.28</v>
      </c>
      <c r="AO91">
        <f>VLOOKUP($A91,'UN Treasury'!$A$1:$BQ$224,_xlfn.XMATCH(AO$1,'UN Treasury'!$A$1:$BQ$1,-1,1),FALSE)</f>
        <v>17.690000000000001</v>
      </c>
      <c r="AP91">
        <f>VLOOKUP($A91,'UN Treasury'!$A$1:$BQ$224,_xlfn.XMATCH(AP$1,'UN Treasury'!$A$1:$BQ$1,-1,1),FALSE)</f>
        <v>18.05</v>
      </c>
      <c r="AQ91">
        <f>VLOOKUP($A91,'UN Treasury'!$A$1:$BQ$224,_xlfn.XMATCH(AQ$1,'UN Treasury'!$A$1:$BQ$1,-1,1),FALSE)</f>
        <v>18.87</v>
      </c>
      <c r="AR91">
        <f>VLOOKUP($A91,'UN Treasury'!$A$1:$BQ$224,_xlfn.XMATCH(AR$1,'UN Treasury'!$A$1:$BQ$1,-1,1),FALSE)</f>
        <v>18.63</v>
      </c>
      <c r="AS91">
        <f>VLOOKUP($A91,'UN Treasury'!$A$1:$BQ$224,_xlfn.XMATCH(AS$1,'UN Treasury'!$A$1:$BQ$1,-1,1),FALSE)</f>
        <v>19.07</v>
      </c>
      <c r="AT91">
        <f>VLOOKUP($A91,'UN Treasury'!$A$1:$BQ$224,_xlfn.XMATCH(AT$1,'UN Treasury'!$A$1:$BQ$1,-1,1),FALSE)</f>
        <v>19.670000000000002</v>
      </c>
      <c r="AU91">
        <f>VLOOKUP($A91,'UN Treasury'!$A$1:$BQ$224,_xlfn.XMATCH(AU$1,'UN Treasury'!$A$1:$BQ$1,-1,1),FALSE)</f>
        <v>19.54</v>
      </c>
      <c r="AV91">
        <f>VLOOKUP($A91,'UN Treasury'!$A$1:$BQ$224,_xlfn.XMATCH(AV$1,'UN Treasury'!$A$1:$BQ$1,-1,1),FALSE)</f>
        <v>20.05</v>
      </c>
      <c r="AW91">
        <f>VLOOKUP($A91,'UN Treasury'!$A$1:$BQ$224,_xlfn.XMATCH(AW$1,'UN Treasury'!$A$1:$BQ$1,-1,1),FALSE)</f>
        <v>20.04</v>
      </c>
      <c r="AX91">
        <f>VLOOKUP($A91,'UN Treasury'!$A$1:$BQ$224,_xlfn.XMATCH(AX$1,'UN Treasury'!$A$1:$BQ$1,-1,1),FALSE)</f>
        <v>19.920000000000002</v>
      </c>
      <c r="AY91">
        <f>VLOOKUP($A91,'UN Treasury'!$A$1:$BQ$224,_xlfn.XMATCH(AY$1,'UN Treasury'!$A$1:$BQ$1,-1,1),FALSE)</f>
        <v>20.84</v>
      </c>
      <c r="AZ91">
        <f>VLOOKUP($A91,'UN Treasury'!$A$1:$BQ$224,_xlfn.XMATCH(AZ$1,'UN Treasury'!$A$1:$BQ$1,-1,1),FALSE)</f>
        <v>20.39</v>
      </c>
      <c r="BA91">
        <f>VLOOKUP($A91,'UN Treasury'!$A$1:$BQ$224,_xlfn.XMATCH(BA$1,'UN Treasury'!$A$1:$BQ$1,-1,1),FALSE)</f>
        <v>20.27</v>
      </c>
      <c r="BB91">
        <f>VLOOKUP($A91,'UN Treasury'!$A$1:$BQ$224,_xlfn.XMATCH(BB$1,'UN Treasury'!$A$1:$BQ$1,-1,1),FALSE)</f>
        <v>19.829999999999998</v>
      </c>
      <c r="BC91">
        <f>VLOOKUP($A91,'UN Treasury'!$A$1:$BQ$224,_xlfn.XMATCH(BC$1,'UN Treasury'!$A$1:$BQ$1,-1,1),FALSE)</f>
        <v>20.95</v>
      </c>
      <c r="BD91">
        <f>VLOOKUP($A91,'UN Treasury'!$A$1:$BQ$224,_xlfn.XMATCH(BD$1,'UN Treasury'!$A$1:$BQ$1,-1,1),FALSE)</f>
        <v>20.43</v>
      </c>
      <c r="BE91">
        <f>VLOOKUP($A91,'UN Treasury'!$A$1:$BQ$224,_xlfn.XMATCH(BE$1,'UN Treasury'!$A$1:$BQ$1,-1,1),FALSE)</f>
        <v>20.36</v>
      </c>
      <c r="BF91">
        <f>VLOOKUP($A91,'UN Treasury'!$A$1:$BQ$224,_xlfn.XMATCH(BF$1,'UN Treasury'!$A$1:$BQ$1,-1,1),FALSE)</f>
        <v>21.75</v>
      </c>
      <c r="BG91">
        <f>VLOOKUP($A91,'UN Treasury'!$A$1:$BQ$224,_xlfn.XMATCH(BG$1,'UN Treasury'!$A$1:$BQ$1,-1,1),FALSE)</f>
        <v>20.260000000000002</v>
      </c>
      <c r="BH91">
        <f>VLOOKUP($A91,'UN Treasury'!$A$1:$BQ$224,_xlfn.XMATCH(BH$1,'UN Treasury'!$A$1:$BQ$1,-1,1),FALSE)</f>
        <v>20.440000000000001</v>
      </c>
      <c r="BI91">
        <f>VLOOKUP($A91,'UN Treasury'!$A$1:$BQ$224,_xlfn.XMATCH(BI$1,'UN Treasury'!$A$1:$BQ$1,-1,1),FALSE)</f>
        <v>20.190000000000001</v>
      </c>
      <c r="BJ91">
        <f>VLOOKUP($A91,'UN Treasury'!$A$1:$BQ$224,_xlfn.XMATCH(BJ$1,'UN Treasury'!$A$1:$BQ$1,-1,1),FALSE)</f>
        <v>19.82</v>
      </c>
      <c r="BK91">
        <f>VLOOKUP($A91,'UN Treasury'!$A$1:$BQ$224,_xlfn.XMATCH(BK$1,'UN Treasury'!$A$1:$BQ$1,-1,1),FALSE)</f>
        <v>19.84</v>
      </c>
      <c r="BL91">
        <f>VLOOKUP($A91,'UN Treasury'!$A$1:$BQ$224,_xlfn.XMATCH(BL$1,'UN Treasury'!$A$1:$BQ$1,-1,1),FALSE)</f>
        <v>19.91</v>
      </c>
      <c r="BM91">
        <f>VLOOKUP($A91,'UN Treasury'!$A$1:$BQ$224,_xlfn.XMATCH(BM$1,'UN Treasury'!$A$1:$BQ$1,-1,1),FALSE)</f>
        <v>20.149999999999999</v>
      </c>
      <c r="BN91">
        <f>VLOOKUP($A91,'UN Treasury'!$A$1:$BQ$224,_xlfn.XMATCH(BN$1,'UN Treasury'!$A$1:$BQ$1,-1,1),FALSE)</f>
        <v>20.62</v>
      </c>
      <c r="BO91">
        <f>VLOOKUP($A91,'UN Treasury'!$A$1:$BQ$224,_xlfn.XMATCH(BO$1,'UN Treasury'!$A$1:$BQ$1,-1,1),FALSE)</f>
        <v>20.69</v>
      </c>
      <c r="BP91">
        <f>VLOOKUP($A91,'UN Treasury'!$A$1:$BQ$224,_xlfn.XMATCH(BP$1,'UN Treasury'!$A$1:$BQ$1,-1,1),FALSE)</f>
        <v>20.350000000000001</v>
      </c>
      <c r="BQ91">
        <f>VLOOKUP($A91,'UN Treasury'!$A$1:$BQ$224,_xlfn.XMATCH(BQ$1,'UN Treasury'!$A$1:$BQ$1,-1,1),FALSE)</f>
        <v>19.95</v>
      </c>
    </row>
    <row r="92" spans="1:69" x14ac:dyDescent="0.25">
      <c r="A92" t="s">
        <v>205</v>
      </c>
      <c r="B92">
        <f>VLOOKUP($A92,'UN Treasury'!$A$1:$BQ$224,_xlfn.XMATCH(B$1,'UN Treasury'!$A$1:$BQ$1,-1,1),FALSE)</f>
        <v>4.0839999999999996</v>
      </c>
      <c r="C92">
        <f>VLOOKUP($A92,'UN Treasury'!$A$1:$BQ$224,_xlfn.XMATCH(C$1,'UN Treasury'!$A$1:$BQ$1,-1,1),FALSE)</f>
        <v>4.0670000000000002</v>
      </c>
      <c r="D92">
        <f>VLOOKUP($A92,'UN Treasury'!$A$1:$BQ$224,_xlfn.XMATCH(D$1,'UN Treasury'!$A$1:$BQ$1,-1,1),FALSE)</f>
        <v>4.0609999999999999</v>
      </c>
      <c r="E92">
        <f>VLOOKUP($A92,'UN Treasury'!$A$1:$BQ$224,_xlfn.XMATCH(E$1,'UN Treasury'!$A$1:$BQ$1,-1,1),FALSE)</f>
        <v>3.9289999999999998</v>
      </c>
      <c r="F92">
        <f>VLOOKUP($A92,'UN Treasury'!$A$1:$BQ$224,_xlfn.XMATCH(F$1,'UN Treasury'!$A$1:$BQ$1,-1,1),FALSE)</f>
        <v>3.9740000000000002</v>
      </c>
      <c r="G92">
        <f>VLOOKUP($A92,'UN Treasury'!$A$1:$BQ$224,_xlfn.XMATCH(G$1,'UN Treasury'!$A$1:$BQ$1,-1,1),FALSE)</f>
        <v>3.9239999999999999</v>
      </c>
      <c r="H92">
        <f>VLOOKUP($A92,'UN Treasury'!$A$1:$BQ$224,_xlfn.XMATCH(H$1,'UN Treasury'!$A$1:$BQ$1,-1,1),FALSE)</f>
        <v>3.9</v>
      </c>
      <c r="I92">
        <f>VLOOKUP($A92,'UN Treasury'!$A$1:$BQ$224,_xlfn.XMATCH(I$1,'UN Treasury'!$A$1:$BQ$1,-1,1),FALSE)</f>
        <v>4.056</v>
      </c>
      <c r="J92">
        <f>VLOOKUP($A92,'UN Treasury'!$A$1:$BQ$224,_xlfn.XMATCH(J$1,'UN Treasury'!$A$1:$BQ$1,-1,1),FALSE)</f>
        <v>4.1040000000000001</v>
      </c>
      <c r="K92">
        <f>VLOOKUP($A92,'UN Treasury'!$A$1:$BQ$224,_xlfn.XMATCH(K$1,'UN Treasury'!$A$1:$BQ$1,-1,1),FALSE)</f>
        <v>4.1319999999999997</v>
      </c>
      <c r="L92">
        <f>VLOOKUP($A92,'UN Treasury'!$A$1:$BQ$224,_xlfn.XMATCH(L$1,'UN Treasury'!$A$1:$BQ$1,-1,1),FALSE)</f>
        <v>4.226</v>
      </c>
      <c r="M92">
        <f>VLOOKUP($A92,'UN Treasury'!$A$1:$BQ$224,_xlfn.XMATCH(M$1,'UN Treasury'!$A$1:$BQ$1,-1,1),FALSE)</f>
        <v>4.218</v>
      </c>
      <c r="N92">
        <f>VLOOKUP($A92,'UN Treasury'!$A$1:$BQ$224,_xlfn.XMATCH(N$1,'UN Treasury'!$A$1:$BQ$1,-1,1),FALSE)</f>
        <v>4.2050000000000001</v>
      </c>
      <c r="O92">
        <f>VLOOKUP($A92,'UN Treasury'!$A$1:$BQ$224,_xlfn.XMATCH(O$1,'UN Treasury'!$A$1:$BQ$1,-1,1),FALSE)</f>
        <v>4.2480000000000002</v>
      </c>
      <c r="P92">
        <f>VLOOKUP($A92,'UN Treasury'!$A$1:$BQ$224,_xlfn.XMATCH(P$1,'UN Treasury'!$A$1:$BQ$1,-1,1),FALSE)</f>
        <v>4.2350000000000003</v>
      </c>
      <c r="Q92">
        <f>VLOOKUP($A92,'UN Treasury'!$A$1:$BQ$224,_xlfn.XMATCH(Q$1,'UN Treasury'!$A$1:$BQ$1,-1,1),FALSE)</f>
        <v>4.319</v>
      </c>
      <c r="R92">
        <f>VLOOKUP($A92,'UN Treasury'!$A$1:$BQ$224,_xlfn.XMATCH(R$1,'UN Treasury'!$A$1:$BQ$1,-1,1),FALSE)</f>
        <v>4.42</v>
      </c>
      <c r="S92">
        <f>VLOOKUP($A92,'UN Treasury'!$A$1:$BQ$224,_xlfn.XMATCH(S$1,'UN Treasury'!$A$1:$BQ$1,-1,1),FALSE)</f>
        <v>4.4260000000000002</v>
      </c>
      <c r="T92">
        <f>VLOOKUP($A92,'UN Treasury'!$A$1:$BQ$224,_xlfn.XMATCH(T$1,'UN Treasury'!$A$1:$BQ$1,-1,1),FALSE)</f>
        <v>4.468</v>
      </c>
      <c r="U92">
        <f>VLOOKUP($A92,'UN Treasury'!$A$1:$BQ$224,_xlfn.XMATCH(U$1,'UN Treasury'!$A$1:$BQ$1,-1,1),FALSE)</f>
        <v>4.508</v>
      </c>
      <c r="V92">
        <f>VLOOKUP($A92,'UN Treasury'!$A$1:$BQ$224,_xlfn.XMATCH(V$1,'UN Treasury'!$A$1:$BQ$1,-1,1),FALSE)</f>
        <v>4.43</v>
      </c>
      <c r="W92">
        <f>VLOOKUP($A92,'UN Treasury'!$A$1:$BQ$224,_xlfn.XMATCH(W$1,'UN Treasury'!$A$1:$BQ$1,-1,1),FALSE)</f>
        <v>4.4450000000000003</v>
      </c>
      <c r="X92">
        <f>VLOOKUP($A92,'UN Treasury'!$A$1:$BQ$224,_xlfn.XMATCH(X$1,'UN Treasury'!$A$1:$BQ$1,-1,1),FALSE)</f>
        <v>4.2869999999999999</v>
      </c>
      <c r="Y92">
        <f>VLOOKUP($A92,'UN Treasury'!$A$1:$BQ$224,_xlfn.XMATCH(Y$1,'UN Treasury'!$A$1:$BQ$1,-1,1),FALSE)</f>
        <v>4.327</v>
      </c>
      <c r="Z92">
        <f>VLOOKUP($A92,'UN Treasury'!$A$1:$BQ$224,_xlfn.XMATCH(Z$1,'UN Treasury'!$A$1:$BQ$1,-1,1),FALSE)</f>
        <v>4.444</v>
      </c>
      <c r="AA92">
        <f>VLOOKUP($A92,'UN Treasury'!$A$1:$BQ$224,_xlfn.XMATCH(AA$1,'UN Treasury'!$A$1:$BQ$1,-1,1),FALSE)</f>
        <v>4.6859999999999999</v>
      </c>
      <c r="AB92">
        <f>VLOOKUP($A92,'UN Treasury'!$A$1:$BQ$224,_xlfn.XMATCH(AB$1,'UN Treasury'!$A$1:$BQ$1,-1,1),FALSE)</f>
        <v>4.7160000000000002</v>
      </c>
      <c r="AC92">
        <f>VLOOKUP($A92,'UN Treasury'!$A$1:$BQ$224,_xlfn.XMATCH(AC$1,'UN Treasury'!$A$1:$BQ$1,-1,1),FALSE)</f>
        <v>4.7270000000000003</v>
      </c>
      <c r="AD92">
        <f>VLOOKUP($A92,'UN Treasury'!$A$1:$BQ$224,_xlfn.XMATCH(AD$1,'UN Treasury'!$A$1:$BQ$1,-1,1),FALSE)</f>
        <v>4.7480000000000002</v>
      </c>
      <c r="AE92">
        <f>VLOOKUP($A92,'UN Treasury'!$A$1:$BQ$224,_xlfn.XMATCH(AE$1,'UN Treasury'!$A$1:$BQ$1,-1,1),FALSE)</f>
        <v>4.6849999999999996</v>
      </c>
      <c r="AF92">
        <f>VLOOKUP($A92,'UN Treasury'!$A$1:$BQ$224,_xlfn.XMATCH(AF$1,'UN Treasury'!$A$1:$BQ$1,-1,1),FALSE)</f>
        <v>4.76</v>
      </c>
      <c r="AG92">
        <f>VLOOKUP($A92,'UN Treasury'!$A$1:$BQ$224,_xlfn.XMATCH(AG$1,'UN Treasury'!$A$1:$BQ$1,-1,1),FALSE)</f>
        <v>4.6429999999999998</v>
      </c>
      <c r="AH92">
        <f>VLOOKUP($A92,'UN Treasury'!$A$1:$BQ$224,_xlfn.XMATCH(AH$1,'UN Treasury'!$A$1:$BQ$1,-1,1),FALSE)</f>
        <v>4.7039999999999997</v>
      </c>
      <c r="AI92">
        <f>VLOOKUP($A92,'UN Treasury'!$A$1:$BQ$224,_xlfn.XMATCH(AI$1,'UN Treasury'!$A$1:$BQ$1,-1,1),FALSE)</f>
        <v>4.7069999999999999</v>
      </c>
      <c r="AJ92">
        <f>VLOOKUP($A92,'UN Treasury'!$A$1:$BQ$224,_xlfn.XMATCH(AJ$1,'UN Treasury'!$A$1:$BQ$1,-1,1),FALSE)</f>
        <v>4.7149999999999999</v>
      </c>
      <c r="AK92">
        <f>VLOOKUP($A92,'UN Treasury'!$A$1:$BQ$224,_xlfn.XMATCH(AK$1,'UN Treasury'!$A$1:$BQ$1,-1,1),FALSE)</f>
        <v>4.6790000000000003</v>
      </c>
      <c r="AL92">
        <f>VLOOKUP($A92,'UN Treasury'!$A$1:$BQ$224,_xlfn.XMATCH(AL$1,'UN Treasury'!$A$1:$BQ$1,-1,1),FALSE)</f>
        <v>4.5869999999999997</v>
      </c>
      <c r="AM92">
        <f>VLOOKUP($A92,'UN Treasury'!$A$1:$BQ$224,_xlfn.XMATCH(AM$1,'UN Treasury'!$A$1:$BQ$1,-1,1),FALSE)</f>
        <v>4.6500000000000004</v>
      </c>
      <c r="AN92">
        <f>VLOOKUP($A92,'UN Treasury'!$A$1:$BQ$224,_xlfn.XMATCH(AN$1,'UN Treasury'!$A$1:$BQ$1,-1,1),FALSE)</f>
        <v>4.6120000000000001</v>
      </c>
      <c r="AO92">
        <f>VLOOKUP($A92,'UN Treasury'!$A$1:$BQ$224,_xlfn.XMATCH(AO$1,'UN Treasury'!$A$1:$BQ$1,-1,1),FALSE)</f>
        <v>4.4619999999999997</v>
      </c>
      <c r="AP92">
        <f>VLOOKUP($A92,'UN Treasury'!$A$1:$BQ$224,_xlfn.XMATCH(AP$1,'UN Treasury'!$A$1:$BQ$1,-1,1),FALSE)</f>
        <v>4.407</v>
      </c>
      <c r="AQ92">
        <f>VLOOKUP($A92,'UN Treasury'!$A$1:$BQ$224,_xlfn.XMATCH(AQ$1,'UN Treasury'!$A$1:$BQ$1,-1,1),FALSE)</f>
        <v>4.4930000000000003</v>
      </c>
      <c r="AR92">
        <f>VLOOKUP($A92,'UN Treasury'!$A$1:$BQ$224,_xlfn.XMATCH(AR$1,'UN Treasury'!$A$1:$BQ$1,-1,1),FALSE)</f>
        <v>4.3600000000000003</v>
      </c>
      <c r="AS92">
        <f>VLOOKUP($A92,'UN Treasury'!$A$1:$BQ$224,_xlfn.XMATCH(AS$1,'UN Treasury'!$A$1:$BQ$1,-1,1),FALSE)</f>
        <v>4.3680000000000003</v>
      </c>
      <c r="AT92">
        <f>VLOOKUP($A92,'UN Treasury'!$A$1:$BQ$224,_xlfn.XMATCH(AT$1,'UN Treasury'!$A$1:$BQ$1,-1,1),FALSE)</f>
        <v>4.4260000000000002</v>
      </c>
      <c r="AU92">
        <f>VLOOKUP($A92,'UN Treasury'!$A$1:$BQ$224,_xlfn.XMATCH(AU$1,'UN Treasury'!$A$1:$BQ$1,-1,1),FALSE)</f>
        <v>4.62</v>
      </c>
      <c r="AV92">
        <f>VLOOKUP($A92,'UN Treasury'!$A$1:$BQ$224,_xlfn.XMATCH(AV$1,'UN Treasury'!$A$1:$BQ$1,-1,1),FALSE)</f>
        <v>4.6820000000000004</v>
      </c>
      <c r="AW92">
        <f>VLOOKUP($A92,'UN Treasury'!$A$1:$BQ$224,_xlfn.XMATCH(AW$1,'UN Treasury'!$A$1:$BQ$1,-1,1),FALSE)</f>
        <v>4.5069999999999997</v>
      </c>
      <c r="AX92">
        <f>VLOOKUP($A92,'UN Treasury'!$A$1:$BQ$224,_xlfn.XMATCH(AX$1,'UN Treasury'!$A$1:$BQ$1,-1,1),FALSE)</f>
        <v>4.4450000000000003</v>
      </c>
      <c r="AY92">
        <f>VLOOKUP($A92,'UN Treasury'!$A$1:$BQ$224,_xlfn.XMATCH(AY$1,'UN Treasury'!$A$1:$BQ$1,-1,1),FALSE)</f>
        <v>4.4359999999999999</v>
      </c>
      <c r="AZ92">
        <f>VLOOKUP($A92,'UN Treasury'!$A$1:$BQ$224,_xlfn.XMATCH(AZ$1,'UN Treasury'!$A$1:$BQ$1,-1,1),FALSE)</f>
        <v>4.4169999999999998</v>
      </c>
      <c r="BA92">
        <f>VLOOKUP($A92,'UN Treasury'!$A$1:$BQ$224,_xlfn.XMATCH(BA$1,'UN Treasury'!$A$1:$BQ$1,-1,1),FALSE)</f>
        <v>4.3760000000000003</v>
      </c>
      <c r="BB92">
        <f>VLOOKUP($A92,'UN Treasury'!$A$1:$BQ$224,_xlfn.XMATCH(BB$1,'UN Treasury'!$A$1:$BQ$1,-1,1),FALSE)</f>
        <v>4.2309999999999999</v>
      </c>
      <c r="BC92">
        <f>VLOOKUP($A92,'UN Treasury'!$A$1:$BQ$224,_xlfn.XMATCH(BC$1,'UN Treasury'!$A$1:$BQ$1,-1,1),FALSE)</f>
        <v>4.194</v>
      </c>
      <c r="BD92">
        <f>VLOOKUP($A92,'UN Treasury'!$A$1:$BQ$224,_xlfn.XMATCH(BD$1,'UN Treasury'!$A$1:$BQ$1,-1,1),FALSE)</f>
        <v>4.1890000000000001</v>
      </c>
      <c r="BE92">
        <f>VLOOKUP($A92,'UN Treasury'!$A$1:$BQ$224,_xlfn.XMATCH(BE$1,'UN Treasury'!$A$1:$BQ$1,-1,1),FALSE)</f>
        <v>4.1849999999999996</v>
      </c>
      <c r="BF92">
        <f>VLOOKUP($A92,'UN Treasury'!$A$1:$BQ$224,_xlfn.XMATCH(BF$1,'UN Treasury'!$A$1:$BQ$1,-1,1),FALSE)</f>
        <v>4.2370000000000001</v>
      </c>
      <c r="BG92">
        <f>VLOOKUP($A92,'UN Treasury'!$A$1:$BQ$224,_xlfn.XMATCH(BG$1,'UN Treasury'!$A$1:$BQ$1,-1,1),FALSE)</f>
        <v>4.149</v>
      </c>
      <c r="BH92">
        <f>VLOOKUP($A92,'UN Treasury'!$A$1:$BQ$224,_xlfn.XMATCH(BH$1,'UN Treasury'!$A$1:$BQ$1,-1,1),FALSE)</f>
        <v>4.1829999999999998</v>
      </c>
      <c r="BI92">
        <f>VLOOKUP($A92,'UN Treasury'!$A$1:$BQ$224,_xlfn.XMATCH(BI$1,'UN Treasury'!$A$1:$BQ$1,-1,1),FALSE)</f>
        <v>4.1529999999999996</v>
      </c>
      <c r="BJ92">
        <f>VLOOKUP($A92,'UN Treasury'!$A$1:$BQ$224,_xlfn.XMATCH(BJ$1,'UN Treasury'!$A$1:$BQ$1,-1,1),FALSE)</f>
        <v>4.2359999999999998</v>
      </c>
      <c r="BK92">
        <f>VLOOKUP($A92,'UN Treasury'!$A$1:$BQ$224,_xlfn.XMATCH(BK$1,'UN Treasury'!$A$1:$BQ$1,-1,1),FALSE)</f>
        <v>4.1449999999999996</v>
      </c>
      <c r="BL92">
        <f>VLOOKUP($A92,'UN Treasury'!$A$1:$BQ$224,_xlfn.XMATCH(BL$1,'UN Treasury'!$A$1:$BQ$1,-1,1),FALSE)</f>
        <v>4.1390000000000002</v>
      </c>
      <c r="BM92">
        <f>VLOOKUP($A92,'UN Treasury'!$A$1:$BQ$224,_xlfn.XMATCH(BM$1,'UN Treasury'!$A$1:$BQ$1,-1,1),FALSE)</f>
        <v>4.1029999999999998</v>
      </c>
      <c r="BN92">
        <f>VLOOKUP($A92,'UN Treasury'!$A$1:$BQ$224,_xlfn.XMATCH(BN$1,'UN Treasury'!$A$1:$BQ$1,-1,1),FALSE)</f>
        <v>4.1500000000000004</v>
      </c>
      <c r="BO92">
        <f>VLOOKUP($A92,'UN Treasury'!$A$1:$BQ$224,_xlfn.XMATCH(BO$1,'UN Treasury'!$A$1:$BQ$1,-1,1),FALSE)</f>
        <v>4.04</v>
      </c>
      <c r="BP92">
        <f>VLOOKUP($A92,'UN Treasury'!$A$1:$BQ$224,_xlfn.XMATCH(BP$1,'UN Treasury'!$A$1:$BQ$1,-1,1),FALSE)</f>
        <v>4.0449999999999999</v>
      </c>
      <c r="BQ92">
        <f>VLOOKUP($A92,'UN Treasury'!$A$1:$BQ$224,_xlfn.XMATCH(BQ$1,'UN Treasury'!$A$1:$BQ$1,-1,1),FALSE)</f>
        <v>4.0460000000000003</v>
      </c>
    </row>
    <row r="93" spans="1:69" x14ac:dyDescent="0.25">
      <c r="A93" t="s">
        <v>207</v>
      </c>
      <c r="B93">
        <f>VLOOKUP($A93,'UN Treasury'!$A$1:$BQ$224,_xlfn.XMATCH(B$1,'UN Treasury'!$A$1:$BQ$1,-1,1),FALSE)</f>
        <v>63.27</v>
      </c>
      <c r="C93">
        <f>VLOOKUP($A93,'UN Treasury'!$A$1:$BQ$224,_xlfn.XMATCH(C$1,'UN Treasury'!$A$1:$BQ$1,-1,1),FALSE)</f>
        <v>63.209000000000003</v>
      </c>
      <c r="D93">
        <f>VLOOKUP($A93,'UN Treasury'!$A$1:$BQ$224,_xlfn.XMATCH(D$1,'UN Treasury'!$A$1:$BQ$1,-1,1),FALSE)</f>
        <v>63.29</v>
      </c>
      <c r="E93">
        <f>VLOOKUP($A93,'UN Treasury'!$A$1:$BQ$224,_xlfn.XMATCH(E$1,'UN Treasury'!$A$1:$BQ$1,-1,1),FALSE)</f>
        <v>63.222000000000001</v>
      </c>
      <c r="F93">
        <f>VLOOKUP($A93,'UN Treasury'!$A$1:$BQ$224,_xlfn.XMATCH(F$1,'UN Treasury'!$A$1:$BQ$1,-1,1),FALSE)</f>
        <v>63.298999999999999</v>
      </c>
      <c r="G93">
        <f>VLOOKUP($A93,'UN Treasury'!$A$1:$BQ$224,_xlfn.XMATCH(G$1,'UN Treasury'!$A$1:$BQ$1,-1,1),FALSE)</f>
        <v>63.25</v>
      </c>
      <c r="H93">
        <f>VLOOKUP($A93,'UN Treasury'!$A$1:$BQ$224,_xlfn.XMATCH(H$1,'UN Treasury'!$A$1:$BQ$1,-1,1),FALSE)</f>
        <v>63.25</v>
      </c>
      <c r="I93">
        <f>VLOOKUP($A93,'UN Treasury'!$A$1:$BQ$224,_xlfn.XMATCH(I$1,'UN Treasury'!$A$1:$BQ$1,-1,1),FALSE)</f>
        <v>63.25</v>
      </c>
      <c r="J93">
        <f>VLOOKUP($A93,'UN Treasury'!$A$1:$BQ$224,_xlfn.XMATCH(J$1,'UN Treasury'!$A$1:$BQ$1,-1,1),FALSE)</f>
        <v>63.29</v>
      </c>
      <c r="K93">
        <f>VLOOKUP($A93,'UN Treasury'!$A$1:$BQ$224,_xlfn.XMATCH(K$1,'UN Treasury'!$A$1:$BQ$1,-1,1),FALSE)</f>
        <v>63.25</v>
      </c>
      <c r="L93">
        <f>VLOOKUP($A93,'UN Treasury'!$A$1:$BQ$224,_xlfn.XMATCH(L$1,'UN Treasury'!$A$1:$BQ$1,-1,1),FALSE)</f>
        <v>63.25</v>
      </c>
      <c r="M93">
        <f>VLOOKUP($A93,'UN Treasury'!$A$1:$BQ$224,_xlfn.XMATCH(M$1,'UN Treasury'!$A$1:$BQ$1,-1,1),FALSE)</f>
        <v>63.25</v>
      </c>
      <c r="N93">
        <f>VLOOKUP($A93,'UN Treasury'!$A$1:$BQ$224,_xlfn.XMATCH(N$1,'UN Treasury'!$A$1:$BQ$1,-1,1),FALSE)</f>
        <v>63.25</v>
      </c>
      <c r="O93">
        <f>VLOOKUP($A93,'UN Treasury'!$A$1:$BQ$224,_xlfn.XMATCH(O$1,'UN Treasury'!$A$1:$BQ$1,-1,1),FALSE)</f>
        <v>63.25</v>
      </c>
      <c r="P93">
        <f>VLOOKUP($A93,'UN Treasury'!$A$1:$BQ$224,_xlfn.XMATCH(P$1,'UN Treasury'!$A$1:$BQ$1,-1,1),FALSE)</f>
        <v>63.25</v>
      </c>
      <c r="Q93">
        <f>VLOOKUP($A93,'UN Treasury'!$A$1:$BQ$224,_xlfn.XMATCH(Q$1,'UN Treasury'!$A$1:$BQ$1,-1,1),FALSE)</f>
        <v>63.25</v>
      </c>
      <c r="R93">
        <f>VLOOKUP($A93,'UN Treasury'!$A$1:$BQ$224,_xlfn.XMATCH(R$1,'UN Treasury'!$A$1:$BQ$1,-1,1),FALSE)</f>
        <v>63.25</v>
      </c>
      <c r="S93">
        <f>VLOOKUP($A93,'UN Treasury'!$A$1:$BQ$224,_xlfn.XMATCH(S$1,'UN Treasury'!$A$1:$BQ$1,-1,1),FALSE)</f>
        <v>63.25</v>
      </c>
      <c r="T93">
        <f>VLOOKUP($A93,'UN Treasury'!$A$1:$BQ$224,_xlfn.XMATCH(T$1,'UN Treasury'!$A$1:$BQ$1,-1,1),FALSE)</f>
        <v>63.25</v>
      </c>
      <c r="U93">
        <f>VLOOKUP($A93,'UN Treasury'!$A$1:$BQ$224,_xlfn.XMATCH(U$1,'UN Treasury'!$A$1:$BQ$1,-1,1),FALSE)</f>
        <v>63.25</v>
      </c>
      <c r="V93">
        <f>VLOOKUP($A93,'UN Treasury'!$A$1:$BQ$224,_xlfn.XMATCH(V$1,'UN Treasury'!$A$1:$BQ$1,-1,1),FALSE)</f>
        <v>63.25</v>
      </c>
      <c r="W93">
        <f>VLOOKUP($A93,'UN Treasury'!$A$1:$BQ$224,_xlfn.XMATCH(W$1,'UN Treasury'!$A$1:$BQ$1,-1,1),FALSE)</f>
        <v>63.25</v>
      </c>
      <c r="X93">
        <f>VLOOKUP($A93,'UN Treasury'!$A$1:$BQ$224,_xlfn.XMATCH(X$1,'UN Treasury'!$A$1:$BQ$1,-1,1),FALSE)</f>
        <v>63.25</v>
      </c>
      <c r="Y93">
        <f>VLOOKUP($A93,'UN Treasury'!$A$1:$BQ$224,_xlfn.XMATCH(Y$1,'UN Treasury'!$A$1:$BQ$1,-1,1),FALSE)</f>
        <v>63.25</v>
      </c>
      <c r="Z93">
        <f>VLOOKUP($A93,'UN Treasury'!$A$1:$BQ$224,_xlfn.XMATCH(Z$1,'UN Treasury'!$A$1:$BQ$1,-1,1),FALSE)</f>
        <v>63.25</v>
      </c>
      <c r="AA93">
        <f>VLOOKUP($A93,'UN Treasury'!$A$1:$BQ$224,_xlfn.XMATCH(AA$1,'UN Treasury'!$A$1:$BQ$1,-1,1),FALSE)</f>
        <v>63.25</v>
      </c>
      <c r="AB93">
        <f>VLOOKUP($A93,'UN Treasury'!$A$1:$BQ$224,_xlfn.XMATCH(AB$1,'UN Treasury'!$A$1:$BQ$1,-1,1),FALSE)</f>
        <v>63.25</v>
      </c>
      <c r="AC93">
        <f>VLOOKUP($A93,'UN Treasury'!$A$1:$BQ$224,_xlfn.XMATCH(AC$1,'UN Treasury'!$A$1:$BQ$1,-1,1),FALSE)</f>
        <v>63.25</v>
      </c>
      <c r="AD93">
        <f>VLOOKUP($A93,'UN Treasury'!$A$1:$BQ$224,_xlfn.XMATCH(AD$1,'UN Treasury'!$A$1:$BQ$1,-1,1),FALSE)</f>
        <v>64.180999999999997</v>
      </c>
      <c r="AE93">
        <f>VLOOKUP($A93,'UN Treasury'!$A$1:$BQ$224,_xlfn.XMATCH(AE$1,'UN Treasury'!$A$1:$BQ$1,-1,1),FALSE)</f>
        <v>63.957000000000001</v>
      </c>
      <c r="AF93">
        <f>VLOOKUP($A93,'UN Treasury'!$A$1:$BQ$224,_xlfn.XMATCH(AF$1,'UN Treasury'!$A$1:$BQ$1,-1,1),FALSE)</f>
        <v>63.25</v>
      </c>
      <c r="AG93">
        <f>VLOOKUP($A93,'UN Treasury'!$A$1:$BQ$224,_xlfn.XMATCH(AG$1,'UN Treasury'!$A$1:$BQ$1,-1,1),FALSE)</f>
        <v>63.920999999999999</v>
      </c>
      <c r="AH93">
        <f>VLOOKUP($A93,'UN Treasury'!$A$1:$BQ$224,_xlfn.XMATCH(AH$1,'UN Treasury'!$A$1:$BQ$1,-1,1),FALSE)</f>
        <v>63.25</v>
      </c>
      <c r="AI93">
        <f>VLOOKUP($A93,'UN Treasury'!$A$1:$BQ$224,_xlfn.XMATCH(AI$1,'UN Treasury'!$A$1:$BQ$1,-1,1),FALSE)</f>
        <v>63.25</v>
      </c>
      <c r="AJ93">
        <f>VLOOKUP($A93,'UN Treasury'!$A$1:$BQ$224,_xlfn.XMATCH(AJ$1,'UN Treasury'!$A$1:$BQ$1,-1,1),FALSE)</f>
        <v>63.25</v>
      </c>
      <c r="AK93">
        <f>VLOOKUP($A93,'UN Treasury'!$A$1:$BQ$224,_xlfn.XMATCH(AK$1,'UN Treasury'!$A$1:$BQ$1,-1,1),FALSE)</f>
        <v>63.25</v>
      </c>
      <c r="AL93">
        <f>VLOOKUP($A93,'UN Treasury'!$A$1:$BQ$224,_xlfn.XMATCH(AL$1,'UN Treasury'!$A$1:$BQ$1,-1,1),FALSE)</f>
        <v>63.25</v>
      </c>
      <c r="AM93">
        <f>VLOOKUP($A93,'UN Treasury'!$A$1:$BQ$224,_xlfn.XMATCH(AM$1,'UN Treasury'!$A$1:$BQ$1,-1,1),FALSE)</f>
        <v>63.25</v>
      </c>
      <c r="AN93">
        <f>VLOOKUP($A93,'UN Treasury'!$A$1:$BQ$224,_xlfn.XMATCH(AN$1,'UN Treasury'!$A$1:$BQ$1,-1,1),FALSE)</f>
        <v>63.25</v>
      </c>
      <c r="AO93">
        <f>VLOOKUP($A93,'UN Treasury'!$A$1:$BQ$224,_xlfn.XMATCH(AO$1,'UN Treasury'!$A$1:$BQ$1,-1,1),FALSE)</f>
        <v>63.25</v>
      </c>
      <c r="AP93">
        <f>VLOOKUP($A93,'UN Treasury'!$A$1:$BQ$224,_xlfn.XMATCH(AP$1,'UN Treasury'!$A$1:$BQ$1,-1,1),FALSE)</f>
        <v>63.25</v>
      </c>
      <c r="AQ93">
        <f>VLOOKUP($A93,'UN Treasury'!$A$1:$BQ$224,_xlfn.XMATCH(AQ$1,'UN Treasury'!$A$1:$BQ$1,-1,1),FALSE)</f>
        <v>63.25</v>
      </c>
      <c r="AR93">
        <f>VLOOKUP($A93,'UN Treasury'!$A$1:$BQ$224,_xlfn.XMATCH(AR$1,'UN Treasury'!$A$1:$BQ$1,-1,1),FALSE)</f>
        <v>63.688000000000002</v>
      </c>
      <c r="AS93">
        <f>VLOOKUP($A93,'UN Treasury'!$A$1:$BQ$224,_xlfn.XMATCH(AS$1,'UN Treasury'!$A$1:$BQ$1,-1,1),FALSE)</f>
        <v>63.832000000000001</v>
      </c>
      <c r="AT93">
        <f>VLOOKUP($A93,'UN Treasury'!$A$1:$BQ$224,_xlfn.XMATCH(AT$1,'UN Treasury'!$A$1:$BQ$1,-1,1),FALSE)</f>
        <v>63.25</v>
      </c>
      <c r="AU93">
        <f>VLOOKUP($A93,'UN Treasury'!$A$1:$BQ$224,_xlfn.XMATCH(AU$1,'UN Treasury'!$A$1:$BQ$1,-1,1),FALSE)</f>
        <v>63.25</v>
      </c>
      <c r="AV93">
        <f>VLOOKUP($A93,'UN Treasury'!$A$1:$BQ$224,_xlfn.XMATCH(AV$1,'UN Treasury'!$A$1:$BQ$1,-1,1),FALSE)</f>
        <v>63.25</v>
      </c>
      <c r="AW93">
        <f>VLOOKUP($A93,'UN Treasury'!$A$1:$BQ$224,_xlfn.XMATCH(AW$1,'UN Treasury'!$A$1:$BQ$1,-1,1),FALSE)</f>
        <v>63.25</v>
      </c>
      <c r="AX93">
        <f>VLOOKUP($A93,'UN Treasury'!$A$1:$BQ$224,_xlfn.XMATCH(AX$1,'UN Treasury'!$A$1:$BQ$1,-1,1),FALSE)</f>
        <v>63.25</v>
      </c>
      <c r="AY93">
        <f>VLOOKUP($A93,'UN Treasury'!$A$1:$BQ$224,_xlfn.XMATCH(AY$1,'UN Treasury'!$A$1:$BQ$1,-1,1),FALSE)</f>
        <v>63.25</v>
      </c>
      <c r="AZ93">
        <f>VLOOKUP($A93,'UN Treasury'!$A$1:$BQ$224,_xlfn.XMATCH(AZ$1,'UN Treasury'!$A$1:$BQ$1,-1,1),FALSE)</f>
        <v>63.883000000000003</v>
      </c>
      <c r="BA93">
        <f>VLOOKUP($A93,'UN Treasury'!$A$1:$BQ$224,_xlfn.XMATCH(BA$1,'UN Treasury'!$A$1:$BQ$1,-1,1),FALSE)</f>
        <v>63.808</v>
      </c>
      <c r="BB93">
        <f>VLOOKUP($A93,'UN Treasury'!$A$1:$BQ$224,_xlfn.XMATCH(BB$1,'UN Treasury'!$A$1:$BQ$1,-1,1),FALSE)</f>
        <v>63.875999999999998</v>
      </c>
      <c r="BC93">
        <f>VLOOKUP($A93,'UN Treasury'!$A$1:$BQ$224,_xlfn.XMATCH(BC$1,'UN Treasury'!$A$1:$BQ$1,-1,1),FALSE)</f>
        <v>63.2</v>
      </c>
      <c r="BD93">
        <f>VLOOKUP($A93,'UN Treasury'!$A$1:$BQ$224,_xlfn.XMATCH(BD$1,'UN Treasury'!$A$1:$BQ$1,-1,1),FALSE)</f>
        <v>63.2</v>
      </c>
      <c r="BE93">
        <f>VLOOKUP($A93,'UN Treasury'!$A$1:$BQ$224,_xlfn.XMATCH(BE$1,'UN Treasury'!$A$1:$BQ$1,-1,1),FALSE)</f>
        <v>63.2</v>
      </c>
      <c r="BF93">
        <f>VLOOKUP($A93,'UN Treasury'!$A$1:$BQ$224,_xlfn.XMATCH(BF$1,'UN Treasury'!$A$1:$BQ$1,-1,1),FALSE)</f>
        <v>63.2</v>
      </c>
      <c r="BG93">
        <f>VLOOKUP($A93,'UN Treasury'!$A$1:$BQ$224,_xlfn.XMATCH(BG$1,'UN Treasury'!$A$1:$BQ$1,-1,1),FALSE)</f>
        <v>63.2</v>
      </c>
      <c r="BH93">
        <f>VLOOKUP($A93,'UN Treasury'!$A$1:$BQ$224,_xlfn.XMATCH(BH$1,'UN Treasury'!$A$1:$BQ$1,-1,1),FALSE)</f>
        <v>63.2</v>
      </c>
      <c r="BI93">
        <f>VLOOKUP($A93,'UN Treasury'!$A$1:$BQ$224,_xlfn.XMATCH(BI$1,'UN Treasury'!$A$1:$BQ$1,-1,1),FALSE)</f>
        <v>63.1</v>
      </c>
      <c r="BJ93">
        <f>VLOOKUP($A93,'UN Treasury'!$A$1:$BQ$224,_xlfn.XMATCH(BJ$1,'UN Treasury'!$A$1:$BQ$1,-1,1),FALSE)</f>
        <v>62.5</v>
      </c>
      <c r="BK93">
        <f>VLOOKUP($A93,'UN Treasury'!$A$1:$BQ$224,_xlfn.XMATCH(BK$1,'UN Treasury'!$A$1:$BQ$1,-1,1),FALSE)</f>
        <v>62.5</v>
      </c>
      <c r="BL93">
        <f>VLOOKUP($A93,'UN Treasury'!$A$1:$BQ$224,_xlfn.XMATCH(BL$1,'UN Treasury'!$A$1:$BQ$1,-1,1),FALSE)</f>
        <v>59.15</v>
      </c>
      <c r="BM93">
        <f>VLOOKUP($A93,'UN Treasury'!$A$1:$BQ$224,_xlfn.XMATCH(BM$1,'UN Treasury'!$A$1:$BQ$1,-1,1),FALSE)</f>
        <v>55</v>
      </c>
      <c r="BN93">
        <f>VLOOKUP($A93,'UN Treasury'!$A$1:$BQ$224,_xlfn.XMATCH(BN$1,'UN Treasury'!$A$1:$BQ$1,-1,1),FALSE)</f>
        <v>58.07</v>
      </c>
      <c r="BO93">
        <f>VLOOKUP($A93,'UN Treasury'!$A$1:$BQ$224,_xlfn.XMATCH(BO$1,'UN Treasury'!$A$1:$BQ$1,-1,1),FALSE)</f>
        <v>74.45</v>
      </c>
      <c r="BP93">
        <f>VLOOKUP($A93,'UN Treasury'!$A$1:$BQ$224,_xlfn.XMATCH(BP$1,'UN Treasury'!$A$1:$BQ$1,-1,1),FALSE)</f>
        <v>74.150000000000006</v>
      </c>
      <c r="BQ93">
        <f>VLOOKUP($A93,'UN Treasury'!$A$1:$BQ$224,_xlfn.XMATCH(BQ$1,'UN Treasury'!$A$1:$BQ$1,-1,1),FALSE)</f>
        <v>73.7</v>
      </c>
    </row>
    <row r="94" spans="1:69" x14ac:dyDescent="0.25">
      <c r="A94" t="s">
        <v>208</v>
      </c>
      <c r="B94">
        <f>VLOOKUP($A94,'UN Treasury'!$A$1:$BQ$224,_xlfn.XMATCH(B$1,'UN Treasury'!$A$1:$BQ$1,-1,1),FALSE)</f>
        <v>16.131</v>
      </c>
      <c r="C94">
        <f>VLOOKUP($A94,'UN Treasury'!$A$1:$BQ$224,_xlfn.XMATCH(C$1,'UN Treasury'!$A$1:$BQ$1,-1,1),FALSE)</f>
        <v>16.356000000000002</v>
      </c>
      <c r="D94">
        <f>VLOOKUP($A94,'UN Treasury'!$A$1:$BQ$224,_xlfn.XMATCH(D$1,'UN Treasury'!$A$1:$BQ$1,-1,1),FALSE)</f>
        <v>16.521999999999998</v>
      </c>
      <c r="E94">
        <f>VLOOKUP($A94,'UN Treasury'!$A$1:$BQ$224,_xlfn.XMATCH(E$1,'UN Treasury'!$A$1:$BQ$1,-1,1),FALSE)</f>
        <v>16.457000000000001</v>
      </c>
      <c r="F94">
        <f>VLOOKUP($A94,'UN Treasury'!$A$1:$BQ$224,_xlfn.XMATCH(F$1,'UN Treasury'!$A$1:$BQ$1,-1,1),FALSE)</f>
        <v>16.501000000000001</v>
      </c>
      <c r="G94">
        <f>VLOOKUP($A94,'UN Treasury'!$A$1:$BQ$224,_xlfn.XMATCH(G$1,'UN Treasury'!$A$1:$BQ$1,-1,1),FALSE)</f>
        <v>16.675000000000001</v>
      </c>
      <c r="H94">
        <f>VLOOKUP($A94,'UN Treasury'!$A$1:$BQ$224,_xlfn.XMATCH(H$1,'UN Treasury'!$A$1:$BQ$1,-1,1),FALSE)</f>
        <v>15.827</v>
      </c>
      <c r="I94">
        <f>VLOOKUP($A94,'UN Treasury'!$A$1:$BQ$224,_xlfn.XMATCH(I$1,'UN Treasury'!$A$1:$BQ$1,-1,1),FALSE)</f>
        <v>16.433</v>
      </c>
      <c r="J94">
        <f>VLOOKUP($A94,'UN Treasury'!$A$1:$BQ$224,_xlfn.XMATCH(J$1,'UN Treasury'!$A$1:$BQ$1,-1,1),FALSE)</f>
        <v>16.890999999999998</v>
      </c>
      <c r="K94">
        <f>VLOOKUP($A94,'UN Treasury'!$A$1:$BQ$224,_xlfn.XMATCH(K$1,'UN Treasury'!$A$1:$BQ$1,-1,1),FALSE)</f>
        <v>17.085999999999999</v>
      </c>
      <c r="L94">
        <f>VLOOKUP($A94,'UN Treasury'!$A$1:$BQ$224,_xlfn.XMATCH(L$1,'UN Treasury'!$A$1:$BQ$1,-1,1),FALSE)</f>
        <v>17.312000000000001</v>
      </c>
      <c r="M94">
        <f>VLOOKUP($A94,'UN Treasury'!$A$1:$BQ$224,_xlfn.XMATCH(M$1,'UN Treasury'!$A$1:$BQ$1,-1,1),FALSE)</f>
        <v>17.445</v>
      </c>
      <c r="N94">
        <f>VLOOKUP($A94,'UN Treasury'!$A$1:$BQ$224,_xlfn.XMATCH(N$1,'UN Treasury'!$A$1:$BQ$1,-1,1),FALSE)</f>
        <v>17.523</v>
      </c>
      <c r="O94">
        <f>VLOOKUP($A94,'UN Treasury'!$A$1:$BQ$224,_xlfn.XMATCH(O$1,'UN Treasury'!$A$1:$BQ$1,-1,1),FALSE)</f>
        <v>17.911999999999999</v>
      </c>
      <c r="P94">
        <f>VLOOKUP($A94,'UN Treasury'!$A$1:$BQ$224,_xlfn.XMATCH(P$1,'UN Treasury'!$A$1:$BQ$1,-1,1),FALSE)</f>
        <v>17.712</v>
      </c>
      <c r="Q94">
        <f>VLOOKUP($A94,'UN Treasury'!$A$1:$BQ$224,_xlfn.XMATCH(Q$1,'UN Treasury'!$A$1:$BQ$1,-1,1),FALSE)</f>
        <v>18.420999999999999</v>
      </c>
      <c r="R94">
        <f>VLOOKUP($A94,'UN Treasury'!$A$1:$BQ$224,_xlfn.XMATCH(R$1,'UN Treasury'!$A$1:$BQ$1,-1,1),FALSE)</f>
        <v>19.183</v>
      </c>
      <c r="S94">
        <f>VLOOKUP($A94,'UN Treasury'!$A$1:$BQ$224,_xlfn.XMATCH(S$1,'UN Treasury'!$A$1:$BQ$1,-1,1),FALSE)</f>
        <v>18.373999999999999</v>
      </c>
      <c r="T94">
        <f>VLOOKUP($A94,'UN Treasury'!$A$1:$BQ$224,_xlfn.XMATCH(T$1,'UN Treasury'!$A$1:$BQ$1,-1,1),FALSE)</f>
        <v>18.533000000000001</v>
      </c>
      <c r="U94">
        <f>VLOOKUP($A94,'UN Treasury'!$A$1:$BQ$224,_xlfn.XMATCH(U$1,'UN Treasury'!$A$1:$BQ$1,-1,1),FALSE)</f>
        <v>19.071999999999999</v>
      </c>
      <c r="V94">
        <f>VLOOKUP($A94,'UN Treasury'!$A$1:$BQ$224,_xlfn.XMATCH(V$1,'UN Treasury'!$A$1:$BQ$1,-1,1),FALSE)</f>
        <v>17.757000000000001</v>
      </c>
      <c r="W94">
        <f>VLOOKUP($A94,'UN Treasury'!$A$1:$BQ$224,_xlfn.XMATCH(W$1,'UN Treasury'!$A$1:$BQ$1,-1,1),FALSE)</f>
        <v>18.071000000000002</v>
      </c>
      <c r="X94">
        <f>VLOOKUP($A94,'UN Treasury'!$A$1:$BQ$224,_xlfn.XMATCH(X$1,'UN Treasury'!$A$1:$BQ$1,-1,1),FALSE)</f>
        <v>17.463000000000001</v>
      </c>
      <c r="Y94">
        <f>VLOOKUP($A94,'UN Treasury'!$A$1:$BQ$224,_xlfn.XMATCH(Y$1,'UN Treasury'!$A$1:$BQ$1,-1,1),FALSE)</f>
        <v>17.931999999999999</v>
      </c>
      <c r="Z94">
        <f>VLOOKUP($A94,'UN Treasury'!$A$1:$BQ$224,_xlfn.XMATCH(Z$1,'UN Treasury'!$A$1:$BQ$1,-1,1),FALSE)</f>
        <v>18.149999999999999</v>
      </c>
      <c r="AA94">
        <f>VLOOKUP($A94,'UN Treasury'!$A$1:$BQ$224,_xlfn.XMATCH(AA$1,'UN Treasury'!$A$1:$BQ$1,-1,1),FALSE)</f>
        <v>17.96</v>
      </c>
      <c r="AB94">
        <f>VLOOKUP($A94,'UN Treasury'!$A$1:$BQ$224,_xlfn.XMATCH(AB$1,'UN Treasury'!$A$1:$BQ$1,-1,1),FALSE)</f>
        <v>18.466999999999999</v>
      </c>
      <c r="AC94">
        <f>VLOOKUP($A94,'UN Treasury'!$A$1:$BQ$224,_xlfn.XMATCH(AC$1,'UN Treasury'!$A$1:$BQ$1,-1,1),FALSE)</f>
        <v>18.298999999999999</v>
      </c>
      <c r="AD94">
        <f>VLOOKUP($A94,'UN Treasury'!$A$1:$BQ$224,_xlfn.XMATCH(AD$1,'UN Treasury'!$A$1:$BQ$1,-1,1),FALSE)</f>
        <v>18.733000000000001</v>
      </c>
      <c r="AE94">
        <f>VLOOKUP($A94,'UN Treasury'!$A$1:$BQ$224,_xlfn.XMATCH(AE$1,'UN Treasury'!$A$1:$BQ$1,-1,1),FALSE)</f>
        <v>18.64</v>
      </c>
      <c r="AF94">
        <f>VLOOKUP($A94,'UN Treasury'!$A$1:$BQ$224,_xlfn.XMATCH(AF$1,'UN Treasury'!$A$1:$BQ$1,-1,1),FALSE)</f>
        <v>19.055</v>
      </c>
      <c r="AG94">
        <f>VLOOKUP($A94,'UN Treasury'!$A$1:$BQ$224,_xlfn.XMATCH(AG$1,'UN Treasury'!$A$1:$BQ$1,-1,1),FALSE)</f>
        <v>18.649999999999999</v>
      </c>
      <c r="AH94">
        <f>VLOOKUP($A94,'UN Treasury'!$A$1:$BQ$224,_xlfn.XMATCH(AH$1,'UN Treasury'!$A$1:$BQ$1,-1,1),FALSE)</f>
        <v>19.035</v>
      </c>
      <c r="AI94">
        <f>VLOOKUP($A94,'UN Treasury'!$A$1:$BQ$224,_xlfn.XMATCH(AI$1,'UN Treasury'!$A$1:$BQ$1,-1,1),FALSE)</f>
        <v>18.785</v>
      </c>
      <c r="AJ94">
        <f>VLOOKUP($A94,'UN Treasury'!$A$1:$BQ$224,_xlfn.XMATCH(AJ$1,'UN Treasury'!$A$1:$BQ$1,-1,1),FALSE)</f>
        <v>18.826000000000001</v>
      </c>
      <c r="AK94">
        <f>VLOOKUP($A94,'UN Treasury'!$A$1:$BQ$224,_xlfn.XMATCH(AK$1,'UN Treasury'!$A$1:$BQ$1,-1,1),FALSE)</f>
        <v>18.824000000000002</v>
      </c>
      <c r="AL94">
        <f>VLOOKUP($A94,'UN Treasury'!$A$1:$BQ$224,_xlfn.XMATCH(AL$1,'UN Treasury'!$A$1:$BQ$1,-1,1),FALSE)</f>
        <v>18.925999999999998</v>
      </c>
      <c r="AM94">
        <f>VLOOKUP($A94,'UN Treasury'!$A$1:$BQ$224,_xlfn.XMATCH(AM$1,'UN Treasury'!$A$1:$BQ$1,-1,1),FALSE)</f>
        <v>18.244</v>
      </c>
      <c r="AN94">
        <f>VLOOKUP($A94,'UN Treasury'!$A$1:$BQ$224,_xlfn.XMATCH(AN$1,'UN Treasury'!$A$1:$BQ$1,-1,1),FALSE)</f>
        <v>18.591999999999999</v>
      </c>
      <c r="AO94">
        <f>VLOOKUP($A94,'UN Treasury'!$A$1:$BQ$224,_xlfn.XMATCH(AO$1,'UN Treasury'!$A$1:$BQ$1,-1,1),FALSE)</f>
        <v>19.242000000000001</v>
      </c>
      <c r="AP94">
        <f>VLOOKUP($A94,'UN Treasury'!$A$1:$BQ$224,_xlfn.XMATCH(AP$1,'UN Treasury'!$A$1:$BQ$1,-1,1),FALSE)</f>
        <v>18.363</v>
      </c>
      <c r="AQ94">
        <f>VLOOKUP($A94,'UN Treasury'!$A$1:$BQ$224,_xlfn.XMATCH(AQ$1,'UN Treasury'!$A$1:$BQ$1,-1,1),FALSE)</f>
        <v>18.198</v>
      </c>
      <c r="AR94">
        <f>VLOOKUP($A94,'UN Treasury'!$A$1:$BQ$224,_xlfn.XMATCH(AR$1,'UN Treasury'!$A$1:$BQ$1,-1,1),FALSE)</f>
        <v>17.84</v>
      </c>
      <c r="AS94">
        <f>VLOOKUP($A94,'UN Treasury'!$A$1:$BQ$224,_xlfn.XMATCH(AS$1,'UN Treasury'!$A$1:$BQ$1,-1,1),FALSE)</f>
        <v>16.960999999999999</v>
      </c>
      <c r="AT94">
        <f>VLOOKUP($A94,'UN Treasury'!$A$1:$BQ$224,_xlfn.XMATCH(AT$1,'UN Treasury'!$A$1:$BQ$1,-1,1),FALSE)</f>
        <v>17.350999999999999</v>
      </c>
      <c r="AU94">
        <f>VLOOKUP($A94,'UN Treasury'!$A$1:$BQ$224,_xlfn.XMATCH(AU$1,'UN Treasury'!$A$1:$BQ$1,-1,1),FALSE)</f>
        <v>17.285</v>
      </c>
      <c r="AV94">
        <f>VLOOKUP($A94,'UN Treasury'!$A$1:$BQ$224,_xlfn.XMATCH(AV$1,'UN Treasury'!$A$1:$BQ$1,-1,1),FALSE)</f>
        <v>18.266999999999999</v>
      </c>
      <c r="AW94">
        <f>VLOOKUP($A94,'UN Treasury'!$A$1:$BQ$224,_xlfn.XMATCH(AW$1,'UN Treasury'!$A$1:$BQ$1,-1,1),FALSE)</f>
        <v>17.346</v>
      </c>
      <c r="AX94">
        <f>VLOOKUP($A94,'UN Treasury'!$A$1:$BQ$224,_xlfn.XMATCH(AX$1,'UN Treasury'!$A$1:$BQ$1,-1,1),FALSE)</f>
        <v>16.141999999999999</v>
      </c>
      <c r="AY94">
        <f>VLOOKUP($A94,'UN Treasury'!$A$1:$BQ$224,_xlfn.XMATCH(AY$1,'UN Treasury'!$A$1:$BQ$1,-1,1),FALSE)</f>
        <v>16.997</v>
      </c>
      <c r="AZ94">
        <f>VLOOKUP($A94,'UN Treasury'!$A$1:$BQ$224,_xlfn.XMATCH(AZ$1,'UN Treasury'!$A$1:$BQ$1,-1,1),FALSE)</f>
        <v>16.134</v>
      </c>
      <c r="BA94">
        <f>VLOOKUP($A94,'UN Treasury'!$A$1:$BQ$224,_xlfn.XMATCH(BA$1,'UN Treasury'!$A$1:$BQ$1,-1,1),FALSE)</f>
        <v>16.058</v>
      </c>
      <c r="BB94">
        <f>VLOOKUP($A94,'UN Treasury'!$A$1:$BQ$224,_xlfn.XMATCH(BB$1,'UN Treasury'!$A$1:$BQ$1,-1,1),FALSE)</f>
        <v>14.504</v>
      </c>
      <c r="BC94">
        <f>VLOOKUP($A94,'UN Treasury'!$A$1:$BQ$224,_xlfn.XMATCH(BC$1,'UN Treasury'!$A$1:$BQ$1,-1,1),FALSE)</f>
        <v>15.023</v>
      </c>
      <c r="BD94">
        <f>VLOOKUP($A94,'UN Treasury'!$A$1:$BQ$224,_xlfn.XMATCH(BD$1,'UN Treasury'!$A$1:$BQ$1,-1,1),FALSE)</f>
        <v>15.112</v>
      </c>
      <c r="BE94">
        <f>VLOOKUP($A94,'UN Treasury'!$A$1:$BQ$224,_xlfn.XMATCH(BE$1,'UN Treasury'!$A$1:$BQ$1,-1,1),FALSE)</f>
        <v>15.377000000000001</v>
      </c>
      <c r="BF94">
        <f>VLOOKUP($A94,'UN Treasury'!$A$1:$BQ$224,_xlfn.XMATCH(BF$1,'UN Treasury'!$A$1:$BQ$1,-1,1),FALSE)</f>
        <v>16.152999999999999</v>
      </c>
      <c r="BG94">
        <f>VLOOKUP($A94,'UN Treasury'!$A$1:$BQ$224,_xlfn.XMATCH(BG$1,'UN Treasury'!$A$1:$BQ$1,-1,1),FALSE)</f>
        <v>15.255000000000001</v>
      </c>
      <c r="BH94">
        <f>VLOOKUP($A94,'UN Treasury'!$A$1:$BQ$224,_xlfn.XMATCH(BH$1,'UN Treasury'!$A$1:$BQ$1,-1,1),FALSE)</f>
        <v>15.146000000000001</v>
      </c>
      <c r="BI94">
        <f>VLOOKUP($A94,'UN Treasury'!$A$1:$BQ$224,_xlfn.XMATCH(BI$1,'UN Treasury'!$A$1:$BQ$1,-1,1),FALSE)</f>
        <v>14.137</v>
      </c>
      <c r="BJ94">
        <f>VLOOKUP($A94,'UN Treasury'!$A$1:$BQ$224,_xlfn.XMATCH(BJ$1,'UN Treasury'!$A$1:$BQ$1,-1,1),FALSE)</f>
        <v>14.606</v>
      </c>
      <c r="BK94">
        <f>VLOOKUP($A94,'UN Treasury'!$A$1:$BQ$224,_xlfn.XMATCH(BK$1,'UN Treasury'!$A$1:$BQ$1,-1,1),FALSE)</f>
        <v>14.24</v>
      </c>
      <c r="BL94">
        <f>VLOOKUP($A94,'UN Treasury'!$A$1:$BQ$224,_xlfn.XMATCH(BL$1,'UN Treasury'!$A$1:$BQ$1,-1,1),FALSE)</f>
        <v>13.733000000000001</v>
      </c>
      <c r="BM94">
        <f>VLOOKUP($A94,'UN Treasury'!$A$1:$BQ$224,_xlfn.XMATCH(BM$1,'UN Treasury'!$A$1:$BQ$1,-1,1),FALSE)</f>
        <v>14.356</v>
      </c>
      <c r="BN94">
        <f>VLOOKUP($A94,'UN Treasury'!$A$1:$BQ$224,_xlfn.XMATCH(BN$1,'UN Treasury'!$A$1:$BQ$1,-1,1),FALSE)</f>
        <v>14.935</v>
      </c>
      <c r="BO94">
        <f>VLOOKUP($A94,'UN Treasury'!$A$1:$BQ$224,_xlfn.XMATCH(BO$1,'UN Treasury'!$A$1:$BQ$1,-1,1),FALSE)</f>
        <v>14.93</v>
      </c>
      <c r="BP94">
        <f>VLOOKUP($A94,'UN Treasury'!$A$1:$BQ$224,_xlfn.XMATCH(BP$1,'UN Treasury'!$A$1:$BQ$1,-1,1),FALSE)</f>
        <v>14.628</v>
      </c>
      <c r="BQ94">
        <f>VLOOKUP($A94,'UN Treasury'!$A$1:$BQ$224,_xlfn.XMATCH(BQ$1,'UN Treasury'!$A$1:$BQ$1,-1,1),FALSE)</f>
        <v>15.241</v>
      </c>
    </row>
    <row r="95" spans="1:69" x14ac:dyDescent="0.25">
      <c r="A95" t="s">
        <v>210</v>
      </c>
      <c r="B95">
        <f>VLOOKUP($A95,'UN Treasury'!$A$1:$BQ$224,_xlfn.XMATCH(B$1,'UN Treasury'!$A$1:$BQ$1,-1,1),FALSE)</f>
        <v>1360.29</v>
      </c>
      <c r="C95">
        <f>VLOOKUP($A95,'UN Treasury'!$A$1:$BQ$224,_xlfn.XMATCH(C$1,'UN Treasury'!$A$1:$BQ$1,-1,1),FALSE)</f>
        <v>1380.16</v>
      </c>
      <c r="D95">
        <f>VLOOKUP($A95,'UN Treasury'!$A$1:$BQ$224,_xlfn.XMATCH(D$1,'UN Treasury'!$A$1:$BQ$1,-1,1),FALSE)</f>
        <v>1361.25</v>
      </c>
      <c r="E95">
        <f>VLOOKUP($A95,'UN Treasury'!$A$1:$BQ$224,_xlfn.XMATCH(E$1,'UN Treasury'!$A$1:$BQ$1,-1,1),FALSE)</f>
        <v>1370.15</v>
      </c>
      <c r="F95">
        <f>VLOOKUP($A95,'UN Treasury'!$A$1:$BQ$224,_xlfn.XMATCH(F$1,'UN Treasury'!$A$1:$BQ$1,-1,1),FALSE)</f>
        <v>1357.07</v>
      </c>
      <c r="G95">
        <f>VLOOKUP($A95,'UN Treasury'!$A$1:$BQ$224,_xlfn.XMATCH(G$1,'UN Treasury'!$A$1:$BQ$1,-1,1),FALSE)</f>
        <v>1383.46</v>
      </c>
      <c r="H95">
        <f>VLOOKUP($A95,'UN Treasury'!$A$1:$BQ$224,_xlfn.XMATCH(H$1,'UN Treasury'!$A$1:$BQ$1,-1,1),FALSE)</f>
        <v>1353.86</v>
      </c>
      <c r="I95">
        <f>VLOOKUP($A95,'UN Treasury'!$A$1:$BQ$224,_xlfn.XMATCH(I$1,'UN Treasury'!$A$1:$BQ$1,-1,1),FALSE)</f>
        <v>1419</v>
      </c>
      <c r="J95">
        <f>VLOOKUP($A95,'UN Treasury'!$A$1:$BQ$224,_xlfn.XMATCH(J$1,'UN Treasury'!$A$1:$BQ$1,-1,1),FALSE)</f>
        <v>1451.65</v>
      </c>
      <c r="K95">
        <f>VLOOKUP($A95,'UN Treasury'!$A$1:$BQ$224,_xlfn.XMATCH(K$1,'UN Treasury'!$A$1:$BQ$1,-1,1),FALSE)</f>
        <v>1438.5</v>
      </c>
      <c r="L95">
        <f>VLOOKUP($A95,'UN Treasury'!$A$1:$BQ$224,_xlfn.XMATCH(L$1,'UN Treasury'!$A$1:$BQ$1,-1,1),FALSE)</f>
        <v>1454.25</v>
      </c>
      <c r="M95">
        <f>VLOOKUP($A95,'UN Treasury'!$A$1:$BQ$224,_xlfn.XMATCH(M$1,'UN Treasury'!$A$1:$BQ$1,-1,1),FALSE)</f>
        <v>1501.07</v>
      </c>
      <c r="N95">
        <f>VLOOKUP($A95,'UN Treasury'!$A$1:$BQ$224,_xlfn.XMATCH(N$1,'UN Treasury'!$A$1:$BQ$1,-1,1),FALSE)</f>
        <v>1532.66</v>
      </c>
      <c r="O95">
        <f>VLOOKUP($A95,'UN Treasury'!$A$1:$BQ$224,_xlfn.XMATCH(O$1,'UN Treasury'!$A$1:$BQ$1,-1,1),FALSE)</f>
        <v>1526.22</v>
      </c>
      <c r="P95">
        <f>VLOOKUP($A95,'UN Treasury'!$A$1:$BQ$224,_xlfn.XMATCH(P$1,'UN Treasury'!$A$1:$BQ$1,-1,1),FALSE)</f>
        <v>1538.16</v>
      </c>
      <c r="Q95">
        <f>VLOOKUP($A95,'UN Treasury'!$A$1:$BQ$224,_xlfn.XMATCH(Q$1,'UN Treasury'!$A$1:$BQ$1,-1,1),FALSE)</f>
        <v>1597.34</v>
      </c>
      <c r="R95">
        <f>VLOOKUP($A95,'UN Treasury'!$A$1:$BQ$224,_xlfn.XMATCH(R$1,'UN Treasury'!$A$1:$BQ$1,-1,1),FALSE)</f>
        <v>1613.42</v>
      </c>
      <c r="S95">
        <f>VLOOKUP($A95,'UN Treasury'!$A$1:$BQ$224,_xlfn.XMATCH(S$1,'UN Treasury'!$A$1:$BQ$1,-1,1),FALSE)</f>
        <v>1532.55</v>
      </c>
      <c r="T95">
        <f>VLOOKUP($A95,'UN Treasury'!$A$1:$BQ$224,_xlfn.XMATCH(T$1,'UN Treasury'!$A$1:$BQ$1,-1,1),FALSE)</f>
        <v>1509.12</v>
      </c>
      <c r="U95">
        <f>VLOOKUP($A95,'UN Treasury'!$A$1:$BQ$224,_xlfn.XMATCH(U$1,'UN Treasury'!$A$1:$BQ$1,-1,1),FALSE)</f>
        <v>1547.24</v>
      </c>
      <c r="V95">
        <f>VLOOKUP($A95,'UN Treasury'!$A$1:$BQ$224,_xlfn.XMATCH(V$1,'UN Treasury'!$A$1:$BQ$1,-1,1),FALSE)</f>
        <v>1534.98</v>
      </c>
      <c r="W95">
        <f>VLOOKUP($A95,'UN Treasury'!$A$1:$BQ$224,_xlfn.XMATCH(W$1,'UN Treasury'!$A$1:$BQ$1,-1,1),FALSE)</f>
        <v>1673.67</v>
      </c>
      <c r="X95">
        <f>VLOOKUP($A95,'UN Treasury'!$A$1:$BQ$224,_xlfn.XMATCH(X$1,'UN Treasury'!$A$1:$BQ$1,-1,1),FALSE)</f>
        <v>1615.18</v>
      </c>
      <c r="Y95">
        <f>VLOOKUP($A95,'UN Treasury'!$A$1:$BQ$224,_xlfn.XMATCH(Y$1,'UN Treasury'!$A$1:$BQ$1,-1,1),FALSE)</f>
        <v>1640.69</v>
      </c>
      <c r="Z95">
        <f>VLOOKUP($A95,'UN Treasury'!$A$1:$BQ$224,_xlfn.XMATCH(Z$1,'UN Treasury'!$A$1:$BQ$1,-1,1),FALSE)</f>
        <v>1564.02</v>
      </c>
      <c r="AA95">
        <f>VLOOKUP($A95,'UN Treasury'!$A$1:$BQ$224,_xlfn.XMATCH(AA$1,'UN Treasury'!$A$1:$BQ$1,-1,1),FALSE)</f>
        <v>1574.62</v>
      </c>
      <c r="AB95">
        <f>VLOOKUP($A95,'UN Treasury'!$A$1:$BQ$224,_xlfn.XMATCH(AB$1,'UN Treasury'!$A$1:$BQ$1,-1,1),FALSE)</f>
        <v>1500.39</v>
      </c>
      <c r="AC95">
        <f>VLOOKUP($A95,'UN Treasury'!$A$1:$BQ$224,_xlfn.XMATCH(AC$1,'UN Treasury'!$A$1:$BQ$1,-1,1),FALSE)</f>
        <v>1420.31</v>
      </c>
      <c r="AD95">
        <f>VLOOKUP($A95,'UN Treasury'!$A$1:$BQ$224,_xlfn.XMATCH(AD$1,'UN Treasury'!$A$1:$BQ$1,-1,1),FALSE)</f>
        <v>1241.72</v>
      </c>
      <c r="AE95">
        <f>VLOOKUP($A95,'UN Treasury'!$A$1:$BQ$224,_xlfn.XMATCH(AE$1,'UN Treasury'!$A$1:$BQ$1,-1,1),FALSE)</f>
        <v>1591.42</v>
      </c>
      <c r="AF95">
        <f>VLOOKUP($A95,'UN Treasury'!$A$1:$BQ$224,_xlfn.XMATCH(AF$1,'UN Treasury'!$A$1:$BQ$1,-1,1),FALSE)</f>
        <v>1475.5</v>
      </c>
      <c r="AG95">
        <f>VLOOKUP($A95,'UN Treasury'!$A$1:$BQ$224,_xlfn.XMATCH(AG$1,'UN Treasury'!$A$1:$BQ$1,-1,1),FALSE)</f>
        <v>951.13</v>
      </c>
      <c r="AH95">
        <f>VLOOKUP($A95,'UN Treasury'!$A$1:$BQ$224,_xlfn.XMATCH(AH$1,'UN Treasury'!$A$1:$BQ$1,-1,1),FALSE)</f>
        <v>839.35</v>
      </c>
      <c r="AI95">
        <f>VLOOKUP($A95,'UN Treasury'!$A$1:$BQ$224,_xlfn.XMATCH(AI$1,'UN Treasury'!$A$1:$BQ$1,-1,1),FALSE)</f>
        <v>839.48</v>
      </c>
      <c r="AJ95">
        <f>VLOOKUP($A95,'UN Treasury'!$A$1:$BQ$224,_xlfn.XMATCH(AJ$1,'UN Treasury'!$A$1:$BQ$1,-1,1),FALSE)</f>
        <v>766.41</v>
      </c>
      <c r="AK95">
        <f>VLOOKUP($A95,'UN Treasury'!$A$1:$BQ$224,_xlfn.XMATCH(AK$1,'UN Treasury'!$A$1:$BQ$1,-1,1),FALSE)</f>
        <v>769.1</v>
      </c>
      <c r="AL95">
        <f>VLOOKUP($A95,'UN Treasury'!$A$1:$BQ$224,_xlfn.XMATCH(AL$1,'UN Treasury'!$A$1:$BQ$1,-1,1),FALSE)</f>
        <v>768.7</v>
      </c>
      <c r="AM95">
        <f>VLOOKUP($A95,'UN Treasury'!$A$1:$BQ$224,_xlfn.XMATCH(AM$1,'UN Treasury'!$A$1:$BQ$1,-1,1),FALSE)</f>
        <v>783.06</v>
      </c>
      <c r="AN95">
        <f>VLOOKUP($A95,'UN Treasury'!$A$1:$BQ$224,_xlfn.XMATCH(AN$1,'UN Treasury'!$A$1:$BQ$1,-1,1),FALSE)</f>
        <v>472.2</v>
      </c>
      <c r="AO95">
        <f>VLOOKUP($A95,'UN Treasury'!$A$1:$BQ$224,_xlfn.XMATCH(AO$1,'UN Treasury'!$A$1:$BQ$1,-1,1),FALSE)</f>
        <v>463.42</v>
      </c>
      <c r="AP95">
        <f>VLOOKUP($A95,'UN Treasury'!$A$1:$BQ$224,_xlfn.XMATCH(AP$1,'UN Treasury'!$A$1:$BQ$1,-1,1),FALSE)</f>
        <v>462.39</v>
      </c>
      <c r="AQ95">
        <f>VLOOKUP($A95,'UN Treasury'!$A$1:$BQ$224,_xlfn.XMATCH(AQ$1,'UN Treasury'!$A$1:$BQ$1,-1,1),FALSE)</f>
        <v>460.7</v>
      </c>
      <c r="AR95">
        <f>VLOOKUP($A95,'UN Treasury'!$A$1:$BQ$224,_xlfn.XMATCH(AR$1,'UN Treasury'!$A$1:$BQ$1,-1,1),FALSE)</f>
        <v>460.2</v>
      </c>
      <c r="AS95">
        <f>VLOOKUP($A95,'UN Treasury'!$A$1:$BQ$224,_xlfn.XMATCH(AS$1,'UN Treasury'!$A$1:$BQ$1,-1,1),FALSE)</f>
        <v>460.57</v>
      </c>
      <c r="AT95">
        <f>VLOOKUP($A95,'UN Treasury'!$A$1:$BQ$224,_xlfn.XMATCH(AT$1,'UN Treasury'!$A$1:$BQ$1,-1,1),FALSE)</f>
        <v>444.6</v>
      </c>
      <c r="AU95">
        <f>VLOOKUP($A95,'UN Treasury'!$A$1:$BQ$224,_xlfn.XMATCH(AU$1,'UN Treasury'!$A$1:$BQ$1,-1,1),FALSE)</f>
        <v>442.98</v>
      </c>
      <c r="AV95">
        <f>VLOOKUP($A95,'UN Treasury'!$A$1:$BQ$224,_xlfn.XMATCH(AV$1,'UN Treasury'!$A$1:$BQ$1,-1,1),FALSE)</f>
        <v>440.48</v>
      </c>
      <c r="AW95">
        <f>VLOOKUP($A95,'UN Treasury'!$A$1:$BQ$224,_xlfn.XMATCH(AW$1,'UN Treasury'!$A$1:$BQ$1,-1,1),FALSE)</f>
        <v>434.86</v>
      </c>
      <c r="AX95">
        <f>VLOOKUP($A95,'UN Treasury'!$A$1:$BQ$224,_xlfn.XMATCH(AX$1,'UN Treasury'!$A$1:$BQ$1,-1,1),FALSE)</f>
        <v>424.83</v>
      </c>
      <c r="AY95">
        <f>VLOOKUP($A95,'UN Treasury'!$A$1:$BQ$224,_xlfn.XMATCH(AY$1,'UN Treasury'!$A$1:$BQ$1,-1,1),FALSE)</f>
        <v>423.62</v>
      </c>
      <c r="AZ95">
        <f>VLOOKUP($A95,'UN Treasury'!$A$1:$BQ$224,_xlfn.XMATCH(AZ$1,'UN Treasury'!$A$1:$BQ$1,-1,1),FALSE)</f>
        <v>416.6</v>
      </c>
      <c r="BA95">
        <f>VLOOKUP($A95,'UN Treasury'!$A$1:$BQ$224,_xlfn.XMATCH(BA$1,'UN Treasury'!$A$1:$BQ$1,-1,1),FALSE)</f>
        <v>415.41</v>
      </c>
      <c r="BB95">
        <f>VLOOKUP($A95,'UN Treasury'!$A$1:$BQ$224,_xlfn.XMATCH(BB$1,'UN Treasury'!$A$1:$BQ$1,-1,1),FALSE)</f>
        <v>414.94</v>
      </c>
      <c r="BC95">
        <f>VLOOKUP($A95,'UN Treasury'!$A$1:$BQ$224,_xlfn.XMATCH(BC$1,'UN Treasury'!$A$1:$BQ$1,-1,1),FALSE)</f>
        <v>415.71</v>
      </c>
      <c r="BD95">
        <f>VLOOKUP($A95,'UN Treasury'!$A$1:$BQ$224,_xlfn.XMATCH(BD$1,'UN Treasury'!$A$1:$BQ$1,-1,1),FALSE)</f>
        <v>416</v>
      </c>
      <c r="BE95">
        <f>VLOOKUP($A95,'UN Treasury'!$A$1:$BQ$224,_xlfn.XMATCH(BE$1,'UN Treasury'!$A$1:$BQ$1,-1,1),FALSE)</f>
        <v>414.43</v>
      </c>
      <c r="BF95">
        <f>VLOOKUP($A95,'UN Treasury'!$A$1:$BQ$224,_xlfn.XMATCH(BF$1,'UN Treasury'!$A$1:$BQ$1,-1,1),FALSE)</f>
        <v>413.56</v>
      </c>
      <c r="BG95">
        <f>VLOOKUP($A95,'UN Treasury'!$A$1:$BQ$224,_xlfn.XMATCH(BG$1,'UN Treasury'!$A$1:$BQ$1,-1,1),FALSE)</f>
        <v>418.6</v>
      </c>
      <c r="BH95">
        <f>VLOOKUP($A95,'UN Treasury'!$A$1:$BQ$224,_xlfn.XMATCH(BH$1,'UN Treasury'!$A$1:$BQ$1,-1,1),FALSE)</f>
        <v>413.53</v>
      </c>
      <c r="BI95">
        <f>VLOOKUP($A95,'UN Treasury'!$A$1:$BQ$224,_xlfn.XMATCH(BI$1,'UN Treasury'!$A$1:$BQ$1,-1,1),FALSE)</f>
        <v>411.33</v>
      </c>
      <c r="BJ95">
        <f>VLOOKUP($A95,'UN Treasury'!$A$1:$BQ$224,_xlfn.XMATCH(BJ$1,'UN Treasury'!$A$1:$BQ$1,-1,1),FALSE)</f>
        <v>411.19</v>
      </c>
      <c r="BK95">
        <f>VLOOKUP($A95,'UN Treasury'!$A$1:$BQ$224,_xlfn.XMATCH(BK$1,'UN Treasury'!$A$1:$BQ$1,-1,1),FALSE)</f>
        <v>410.98</v>
      </c>
      <c r="BL95">
        <f>VLOOKUP($A95,'UN Treasury'!$A$1:$BQ$224,_xlfn.XMATCH(BL$1,'UN Treasury'!$A$1:$BQ$1,-1,1),FALSE)</f>
        <v>411</v>
      </c>
      <c r="BM95">
        <f>VLOOKUP($A95,'UN Treasury'!$A$1:$BQ$224,_xlfn.XMATCH(BM$1,'UN Treasury'!$A$1:$BQ$1,-1,1),FALSE)</f>
        <v>409.77</v>
      </c>
      <c r="BN95">
        <f>VLOOKUP($A95,'UN Treasury'!$A$1:$BQ$224,_xlfn.XMATCH(BN$1,'UN Treasury'!$A$1:$BQ$1,-1,1),FALSE)</f>
        <v>407.68</v>
      </c>
      <c r="BO95">
        <f>VLOOKUP($A95,'UN Treasury'!$A$1:$BQ$224,_xlfn.XMATCH(BO$1,'UN Treasury'!$A$1:$BQ$1,-1,1),FALSE)</f>
        <v>410.29</v>
      </c>
      <c r="BP95">
        <f>VLOOKUP($A95,'UN Treasury'!$A$1:$BQ$224,_xlfn.XMATCH(BP$1,'UN Treasury'!$A$1:$BQ$1,-1,1),FALSE)</f>
        <v>392.86</v>
      </c>
      <c r="BQ95">
        <f>VLOOKUP($A95,'UN Treasury'!$A$1:$BQ$224,_xlfn.XMATCH(BQ$1,'UN Treasury'!$A$1:$BQ$1,-1,1),FALSE)</f>
        <v>392.42</v>
      </c>
    </row>
    <row r="96" spans="1:69" x14ac:dyDescent="0.25">
      <c r="A96" t="s">
        <v>212</v>
      </c>
      <c r="B96">
        <f>VLOOKUP($A96,'UN Treasury'!$A$1:$BQ$224,_xlfn.XMATCH(B$1,'UN Treasury'!$A$1:$BQ$1,-1,1),FALSE)</f>
        <v>36.527999999999999</v>
      </c>
      <c r="C96">
        <f>VLOOKUP($A96,'UN Treasury'!$A$1:$BQ$224,_xlfn.XMATCH(C$1,'UN Treasury'!$A$1:$BQ$1,-1,1),FALSE)</f>
        <v>36.546999999999997</v>
      </c>
      <c r="D96">
        <f>VLOOKUP($A96,'UN Treasury'!$A$1:$BQ$224,_xlfn.XMATCH(D$1,'UN Treasury'!$A$1:$BQ$1,-1,1),FALSE)</f>
        <v>36.511000000000003</v>
      </c>
      <c r="E96">
        <f>VLOOKUP($A96,'UN Treasury'!$A$1:$BQ$224,_xlfn.XMATCH(E$1,'UN Treasury'!$A$1:$BQ$1,-1,1),FALSE)</f>
        <v>36.527999999999999</v>
      </c>
      <c r="F96">
        <f>VLOOKUP($A96,'UN Treasury'!$A$1:$BQ$224,_xlfn.XMATCH(F$1,'UN Treasury'!$A$1:$BQ$1,-1,1),FALSE)</f>
        <v>36.517000000000003</v>
      </c>
      <c r="G96">
        <f>VLOOKUP($A96,'UN Treasury'!$A$1:$BQ$224,_xlfn.XMATCH(G$1,'UN Treasury'!$A$1:$BQ$1,-1,1),FALSE)</f>
        <v>36.564</v>
      </c>
      <c r="H96">
        <f>VLOOKUP($A96,'UN Treasury'!$A$1:$BQ$224,_xlfn.XMATCH(H$1,'UN Treasury'!$A$1:$BQ$1,-1,1),FALSE)</f>
        <v>36.536999999999999</v>
      </c>
      <c r="I96">
        <f>VLOOKUP($A96,'UN Treasury'!$A$1:$BQ$224,_xlfn.XMATCH(I$1,'UN Treasury'!$A$1:$BQ$1,-1,1),FALSE)</f>
        <v>36.549999999999997</v>
      </c>
      <c r="J96">
        <f>VLOOKUP($A96,'UN Treasury'!$A$1:$BQ$224,_xlfn.XMATCH(J$1,'UN Treasury'!$A$1:$BQ$1,-1,1),FALSE)</f>
        <v>36.478999999999999</v>
      </c>
      <c r="K96">
        <f>VLOOKUP($A96,'UN Treasury'!$A$1:$BQ$224,_xlfn.XMATCH(K$1,'UN Treasury'!$A$1:$BQ$1,-1,1),FALSE)</f>
        <v>36.527999999999999</v>
      </c>
      <c r="L96">
        <f>VLOOKUP($A96,'UN Treasury'!$A$1:$BQ$224,_xlfn.XMATCH(L$1,'UN Treasury'!$A$1:$BQ$1,-1,1),FALSE)</f>
        <v>36.494</v>
      </c>
      <c r="M96">
        <f>VLOOKUP($A96,'UN Treasury'!$A$1:$BQ$224,_xlfn.XMATCH(M$1,'UN Treasury'!$A$1:$BQ$1,-1,1),FALSE)</f>
        <v>36.563000000000002</v>
      </c>
      <c r="N96">
        <f>VLOOKUP($A96,'UN Treasury'!$A$1:$BQ$224,_xlfn.XMATCH(N$1,'UN Treasury'!$A$1:$BQ$1,-1,1),FALSE)</f>
        <v>36.548000000000002</v>
      </c>
      <c r="O96">
        <f>VLOOKUP($A96,'UN Treasury'!$A$1:$BQ$224,_xlfn.XMATCH(O$1,'UN Treasury'!$A$1:$BQ$1,-1,1),FALSE)</f>
        <v>36.531999999999996</v>
      </c>
      <c r="P96">
        <f>VLOOKUP($A96,'UN Treasury'!$A$1:$BQ$224,_xlfn.XMATCH(P$1,'UN Treasury'!$A$1:$BQ$1,-1,1),FALSE)</f>
        <v>36.585000000000001</v>
      </c>
      <c r="Q96">
        <f>VLOOKUP($A96,'UN Treasury'!$A$1:$BQ$224,_xlfn.XMATCH(Q$1,'UN Treasury'!$A$1:$BQ$1,-1,1),FALSE)</f>
        <v>36.53</v>
      </c>
      <c r="R96">
        <f>VLOOKUP($A96,'UN Treasury'!$A$1:$BQ$224,_xlfn.XMATCH(R$1,'UN Treasury'!$A$1:$BQ$1,-1,1),FALSE)</f>
        <v>36.548999999999999</v>
      </c>
      <c r="S96">
        <f>VLOOKUP($A96,'UN Treasury'!$A$1:$BQ$224,_xlfn.XMATCH(S$1,'UN Treasury'!$A$1:$BQ$1,-1,1),FALSE)</f>
        <v>36.533999999999999</v>
      </c>
      <c r="T96">
        <f>VLOOKUP($A96,'UN Treasury'!$A$1:$BQ$224,_xlfn.XMATCH(T$1,'UN Treasury'!$A$1:$BQ$1,-1,1),FALSE)</f>
        <v>36.563000000000002</v>
      </c>
      <c r="U96">
        <f>VLOOKUP($A96,'UN Treasury'!$A$1:$BQ$224,_xlfn.XMATCH(U$1,'UN Treasury'!$A$1:$BQ$1,-1,1),FALSE)</f>
        <v>36.579000000000001</v>
      </c>
      <c r="V96">
        <f>VLOOKUP($A96,'UN Treasury'!$A$1:$BQ$224,_xlfn.XMATCH(V$1,'UN Treasury'!$A$1:$BQ$1,-1,1),FALSE)</f>
        <v>36.523000000000003</v>
      </c>
      <c r="W96">
        <f>VLOOKUP($A96,'UN Treasury'!$A$1:$BQ$224,_xlfn.XMATCH(W$1,'UN Treasury'!$A$1:$BQ$1,-1,1),FALSE)</f>
        <v>36.518999999999998</v>
      </c>
      <c r="X96">
        <f>VLOOKUP($A96,'UN Treasury'!$A$1:$BQ$224,_xlfn.XMATCH(X$1,'UN Treasury'!$A$1:$BQ$1,-1,1),FALSE)</f>
        <v>36.561</v>
      </c>
      <c r="Y96">
        <f>VLOOKUP($A96,'UN Treasury'!$A$1:$BQ$224,_xlfn.XMATCH(Y$1,'UN Treasury'!$A$1:$BQ$1,-1,1),FALSE)</f>
        <v>36.567</v>
      </c>
      <c r="Z96">
        <f>VLOOKUP($A96,'UN Treasury'!$A$1:$BQ$224,_xlfn.XMATCH(Z$1,'UN Treasury'!$A$1:$BQ$1,-1,1),FALSE)</f>
        <v>36.566000000000003</v>
      </c>
      <c r="AA96">
        <f>VLOOKUP($A96,'UN Treasury'!$A$1:$BQ$224,_xlfn.XMATCH(AA$1,'UN Treasury'!$A$1:$BQ$1,-1,1),FALSE)</f>
        <v>36.54</v>
      </c>
      <c r="AB96">
        <f>VLOOKUP($A96,'UN Treasury'!$A$1:$BQ$224,_xlfn.XMATCH(AB$1,'UN Treasury'!$A$1:$BQ$1,-1,1),FALSE)</f>
        <v>36.582000000000001</v>
      </c>
      <c r="AC96">
        <f>VLOOKUP($A96,'UN Treasury'!$A$1:$BQ$224,_xlfn.XMATCH(AC$1,'UN Treasury'!$A$1:$BQ$1,-1,1),FALSE)</f>
        <v>36.588000000000001</v>
      </c>
      <c r="AD96">
        <f>VLOOKUP($A96,'UN Treasury'!$A$1:$BQ$224,_xlfn.XMATCH(AD$1,'UN Treasury'!$A$1:$BQ$1,-1,1),FALSE)</f>
        <v>36.534999999999997</v>
      </c>
      <c r="AE96">
        <f>VLOOKUP($A96,'UN Treasury'!$A$1:$BQ$224,_xlfn.XMATCH(AE$1,'UN Treasury'!$A$1:$BQ$1,-1,1),FALSE)</f>
        <v>36.543999999999997</v>
      </c>
      <c r="AF96">
        <f>VLOOKUP($A96,'UN Treasury'!$A$1:$BQ$224,_xlfn.XMATCH(AF$1,'UN Treasury'!$A$1:$BQ$1,-1,1),FALSE)</f>
        <v>36.543999999999997</v>
      </c>
      <c r="AG96">
        <f>VLOOKUP($A96,'UN Treasury'!$A$1:$BQ$224,_xlfn.XMATCH(AG$1,'UN Treasury'!$A$1:$BQ$1,-1,1),FALSE)</f>
        <v>36.311999999999998</v>
      </c>
      <c r="AH96">
        <f>VLOOKUP($A96,'UN Treasury'!$A$1:$BQ$224,_xlfn.XMATCH(AH$1,'UN Treasury'!$A$1:$BQ$1,-1,1),FALSE)</f>
        <v>36.201999999999998</v>
      </c>
      <c r="AI96">
        <f>VLOOKUP($A96,'UN Treasury'!$A$1:$BQ$224,_xlfn.XMATCH(AI$1,'UN Treasury'!$A$1:$BQ$1,-1,1),FALSE)</f>
        <v>36.265000000000001</v>
      </c>
      <c r="AJ96">
        <f>VLOOKUP($A96,'UN Treasury'!$A$1:$BQ$224,_xlfn.XMATCH(AJ$1,'UN Treasury'!$A$1:$BQ$1,-1,1),FALSE)</f>
        <v>36.168999999999997</v>
      </c>
      <c r="AK96">
        <f>VLOOKUP($A96,'UN Treasury'!$A$1:$BQ$224,_xlfn.XMATCH(AK$1,'UN Treasury'!$A$1:$BQ$1,-1,1),FALSE)</f>
        <v>36.19</v>
      </c>
      <c r="AL96">
        <f>VLOOKUP($A96,'UN Treasury'!$A$1:$BQ$224,_xlfn.XMATCH(AL$1,'UN Treasury'!$A$1:$BQ$1,-1,1),FALSE)</f>
        <v>36.177</v>
      </c>
      <c r="AM96">
        <f>VLOOKUP($A96,'UN Treasury'!$A$1:$BQ$224,_xlfn.XMATCH(AM$1,'UN Treasury'!$A$1:$BQ$1,-1,1),FALSE)</f>
        <v>36.165999999999997</v>
      </c>
      <c r="AN96">
        <f>VLOOKUP($A96,'UN Treasury'!$A$1:$BQ$224,_xlfn.XMATCH(AN$1,'UN Treasury'!$A$1:$BQ$1,-1,1),FALSE)</f>
        <v>36.128</v>
      </c>
      <c r="AO96">
        <f>VLOOKUP($A96,'UN Treasury'!$A$1:$BQ$224,_xlfn.XMATCH(AO$1,'UN Treasury'!$A$1:$BQ$1,-1,1),FALSE)</f>
        <v>36.231000000000002</v>
      </c>
      <c r="AP96">
        <f>VLOOKUP($A96,'UN Treasury'!$A$1:$BQ$224,_xlfn.XMATCH(AP$1,'UN Treasury'!$A$1:$BQ$1,-1,1),FALSE)</f>
        <v>36.128999999999998</v>
      </c>
      <c r="AQ96">
        <f>VLOOKUP($A96,'UN Treasury'!$A$1:$BQ$224,_xlfn.XMATCH(AQ$1,'UN Treasury'!$A$1:$BQ$1,-1,1),FALSE)</f>
        <v>36.122999999999998</v>
      </c>
      <c r="AR96">
        <f>VLOOKUP($A96,'UN Treasury'!$A$1:$BQ$224,_xlfn.XMATCH(AR$1,'UN Treasury'!$A$1:$BQ$1,-1,1),FALSE)</f>
        <v>36.179000000000002</v>
      </c>
      <c r="AS96">
        <f>VLOOKUP($A96,'UN Treasury'!$A$1:$BQ$224,_xlfn.XMATCH(AS$1,'UN Treasury'!$A$1:$BQ$1,-1,1),FALSE)</f>
        <v>36.049999999999997</v>
      </c>
      <c r="AT96">
        <f>VLOOKUP($A96,'UN Treasury'!$A$1:$BQ$224,_xlfn.XMATCH(AT$1,'UN Treasury'!$A$1:$BQ$1,-1,1),FALSE)</f>
        <v>36.046999999999997</v>
      </c>
      <c r="AU96">
        <f>VLOOKUP($A96,'UN Treasury'!$A$1:$BQ$224,_xlfn.XMATCH(AU$1,'UN Treasury'!$A$1:$BQ$1,-1,1),FALSE)</f>
        <v>35.868000000000002</v>
      </c>
      <c r="AV96">
        <f>VLOOKUP($A96,'UN Treasury'!$A$1:$BQ$224,_xlfn.XMATCH(AV$1,'UN Treasury'!$A$1:$BQ$1,-1,1),FALSE)</f>
        <v>35.85</v>
      </c>
      <c r="AW96">
        <f>VLOOKUP($A96,'UN Treasury'!$A$1:$BQ$224,_xlfn.XMATCH(AW$1,'UN Treasury'!$A$1:$BQ$1,-1,1),FALSE)</f>
        <v>35.771000000000001</v>
      </c>
      <c r="AX96">
        <f>VLOOKUP($A96,'UN Treasury'!$A$1:$BQ$224,_xlfn.XMATCH(AX$1,'UN Treasury'!$A$1:$BQ$1,-1,1),FALSE)</f>
        <v>35.744</v>
      </c>
      <c r="AY96">
        <f>VLOOKUP($A96,'UN Treasury'!$A$1:$BQ$224,_xlfn.XMATCH(AY$1,'UN Treasury'!$A$1:$BQ$1,-1,1),FALSE)</f>
        <v>35.64</v>
      </c>
      <c r="AZ96">
        <f>VLOOKUP($A96,'UN Treasury'!$A$1:$BQ$224,_xlfn.XMATCH(AZ$1,'UN Treasury'!$A$1:$BQ$1,-1,1),FALSE)</f>
        <v>35.667999999999999</v>
      </c>
      <c r="BA96">
        <f>VLOOKUP($A96,'UN Treasury'!$A$1:$BQ$224,_xlfn.XMATCH(BA$1,'UN Treasury'!$A$1:$BQ$1,-1,1),FALSE)</f>
        <v>35.564</v>
      </c>
      <c r="BB96">
        <f>VLOOKUP($A96,'UN Treasury'!$A$1:$BQ$224,_xlfn.XMATCH(BB$1,'UN Treasury'!$A$1:$BQ$1,-1,1),FALSE)</f>
        <v>35.569000000000003</v>
      </c>
      <c r="BC96">
        <f>VLOOKUP($A96,'UN Treasury'!$A$1:$BQ$224,_xlfn.XMATCH(BC$1,'UN Treasury'!$A$1:$BQ$1,-1,1),FALSE)</f>
        <v>35.49</v>
      </c>
      <c r="BD96">
        <f>VLOOKUP($A96,'UN Treasury'!$A$1:$BQ$224,_xlfn.XMATCH(BD$1,'UN Treasury'!$A$1:$BQ$1,-1,1),FALSE)</f>
        <v>35.493000000000002</v>
      </c>
      <c r="BE96">
        <f>VLOOKUP($A96,'UN Treasury'!$A$1:$BQ$224,_xlfn.XMATCH(BE$1,'UN Treasury'!$A$1:$BQ$1,-1,1),FALSE)</f>
        <v>35.384999999999998</v>
      </c>
      <c r="BF96">
        <f>VLOOKUP($A96,'UN Treasury'!$A$1:$BQ$224,_xlfn.XMATCH(BF$1,'UN Treasury'!$A$1:$BQ$1,-1,1),FALSE)</f>
        <v>35.292000000000002</v>
      </c>
      <c r="BG96">
        <f>VLOOKUP($A96,'UN Treasury'!$A$1:$BQ$224,_xlfn.XMATCH(BG$1,'UN Treasury'!$A$1:$BQ$1,-1,1),FALSE)</f>
        <v>35.134999999999998</v>
      </c>
      <c r="BH96">
        <f>VLOOKUP($A96,'UN Treasury'!$A$1:$BQ$224,_xlfn.XMATCH(BH$1,'UN Treasury'!$A$1:$BQ$1,-1,1),FALSE)</f>
        <v>35.107999999999997</v>
      </c>
      <c r="BI96">
        <f>VLOOKUP($A96,'UN Treasury'!$A$1:$BQ$224,_xlfn.XMATCH(BI$1,'UN Treasury'!$A$1:$BQ$1,-1,1),FALSE)</f>
        <v>34.984999999999999</v>
      </c>
      <c r="BJ96">
        <f>VLOOKUP($A96,'UN Treasury'!$A$1:$BQ$224,_xlfn.XMATCH(BJ$1,'UN Treasury'!$A$1:$BQ$1,-1,1),FALSE)</f>
        <v>35.034999999999997</v>
      </c>
      <c r="BK96">
        <f>VLOOKUP($A96,'UN Treasury'!$A$1:$BQ$224,_xlfn.XMATCH(BK$1,'UN Treasury'!$A$1:$BQ$1,-1,1),FALSE)</f>
        <v>34.686999999999998</v>
      </c>
      <c r="BL96">
        <f>VLOOKUP($A96,'UN Treasury'!$A$1:$BQ$224,_xlfn.XMATCH(BL$1,'UN Treasury'!$A$1:$BQ$1,-1,1),FALSE)</f>
        <v>34.683999999999997</v>
      </c>
      <c r="BM96">
        <f>VLOOKUP($A96,'UN Treasury'!$A$1:$BQ$224,_xlfn.XMATCH(BM$1,'UN Treasury'!$A$1:$BQ$1,-1,1),FALSE)</f>
        <v>34.677</v>
      </c>
      <c r="BN96">
        <f>VLOOKUP($A96,'UN Treasury'!$A$1:$BQ$224,_xlfn.XMATCH(BN$1,'UN Treasury'!$A$1:$BQ$1,-1,1),FALSE)</f>
        <v>34.844999999999999</v>
      </c>
      <c r="BO96">
        <f>VLOOKUP($A96,'UN Treasury'!$A$1:$BQ$224,_xlfn.XMATCH(BO$1,'UN Treasury'!$A$1:$BQ$1,-1,1),FALSE)</f>
        <v>34.704999999999998</v>
      </c>
      <c r="BP96">
        <f>VLOOKUP($A96,'UN Treasury'!$A$1:$BQ$224,_xlfn.XMATCH(BP$1,'UN Treasury'!$A$1:$BQ$1,-1,1),FALSE)</f>
        <v>34.643000000000001</v>
      </c>
      <c r="BQ96">
        <f>VLOOKUP($A96,'UN Treasury'!$A$1:$BQ$224,_xlfn.XMATCH(BQ$1,'UN Treasury'!$A$1:$BQ$1,-1,1),FALSE)</f>
        <v>34.701999999999998</v>
      </c>
    </row>
    <row r="97" spans="1:69" x14ac:dyDescent="0.25">
      <c r="A97" t="s">
        <v>214</v>
      </c>
      <c r="B97">
        <f>VLOOKUP($A97,'UN Treasury'!$A$1:$BQ$224,_xlfn.XMATCH(B$1,'UN Treasury'!$A$1:$BQ$1,-1,1),FALSE)</f>
        <v>9.5079999999999991</v>
      </c>
      <c r="C97">
        <f>VLOOKUP($A97,'UN Treasury'!$A$1:$BQ$224,_xlfn.XMATCH(C$1,'UN Treasury'!$A$1:$BQ$1,-1,1),FALSE)</f>
        <v>9.7650000000000006</v>
      </c>
      <c r="D97">
        <f>VLOOKUP($A97,'UN Treasury'!$A$1:$BQ$224,_xlfn.XMATCH(D$1,'UN Treasury'!$A$1:$BQ$1,-1,1),FALSE)</f>
        <v>9.5239999999999991</v>
      </c>
      <c r="E97">
        <f>VLOOKUP($A97,'UN Treasury'!$A$1:$BQ$224,_xlfn.XMATCH(E$1,'UN Treasury'!$A$1:$BQ$1,-1,1),FALSE)</f>
        <v>9.18</v>
      </c>
      <c r="F97">
        <f>VLOOKUP($A97,'UN Treasury'!$A$1:$BQ$224,_xlfn.XMATCH(F$1,'UN Treasury'!$A$1:$BQ$1,-1,1),FALSE)</f>
        <v>9.48</v>
      </c>
      <c r="G97">
        <f>VLOOKUP($A97,'UN Treasury'!$A$1:$BQ$224,_xlfn.XMATCH(G$1,'UN Treasury'!$A$1:$BQ$1,-1,1),FALSE)</f>
        <v>9.6720000000000006</v>
      </c>
      <c r="H97">
        <f>VLOOKUP($A97,'UN Treasury'!$A$1:$BQ$224,_xlfn.XMATCH(H$1,'UN Treasury'!$A$1:$BQ$1,-1,1),FALSE)</f>
        <v>9.468</v>
      </c>
      <c r="I97">
        <f>VLOOKUP($A97,'UN Treasury'!$A$1:$BQ$224,_xlfn.XMATCH(I$1,'UN Treasury'!$A$1:$BQ$1,-1,1),FALSE)</f>
        <v>10.083</v>
      </c>
      <c r="J97">
        <f>VLOOKUP($A97,'UN Treasury'!$A$1:$BQ$224,_xlfn.XMATCH(J$1,'UN Treasury'!$A$1:$BQ$1,-1,1),FALSE)</f>
        <v>10.08</v>
      </c>
      <c r="K97">
        <f>VLOOKUP($A97,'UN Treasury'!$A$1:$BQ$224,_xlfn.XMATCH(K$1,'UN Treasury'!$A$1:$BQ$1,-1,1),FALSE)</f>
        <v>10.093</v>
      </c>
      <c r="L97">
        <f>VLOOKUP($A97,'UN Treasury'!$A$1:$BQ$224,_xlfn.XMATCH(L$1,'UN Treasury'!$A$1:$BQ$1,-1,1),FALSE)</f>
        <v>10.095000000000001</v>
      </c>
      <c r="M97">
        <f>VLOOKUP($A97,'UN Treasury'!$A$1:$BQ$224,_xlfn.XMATCH(M$1,'UN Treasury'!$A$1:$BQ$1,-1,1),FALSE)</f>
        <v>9.9160000000000004</v>
      </c>
      <c r="N97">
        <f>VLOOKUP($A97,'UN Treasury'!$A$1:$BQ$224,_xlfn.XMATCH(N$1,'UN Treasury'!$A$1:$BQ$1,-1,1),FALSE)</f>
        <v>10.19</v>
      </c>
      <c r="O97">
        <f>VLOOKUP($A97,'UN Treasury'!$A$1:$BQ$224,_xlfn.XMATCH(O$1,'UN Treasury'!$A$1:$BQ$1,-1,1),FALSE)</f>
        <v>10.125</v>
      </c>
      <c r="P97">
        <f>VLOOKUP($A97,'UN Treasury'!$A$1:$BQ$224,_xlfn.XMATCH(P$1,'UN Treasury'!$A$1:$BQ$1,-1,1),FALSE)</f>
        <v>10.084</v>
      </c>
      <c r="Q97">
        <f>VLOOKUP($A97,'UN Treasury'!$A$1:$BQ$224,_xlfn.XMATCH(Q$1,'UN Treasury'!$A$1:$BQ$1,-1,1),FALSE)</f>
        <v>10.391</v>
      </c>
      <c r="R97">
        <f>VLOOKUP($A97,'UN Treasury'!$A$1:$BQ$224,_xlfn.XMATCH(R$1,'UN Treasury'!$A$1:$BQ$1,-1,1),FALSE)</f>
        <v>10.646000000000001</v>
      </c>
      <c r="S97">
        <f>VLOOKUP($A97,'UN Treasury'!$A$1:$BQ$224,_xlfn.XMATCH(S$1,'UN Treasury'!$A$1:$BQ$1,-1,1),FALSE)</f>
        <v>10.664999999999999</v>
      </c>
      <c r="T97">
        <f>VLOOKUP($A97,'UN Treasury'!$A$1:$BQ$224,_xlfn.XMATCH(T$1,'UN Treasury'!$A$1:$BQ$1,-1,1),FALSE)</f>
        <v>11.281000000000001</v>
      </c>
      <c r="U97">
        <f>VLOOKUP($A97,'UN Treasury'!$A$1:$BQ$224,_xlfn.XMATCH(U$1,'UN Treasury'!$A$1:$BQ$1,-1,1),FALSE)</f>
        <v>11.472</v>
      </c>
      <c r="V97">
        <f>VLOOKUP($A97,'UN Treasury'!$A$1:$BQ$224,_xlfn.XMATCH(V$1,'UN Treasury'!$A$1:$BQ$1,-1,1),FALSE)</f>
        <v>11.146000000000001</v>
      </c>
      <c r="W97">
        <f>VLOOKUP($A97,'UN Treasury'!$A$1:$BQ$224,_xlfn.XMATCH(W$1,'UN Treasury'!$A$1:$BQ$1,-1,1),FALSE)</f>
        <v>11.106</v>
      </c>
      <c r="X97">
        <f>VLOOKUP($A97,'UN Treasury'!$A$1:$BQ$224,_xlfn.XMATCH(X$1,'UN Treasury'!$A$1:$BQ$1,-1,1),FALSE)</f>
        <v>10.706</v>
      </c>
      <c r="Y97">
        <f>VLOOKUP($A97,'UN Treasury'!$A$1:$BQ$224,_xlfn.XMATCH(Y$1,'UN Treasury'!$A$1:$BQ$1,-1,1),FALSE)</f>
        <v>10.853999999999999</v>
      </c>
      <c r="Z97">
        <f>VLOOKUP($A97,'UN Treasury'!$A$1:$BQ$224,_xlfn.XMATCH(Z$1,'UN Treasury'!$A$1:$BQ$1,-1,1),FALSE)</f>
        <v>10.78</v>
      </c>
      <c r="AA97">
        <f>VLOOKUP($A97,'UN Treasury'!$A$1:$BQ$224,_xlfn.XMATCH(AA$1,'UN Treasury'!$A$1:$BQ$1,-1,1),FALSE)</f>
        <v>10.686999999999999</v>
      </c>
      <c r="AB97">
        <f>VLOOKUP($A97,'UN Treasury'!$A$1:$BQ$224,_xlfn.XMATCH(AB$1,'UN Treasury'!$A$1:$BQ$1,-1,1),FALSE)</f>
        <v>10.497</v>
      </c>
      <c r="AC97">
        <f>VLOOKUP($A97,'UN Treasury'!$A$1:$BQ$224,_xlfn.XMATCH(AC$1,'UN Treasury'!$A$1:$BQ$1,-1,1),FALSE)</f>
        <v>10.816000000000001</v>
      </c>
      <c r="AD97">
        <f>VLOOKUP($A97,'UN Treasury'!$A$1:$BQ$224,_xlfn.XMATCH(AD$1,'UN Treasury'!$A$1:$BQ$1,-1,1),FALSE)</f>
        <v>10.824</v>
      </c>
      <c r="AE97">
        <f>VLOOKUP($A97,'UN Treasury'!$A$1:$BQ$224,_xlfn.XMATCH(AE$1,'UN Treasury'!$A$1:$BQ$1,-1,1),FALSE)</f>
        <v>10.476000000000001</v>
      </c>
      <c r="AF97">
        <f>VLOOKUP($A97,'UN Treasury'!$A$1:$BQ$224,_xlfn.XMATCH(AF$1,'UN Treasury'!$A$1:$BQ$1,-1,1),FALSE)</f>
        <v>10.608000000000001</v>
      </c>
      <c r="AG97">
        <f>VLOOKUP($A97,'UN Treasury'!$A$1:$BQ$224,_xlfn.XMATCH(AG$1,'UN Treasury'!$A$1:$BQ$1,-1,1),FALSE)</f>
        <v>10.335000000000001</v>
      </c>
      <c r="AH97">
        <f>VLOOKUP($A97,'UN Treasury'!$A$1:$BQ$224,_xlfn.XMATCH(AH$1,'UN Treasury'!$A$1:$BQ$1,-1,1),FALSE)</f>
        <v>10.952</v>
      </c>
      <c r="AI97">
        <f>VLOOKUP($A97,'UN Treasury'!$A$1:$BQ$224,_xlfn.XMATCH(AI$1,'UN Treasury'!$A$1:$BQ$1,-1,1),FALSE)</f>
        <v>11.129</v>
      </c>
      <c r="AJ97">
        <f>VLOOKUP($A97,'UN Treasury'!$A$1:$BQ$224,_xlfn.XMATCH(AJ$1,'UN Treasury'!$A$1:$BQ$1,-1,1),FALSE)</f>
        <v>10.824999999999999</v>
      </c>
      <c r="AK97">
        <f>VLOOKUP($A97,'UN Treasury'!$A$1:$BQ$224,_xlfn.XMATCH(AK$1,'UN Treasury'!$A$1:$BQ$1,-1,1),FALSE)</f>
        <v>10.682</v>
      </c>
      <c r="AL97">
        <f>VLOOKUP($A97,'UN Treasury'!$A$1:$BQ$224,_xlfn.XMATCH(AL$1,'UN Treasury'!$A$1:$BQ$1,-1,1),FALSE)</f>
        <v>10.455</v>
      </c>
      <c r="AM97">
        <f>VLOOKUP($A97,'UN Treasury'!$A$1:$BQ$224,_xlfn.XMATCH(AM$1,'UN Treasury'!$A$1:$BQ$1,-1,1),FALSE)</f>
        <v>10.173</v>
      </c>
      <c r="AN97">
        <f>VLOOKUP($A97,'UN Treasury'!$A$1:$BQ$224,_xlfn.XMATCH(AN$1,'UN Treasury'!$A$1:$BQ$1,-1,1),FALSE)</f>
        <v>10.694000000000001</v>
      </c>
      <c r="AO97">
        <f>VLOOKUP($A97,'UN Treasury'!$A$1:$BQ$224,_xlfn.XMATCH(AO$1,'UN Treasury'!$A$1:$BQ$1,-1,1),FALSE)</f>
        <v>10.644</v>
      </c>
      <c r="AP97">
        <f>VLOOKUP($A97,'UN Treasury'!$A$1:$BQ$224,_xlfn.XMATCH(AP$1,'UN Treasury'!$A$1:$BQ$1,-1,1),FALSE)</f>
        <v>10.444000000000001</v>
      </c>
      <c r="AQ97">
        <f>VLOOKUP($A97,'UN Treasury'!$A$1:$BQ$224,_xlfn.XMATCH(AQ$1,'UN Treasury'!$A$1:$BQ$1,-1,1),FALSE)</f>
        <v>10.629</v>
      </c>
      <c r="AR97">
        <f>VLOOKUP($A97,'UN Treasury'!$A$1:$BQ$224,_xlfn.XMATCH(AR$1,'UN Treasury'!$A$1:$BQ$1,-1,1),FALSE)</f>
        <v>10.108000000000001</v>
      </c>
      <c r="AS97">
        <f>VLOOKUP($A97,'UN Treasury'!$A$1:$BQ$224,_xlfn.XMATCH(AS$1,'UN Treasury'!$A$1:$BQ$1,-1,1),FALSE)</f>
        <v>9.9640000000000004</v>
      </c>
      <c r="AT97">
        <f>VLOOKUP($A97,'UN Treasury'!$A$1:$BQ$224,_xlfn.XMATCH(AT$1,'UN Treasury'!$A$1:$BQ$1,-1,1),FALSE)</f>
        <v>9.76</v>
      </c>
      <c r="AU97">
        <f>VLOOKUP($A97,'UN Treasury'!$A$1:$BQ$224,_xlfn.XMATCH(AU$1,'UN Treasury'!$A$1:$BQ$1,-1,1),FALSE)</f>
        <v>9.9480000000000004</v>
      </c>
      <c r="AV97">
        <f>VLOOKUP($A97,'UN Treasury'!$A$1:$BQ$224,_xlfn.XMATCH(AV$1,'UN Treasury'!$A$1:$BQ$1,-1,1),FALSE)</f>
        <v>10.773</v>
      </c>
      <c r="AW97">
        <f>VLOOKUP($A97,'UN Treasury'!$A$1:$BQ$224,_xlfn.XMATCH(AW$1,'UN Treasury'!$A$1:$BQ$1,-1,1),FALSE)</f>
        <v>10.02</v>
      </c>
      <c r="AX97">
        <f>VLOOKUP($A97,'UN Treasury'!$A$1:$BQ$224,_xlfn.XMATCH(AX$1,'UN Treasury'!$A$1:$BQ$1,-1,1),FALSE)</f>
        <v>9.4719999999999995</v>
      </c>
      <c r="AY97">
        <f>VLOOKUP($A97,'UN Treasury'!$A$1:$BQ$224,_xlfn.XMATCH(AY$1,'UN Treasury'!$A$1:$BQ$1,-1,1),FALSE)</f>
        <v>10.237</v>
      </c>
      <c r="AZ97">
        <f>VLOOKUP($A97,'UN Treasury'!$A$1:$BQ$224,_xlfn.XMATCH(AZ$1,'UN Treasury'!$A$1:$BQ$1,-1,1),FALSE)</f>
        <v>9.8699999999999992</v>
      </c>
      <c r="BA97">
        <f>VLOOKUP($A97,'UN Treasury'!$A$1:$BQ$224,_xlfn.XMATCH(BA$1,'UN Treasury'!$A$1:$BQ$1,-1,1),FALSE)</f>
        <v>9.6489999999999991</v>
      </c>
      <c r="BB97">
        <f>VLOOKUP($A97,'UN Treasury'!$A$1:$BQ$224,_xlfn.XMATCH(BB$1,'UN Treasury'!$A$1:$BQ$1,-1,1),FALSE)</f>
        <v>8.7530000000000001</v>
      </c>
      <c r="BC97">
        <f>VLOOKUP($A97,'UN Treasury'!$A$1:$BQ$224,_xlfn.XMATCH(BC$1,'UN Treasury'!$A$1:$BQ$1,-1,1),FALSE)</f>
        <v>8.94</v>
      </c>
      <c r="BD97">
        <f>VLOOKUP($A97,'UN Treasury'!$A$1:$BQ$224,_xlfn.XMATCH(BD$1,'UN Treasury'!$A$1:$BQ$1,-1,1),FALSE)</f>
        <v>8.8190000000000008</v>
      </c>
      <c r="BE97">
        <f>VLOOKUP($A97,'UN Treasury'!$A$1:$BQ$224,_xlfn.XMATCH(BE$1,'UN Treasury'!$A$1:$BQ$1,-1,1),FALSE)</f>
        <v>8.6880000000000006</v>
      </c>
      <c r="BF97">
        <f>VLOOKUP($A97,'UN Treasury'!$A$1:$BQ$224,_xlfn.XMATCH(BF$1,'UN Treasury'!$A$1:$BQ$1,-1,1),FALSE)</f>
        <v>9.048</v>
      </c>
      <c r="BG97">
        <f>VLOOKUP($A97,'UN Treasury'!$A$1:$BQ$224,_xlfn.XMATCH(BG$1,'UN Treasury'!$A$1:$BQ$1,-1,1),FALSE)</f>
        <v>8.673</v>
      </c>
      <c r="BH97">
        <f>VLOOKUP($A97,'UN Treasury'!$A$1:$BQ$224,_xlfn.XMATCH(BH$1,'UN Treasury'!$A$1:$BQ$1,-1,1),FALSE)</f>
        <v>8.7390000000000008</v>
      </c>
      <c r="BI97">
        <f>VLOOKUP($A97,'UN Treasury'!$A$1:$BQ$224,_xlfn.XMATCH(BI$1,'UN Treasury'!$A$1:$BQ$1,-1,1),FALSE)</f>
        <v>8.6440000000000001</v>
      </c>
      <c r="BJ97">
        <f>VLOOKUP($A97,'UN Treasury'!$A$1:$BQ$224,_xlfn.XMATCH(BJ$1,'UN Treasury'!$A$1:$BQ$1,-1,1),FALSE)</f>
        <v>8.7490000000000006</v>
      </c>
      <c r="BK97">
        <f>VLOOKUP($A97,'UN Treasury'!$A$1:$BQ$224,_xlfn.XMATCH(BK$1,'UN Treasury'!$A$1:$BQ$1,-1,1),FALSE)</f>
        <v>8.5169999999999995</v>
      </c>
      <c r="BL97">
        <f>VLOOKUP($A97,'UN Treasury'!$A$1:$BQ$224,_xlfn.XMATCH(BL$1,'UN Treasury'!$A$1:$BQ$1,-1,1),FALSE)</f>
        <v>8.3520000000000003</v>
      </c>
      <c r="BM97">
        <f>VLOOKUP($A97,'UN Treasury'!$A$1:$BQ$224,_xlfn.XMATCH(BM$1,'UN Treasury'!$A$1:$BQ$1,-1,1),FALSE)</f>
        <v>8.2029999999999994</v>
      </c>
      <c r="BN97">
        <f>VLOOKUP($A97,'UN Treasury'!$A$1:$BQ$224,_xlfn.XMATCH(BN$1,'UN Treasury'!$A$1:$BQ$1,-1,1),FALSE)</f>
        <v>8.5630000000000006</v>
      </c>
      <c r="BO97">
        <f>VLOOKUP($A97,'UN Treasury'!$A$1:$BQ$224,_xlfn.XMATCH(BO$1,'UN Treasury'!$A$1:$BQ$1,-1,1),FALSE)</f>
        <v>8.4529999999999994</v>
      </c>
      <c r="BP97">
        <f>VLOOKUP($A97,'UN Treasury'!$A$1:$BQ$224,_xlfn.XMATCH(BP$1,'UN Treasury'!$A$1:$BQ$1,-1,1),FALSE)</f>
        <v>8.4529999999999994</v>
      </c>
      <c r="BQ97">
        <f>VLOOKUP($A97,'UN Treasury'!$A$1:$BQ$224,_xlfn.XMATCH(BQ$1,'UN Treasury'!$A$1:$BQ$1,-1,1),FALSE)</f>
        <v>8.5009999999999994</v>
      </c>
    </row>
    <row r="98" spans="1:69" x14ac:dyDescent="0.25">
      <c r="A98" t="s">
        <v>216</v>
      </c>
      <c r="B98">
        <f>VLOOKUP($A98,'UN Treasury'!$A$1:$BQ$224,_xlfn.XMATCH(B$1,'UN Treasury'!$A$1:$BQ$1,-1,1),FALSE)</f>
        <v>152.65199999999999</v>
      </c>
      <c r="C98">
        <f>VLOOKUP($A98,'UN Treasury'!$A$1:$BQ$224,_xlfn.XMATCH(C$1,'UN Treasury'!$A$1:$BQ$1,-1,1),FALSE)</f>
        <v>152.69499999999999</v>
      </c>
      <c r="D98">
        <f>VLOOKUP($A98,'UN Treasury'!$A$1:$BQ$224,_xlfn.XMATCH(D$1,'UN Treasury'!$A$1:$BQ$1,-1,1),FALSE)</f>
        <v>152.95500000000001</v>
      </c>
      <c r="E98">
        <f>VLOOKUP($A98,'UN Treasury'!$A$1:$BQ$224,_xlfn.XMATCH(E$1,'UN Treasury'!$A$1:$BQ$1,-1,1),FALSE)</f>
        <v>152.83000000000001</v>
      </c>
      <c r="F98">
        <f>VLOOKUP($A98,'UN Treasury'!$A$1:$BQ$224,_xlfn.XMATCH(F$1,'UN Treasury'!$A$1:$BQ$1,-1,1),FALSE)</f>
        <v>149.392</v>
      </c>
      <c r="G98">
        <f>VLOOKUP($A98,'UN Treasury'!$A$1:$BQ$224,_xlfn.XMATCH(G$1,'UN Treasury'!$A$1:$BQ$1,-1,1),FALSE)</f>
        <v>147.179</v>
      </c>
      <c r="H98">
        <f>VLOOKUP($A98,'UN Treasury'!$A$1:$BQ$224,_xlfn.XMATCH(H$1,'UN Treasury'!$A$1:$BQ$1,-1,1),FALSE)</f>
        <v>144.94399999999999</v>
      </c>
      <c r="I98">
        <f>VLOOKUP($A98,'UN Treasury'!$A$1:$BQ$224,_xlfn.XMATCH(I$1,'UN Treasury'!$A$1:$BQ$1,-1,1),FALSE)</f>
        <v>144.03899999999999</v>
      </c>
      <c r="J98">
        <f>VLOOKUP($A98,'UN Treasury'!$A$1:$BQ$224,_xlfn.XMATCH(J$1,'UN Treasury'!$A$1:$BQ$1,-1,1),FALSE)</f>
        <v>144.24299999999999</v>
      </c>
      <c r="K98">
        <f>VLOOKUP($A98,'UN Treasury'!$A$1:$BQ$224,_xlfn.XMATCH(K$1,'UN Treasury'!$A$1:$BQ$1,-1,1),FALSE)</f>
        <v>141.72200000000001</v>
      </c>
      <c r="L98">
        <f>VLOOKUP($A98,'UN Treasury'!$A$1:$BQ$224,_xlfn.XMATCH(L$1,'UN Treasury'!$A$1:$BQ$1,-1,1),FALSE)</f>
        <v>141.71199999999999</v>
      </c>
      <c r="M98">
        <f>VLOOKUP($A98,'UN Treasury'!$A$1:$BQ$224,_xlfn.XMATCH(M$1,'UN Treasury'!$A$1:$BQ$1,-1,1),FALSE)</f>
        <v>141.21</v>
      </c>
      <c r="N98">
        <f>VLOOKUP($A98,'UN Treasury'!$A$1:$BQ$224,_xlfn.XMATCH(N$1,'UN Treasury'!$A$1:$BQ$1,-1,1),FALSE)</f>
        <v>139.93299999999999</v>
      </c>
      <c r="O98">
        <f>VLOOKUP($A98,'UN Treasury'!$A$1:$BQ$224,_xlfn.XMATCH(O$1,'UN Treasury'!$A$1:$BQ$1,-1,1),FALSE)</f>
        <v>137.27199999999999</v>
      </c>
      <c r="P98">
        <f>VLOOKUP($A98,'UN Treasury'!$A$1:$BQ$224,_xlfn.XMATCH(P$1,'UN Treasury'!$A$1:$BQ$1,-1,1),FALSE)</f>
        <v>136.809</v>
      </c>
      <c r="Q98">
        <f>VLOOKUP($A98,'UN Treasury'!$A$1:$BQ$224,_xlfn.XMATCH(Q$1,'UN Treasury'!$A$1:$BQ$1,-1,1),FALSE)</f>
        <v>136.53100000000001</v>
      </c>
      <c r="R98">
        <f>VLOOKUP($A98,'UN Treasury'!$A$1:$BQ$224,_xlfn.XMATCH(R$1,'UN Treasury'!$A$1:$BQ$1,-1,1),FALSE)</f>
        <v>137.65600000000001</v>
      </c>
      <c r="S98">
        <f>VLOOKUP($A98,'UN Treasury'!$A$1:$BQ$224,_xlfn.XMATCH(S$1,'UN Treasury'!$A$1:$BQ$1,-1,1),FALSE)</f>
        <v>139.52000000000001</v>
      </c>
      <c r="T98">
        <f>VLOOKUP($A98,'UN Treasury'!$A$1:$BQ$224,_xlfn.XMATCH(T$1,'UN Treasury'!$A$1:$BQ$1,-1,1),FALSE)</f>
        <v>139.00200000000001</v>
      </c>
      <c r="U98">
        <f>VLOOKUP($A98,'UN Treasury'!$A$1:$BQ$224,_xlfn.XMATCH(U$1,'UN Treasury'!$A$1:$BQ$1,-1,1),FALSE)</f>
        <v>138.51</v>
      </c>
      <c r="V98">
        <f>VLOOKUP($A98,'UN Treasury'!$A$1:$BQ$224,_xlfn.XMATCH(V$1,'UN Treasury'!$A$1:$BQ$1,-1,1),FALSE)</f>
        <v>135.726</v>
      </c>
      <c r="W98">
        <f>VLOOKUP($A98,'UN Treasury'!$A$1:$BQ$224,_xlfn.XMATCH(W$1,'UN Treasury'!$A$1:$BQ$1,-1,1),FALSE)</f>
        <v>134.99100000000001</v>
      </c>
      <c r="X98">
        <f>VLOOKUP($A98,'UN Treasury'!$A$1:$BQ$224,_xlfn.XMATCH(X$1,'UN Treasury'!$A$1:$BQ$1,-1,1),FALSE)</f>
        <v>134.47900000000001</v>
      </c>
      <c r="Y98">
        <f>VLOOKUP($A98,'UN Treasury'!$A$1:$BQ$224,_xlfn.XMATCH(Y$1,'UN Treasury'!$A$1:$BQ$1,-1,1),FALSE)</f>
        <v>134.209</v>
      </c>
      <c r="Z98">
        <f>VLOOKUP($A98,'UN Treasury'!$A$1:$BQ$224,_xlfn.XMATCH(Z$1,'UN Treasury'!$A$1:$BQ$1,-1,1),FALSE)</f>
        <v>134.33500000000001</v>
      </c>
      <c r="AA98">
        <f>VLOOKUP($A98,'UN Treasury'!$A$1:$BQ$224,_xlfn.XMATCH(AA$1,'UN Treasury'!$A$1:$BQ$1,-1,1),FALSE)</f>
        <v>133.51499999999999</v>
      </c>
      <c r="AB98">
        <f>VLOOKUP($A98,'UN Treasury'!$A$1:$BQ$224,_xlfn.XMATCH(AB$1,'UN Treasury'!$A$1:$BQ$1,-1,1),FALSE)</f>
        <v>133.655</v>
      </c>
      <c r="AC98">
        <f>VLOOKUP($A98,'UN Treasury'!$A$1:$BQ$224,_xlfn.XMATCH(AC$1,'UN Treasury'!$A$1:$BQ$1,-1,1),FALSE)</f>
        <v>133.47300000000001</v>
      </c>
      <c r="AD98">
        <f>VLOOKUP($A98,'UN Treasury'!$A$1:$BQ$224,_xlfn.XMATCH(AD$1,'UN Treasury'!$A$1:$BQ$1,-1,1),FALSE)</f>
        <v>133.017</v>
      </c>
      <c r="AE98">
        <f>VLOOKUP($A98,'UN Treasury'!$A$1:$BQ$224,_xlfn.XMATCH(AE$1,'UN Treasury'!$A$1:$BQ$1,-1,1),FALSE)</f>
        <v>132.40899999999999</v>
      </c>
      <c r="AF98">
        <f>VLOOKUP($A98,'UN Treasury'!$A$1:$BQ$224,_xlfn.XMATCH(AF$1,'UN Treasury'!$A$1:$BQ$1,-1,1),FALSE)</f>
        <v>132.65600000000001</v>
      </c>
      <c r="AG98">
        <f>VLOOKUP($A98,'UN Treasury'!$A$1:$BQ$224,_xlfn.XMATCH(AG$1,'UN Treasury'!$A$1:$BQ$1,-1,1),FALSE)</f>
        <v>132.839</v>
      </c>
      <c r="AH98">
        <f>VLOOKUP($A98,'UN Treasury'!$A$1:$BQ$224,_xlfn.XMATCH(AH$1,'UN Treasury'!$A$1:$BQ$1,-1,1),FALSE)</f>
        <v>133.30699999999999</v>
      </c>
      <c r="AI98">
        <f>VLOOKUP($A98,'UN Treasury'!$A$1:$BQ$224,_xlfn.XMATCH(AI$1,'UN Treasury'!$A$1:$BQ$1,-1,1),FALSE)</f>
        <v>133.239</v>
      </c>
      <c r="AJ98">
        <f>VLOOKUP($A98,'UN Treasury'!$A$1:$BQ$224,_xlfn.XMATCH(AJ$1,'UN Treasury'!$A$1:$BQ$1,-1,1),FALSE)</f>
        <v>132.989</v>
      </c>
      <c r="AK98">
        <f>VLOOKUP($A98,'UN Treasury'!$A$1:$BQ$224,_xlfn.XMATCH(AK$1,'UN Treasury'!$A$1:$BQ$1,-1,1),FALSE)</f>
        <v>132.583</v>
      </c>
      <c r="AL98">
        <f>VLOOKUP($A98,'UN Treasury'!$A$1:$BQ$224,_xlfn.XMATCH(AL$1,'UN Treasury'!$A$1:$BQ$1,-1,1),FALSE)</f>
        <v>132.244</v>
      </c>
      <c r="AM98">
        <f>VLOOKUP($A98,'UN Treasury'!$A$1:$BQ$224,_xlfn.XMATCH(AM$1,'UN Treasury'!$A$1:$BQ$1,-1,1),FALSE)</f>
        <v>131.541</v>
      </c>
      <c r="AN98">
        <f>VLOOKUP($A98,'UN Treasury'!$A$1:$BQ$224,_xlfn.XMATCH(AN$1,'UN Treasury'!$A$1:$BQ$1,-1,1),FALSE)</f>
        <v>131.727</v>
      </c>
      <c r="AO98">
        <f>VLOOKUP($A98,'UN Treasury'!$A$1:$BQ$224,_xlfn.XMATCH(AO$1,'UN Treasury'!$A$1:$BQ$1,-1,1),FALSE)</f>
        <v>131.33600000000001</v>
      </c>
      <c r="AP98">
        <f>VLOOKUP($A98,'UN Treasury'!$A$1:$BQ$224,_xlfn.XMATCH(AP$1,'UN Treasury'!$A$1:$BQ$1,-1,1),FALSE)</f>
        <v>131.25899999999999</v>
      </c>
      <c r="AQ98">
        <f>VLOOKUP($A98,'UN Treasury'!$A$1:$BQ$224,_xlfn.XMATCH(AQ$1,'UN Treasury'!$A$1:$BQ$1,-1,1),FALSE)</f>
        <v>131.26900000000001</v>
      </c>
      <c r="AR98">
        <f>VLOOKUP($A98,'UN Treasury'!$A$1:$BQ$224,_xlfn.XMATCH(AR$1,'UN Treasury'!$A$1:$BQ$1,-1,1),FALSE)</f>
        <v>132.35</v>
      </c>
      <c r="AS98">
        <f>VLOOKUP($A98,'UN Treasury'!$A$1:$BQ$224,_xlfn.XMATCH(AS$1,'UN Treasury'!$A$1:$BQ$1,-1,1),FALSE)</f>
        <v>130.51599999999999</v>
      </c>
      <c r="AT98">
        <f>VLOOKUP($A98,'UN Treasury'!$A$1:$BQ$224,_xlfn.XMATCH(AT$1,'UN Treasury'!$A$1:$BQ$1,-1,1),FALSE)</f>
        <v>132.48400000000001</v>
      </c>
      <c r="AU98">
        <f>VLOOKUP($A98,'UN Treasury'!$A$1:$BQ$224,_xlfn.XMATCH(AU$1,'UN Treasury'!$A$1:$BQ$1,-1,1),FALSE)</f>
        <v>129.274</v>
      </c>
      <c r="AV98">
        <f>VLOOKUP($A98,'UN Treasury'!$A$1:$BQ$224,_xlfn.XMATCH(AV$1,'UN Treasury'!$A$1:$BQ$1,-1,1),FALSE)</f>
        <v>131.62799999999999</v>
      </c>
      <c r="AW98">
        <f>VLOOKUP($A98,'UN Treasury'!$A$1:$BQ$224,_xlfn.XMATCH(AW$1,'UN Treasury'!$A$1:$BQ$1,-1,1),FALSE)</f>
        <v>126.628</v>
      </c>
      <c r="AX98">
        <f>VLOOKUP($A98,'UN Treasury'!$A$1:$BQ$224,_xlfn.XMATCH(AX$1,'UN Treasury'!$A$1:$BQ$1,-1,1),FALSE)</f>
        <v>127.29300000000001</v>
      </c>
      <c r="AY98">
        <f>VLOOKUP($A98,'UN Treasury'!$A$1:$BQ$224,_xlfn.XMATCH(AY$1,'UN Treasury'!$A$1:$BQ$1,-1,1),FALSE)</f>
        <v>127.254</v>
      </c>
      <c r="AZ98">
        <f>VLOOKUP($A98,'UN Treasury'!$A$1:$BQ$224,_xlfn.XMATCH(AZ$1,'UN Treasury'!$A$1:$BQ$1,-1,1),FALSE)</f>
        <v>124.85</v>
      </c>
      <c r="BA98">
        <f>VLOOKUP($A98,'UN Treasury'!$A$1:$BQ$224,_xlfn.XMATCH(BA$1,'UN Treasury'!$A$1:$BQ$1,-1,1),FALSE)</f>
        <v>123.44</v>
      </c>
      <c r="BB98">
        <f>VLOOKUP($A98,'UN Treasury'!$A$1:$BQ$224,_xlfn.XMATCH(BB$1,'UN Treasury'!$A$1:$BQ$1,-1,1),FALSE)</f>
        <v>121.51900000000001</v>
      </c>
      <c r="BC98">
        <f>VLOOKUP($A98,'UN Treasury'!$A$1:$BQ$224,_xlfn.XMATCH(BC$1,'UN Treasury'!$A$1:$BQ$1,-1,1),FALSE)</f>
        <v>122.17</v>
      </c>
      <c r="BD98">
        <f>VLOOKUP($A98,'UN Treasury'!$A$1:$BQ$224,_xlfn.XMATCH(BD$1,'UN Treasury'!$A$1:$BQ$1,-1,1),FALSE)</f>
        <v>120.37</v>
      </c>
      <c r="BE98">
        <f>VLOOKUP($A98,'UN Treasury'!$A$1:$BQ$224,_xlfn.XMATCH(BE$1,'UN Treasury'!$A$1:$BQ$1,-1,1),FALSE)</f>
        <v>118.051</v>
      </c>
      <c r="BF98">
        <f>VLOOKUP($A98,'UN Treasury'!$A$1:$BQ$224,_xlfn.XMATCH(BF$1,'UN Treasury'!$A$1:$BQ$1,-1,1),FALSE)</f>
        <v>120.04</v>
      </c>
      <c r="BG98">
        <f>VLOOKUP($A98,'UN Treasury'!$A$1:$BQ$224,_xlfn.XMATCH(BG$1,'UN Treasury'!$A$1:$BQ$1,-1,1),FALSE)</f>
        <v>119.75</v>
      </c>
      <c r="BH98">
        <f>VLOOKUP($A98,'UN Treasury'!$A$1:$BQ$224,_xlfn.XMATCH(BH$1,'UN Treasury'!$A$1:$BQ$1,-1,1),FALSE)</f>
        <v>118.4014</v>
      </c>
      <c r="BI98">
        <f>VLOOKUP($A98,'UN Treasury'!$A$1:$BQ$224,_xlfn.XMATCH(BI$1,'UN Treasury'!$A$1:$BQ$1,-1,1),FALSE)</f>
        <v>117.2189</v>
      </c>
      <c r="BJ98">
        <f>VLOOKUP($A98,'UN Treasury'!$A$1:$BQ$224,_xlfn.XMATCH(BJ$1,'UN Treasury'!$A$1:$BQ$1,-1,1),FALSE)</f>
        <v>118.71</v>
      </c>
      <c r="BK98">
        <f>VLOOKUP($A98,'UN Treasury'!$A$1:$BQ$224,_xlfn.XMATCH(BK$1,'UN Treasury'!$A$1:$BQ$1,-1,1),FALSE)</f>
        <v>118.4813</v>
      </c>
      <c r="BL98">
        <f>VLOOKUP($A98,'UN Treasury'!$A$1:$BQ$224,_xlfn.XMATCH(BL$1,'UN Treasury'!$A$1:$BQ$1,-1,1),FALSE)</f>
        <v>116.14</v>
      </c>
      <c r="BM98">
        <f>VLOOKUP($A98,'UN Treasury'!$A$1:$BQ$224,_xlfn.XMATCH(BM$1,'UN Treasury'!$A$1:$BQ$1,-1,1),FALSE)</f>
        <v>118.45</v>
      </c>
      <c r="BN98">
        <f>VLOOKUP($A98,'UN Treasury'!$A$1:$BQ$224,_xlfn.XMATCH(BN$1,'UN Treasury'!$A$1:$BQ$1,-1,1),FALSE)</f>
        <v>116.56480000000001</v>
      </c>
      <c r="BO98">
        <f>VLOOKUP($A98,'UN Treasury'!$A$1:$BQ$224,_xlfn.XMATCH(BO$1,'UN Treasury'!$A$1:$BQ$1,-1,1),FALSE)</f>
        <v>115.5</v>
      </c>
      <c r="BP98">
        <f>VLOOKUP($A98,'UN Treasury'!$A$1:$BQ$224,_xlfn.XMATCH(BP$1,'UN Treasury'!$A$1:$BQ$1,-1,1),FALSE)</f>
        <v>116.7</v>
      </c>
      <c r="BQ98">
        <f>VLOOKUP($A98,'UN Treasury'!$A$1:$BQ$224,_xlfn.XMATCH(BQ$1,'UN Treasury'!$A$1:$BQ$1,-1,1),FALSE)</f>
        <v>117.15</v>
      </c>
    </row>
    <row r="99" spans="1:69" x14ac:dyDescent="0.25">
      <c r="A99" t="s">
        <v>218</v>
      </c>
      <c r="B99">
        <f>VLOOKUP($A99,'UN Treasury'!$A$1:$BQ$224,_xlfn.XMATCH(B$1,'UN Treasury'!$A$1:$BQ$1,-1,1),FALSE)</f>
        <v>1.7110000000000001</v>
      </c>
      <c r="C99">
        <f>VLOOKUP($A99,'UN Treasury'!$A$1:$BQ$224,_xlfn.XMATCH(C$1,'UN Treasury'!$A$1:$BQ$1,-1,1),FALSE)</f>
        <v>1.7290000000000001</v>
      </c>
      <c r="D99">
        <f>VLOOKUP($A99,'UN Treasury'!$A$1:$BQ$224,_xlfn.XMATCH(D$1,'UN Treasury'!$A$1:$BQ$1,-1,1),FALSE)</f>
        <v>1.732</v>
      </c>
      <c r="E99">
        <f>VLOOKUP($A99,'UN Treasury'!$A$1:$BQ$224,_xlfn.XMATCH(E$1,'UN Treasury'!$A$1:$BQ$1,-1,1),FALSE)</f>
        <v>1.6870000000000001</v>
      </c>
      <c r="F99">
        <f>VLOOKUP($A99,'UN Treasury'!$A$1:$BQ$224,_xlfn.XMATCH(F$1,'UN Treasury'!$A$1:$BQ$1,-1,1),FALSE)</f>
        <v>1.7110000000000001</v>
      </c>
      <c r="G99">
        <f>VLOOKUP($A99,'UN Treasury'!$A$1:$BQ$224,_xlfn.XMATCH(G$1,'UN Treasury'!$A$1:$BQ$1,-1,1),FALSE)</f>
        <v>1.7010000000000001</v>
      </c>
      <c r="H99">
        <f>VLOOKUP($A99,'UN Treasury'!$A$1:$BQ$224,_xlfn.XMATCH(H$1,'UN Treasury'!$A$1:$BQ$1,-1,1),FALSE)</f>
        <v>1.649</v>
      </c>
      <c r="I99">
        <f>VLOOKUP($A99,'UN Treasury'!$A$1:$BQ$224,_xlfn.XMATCH(I$1,'UN Treasury'!$A$1:$BQ$1,-1,1),FALSE)</f>
        <v>1.7410000000000001</v>
      </c>
      <c r="J99">
        <f>VLOOKUP($A99,'UN Treasury'!$A$1:$BQ$224,_xlfn.XMATCH(J$1,'UN Treasury'!$A$1:$BQ$1,-1,1),FALSE)</f>
        <v>1.716</v>
      </c>
      <c r="K99">
        <f>VLOOKUP($A99,'UN Treasury'!$A$1:$BQ$224,_xlfn.XMATCH(K$1,'UN Treasury'!$A$1:$BQ$1,-1,1),FALSE)</f>
        <v>1.7669999999999999</v>
      </c>
      <c r="L99">
        <f>VLOOKUP($A99,'UN Treasury'!$A$1:$BQ$224,_xlfn.XMATCH(L$1,'UN Treasury'!$A$1:$BQ$1,-1,1),FALSE)</f>
        <v>1.7470000000000001</v>
      </c>
      <c r="M99">
        <f>VLOOKUP($A99,'UN Treasury'!$A$1:$BQ$224,_xlfn.XMATCH(M$1,'UN Treasury'!$A$1:$BQ$1,-1,1),FALSE)</f>
        <v>1.6830000000000001</v>
      </c>
      <c r="N99">
        <f>VLOOKUP($A99,'UN Treasury'!$A$1:$BQ$224,_xlfn.XMATCH(N$1,'UN Treasury'!$A$1:$BQ$1,-1,1),FALSE)</f>
        <v>1.6719999999999999</v>
      </c>
      <c r="O99">
        <f>VLOOKUP($A99,'UN Treasury'!$A$1:$BQ$224,_xlfn.XMATCH(O$1,'UN Treasury'!$A$1:$BQ$1,-1,1),FALSE)</f>
        <v>1.6639999999999999</v>
      </c>
      <c r="P99">
        <f>VLOOKUP($A99,'UN Treasury'!$A$1:$BQ$224,_xlfn.XMATCH(P$1,'UN Treasury'!$A$1:$BQ$1,-1,1),FALSE)</f>
        <v>1.6539999999999999</v>
      </c>
      <c r="Q99">
        <f>VLOOKUP($A99,'UN Treasury'!$A$1:$BQ$224,_xlfn.XMATCH(Q$1,'UN Treasury'!$A$1:$BQ$1,-1,1),FALSE)</f>
        <v>1.6910000000000001</v>
      </c>
      <c r="R99">
        <f>VLOOKUP($A99,'UN Treasury'!$A$1:$BQ$224,_xlfn.XMATCH(R$1,'UN Treasury'!$A$1:$BQ$1,-1,1),FALSE)</f>
        <v>1.712</v>
      </c>
      <c r="S99">
        <f>VLOOKUP($A99,'UN Treasury'!$A$1:$BQ$224,_xlfn.XMATCH(S$1,'UN Treasury'!$A$1:$BQ$1,-1,1),FALSE)</f>
        <v>1.752</v>
      </c>
      <c r="T99">
        <f>VLOOKUP($A99,'UN Treasury'!$A$1:$BQ$224,_xlfn.XMATCH(T$1,'UN Treasury'!$A$1:$BQ$1,-1,1),FALSE)</f>
        <v>1.7809999999999999</v>
      </c>
      <c r="U99">
        <f>VLOOKUP($A99,'UN Treasury'!$A$1:$BQ$224,_xlfn.XMATCH(U$1,'UN Treasury'!$A$1:$BQ$1,-1,1),FALSE)</f>
        <v>1.8</v>
      </c>
      <c r="V99">
        <f>VLOOKUP($A99,'UN Treasury'!$A$1:$BQ$224,_xlfn.XMATCH(V$1,'UN Treasury'!$A$1:$BQ$1,-1,1),FALSE)</f>
        <v>1.7290000000000001</v>
      </c>
      <c r="W99">
        <f>VLOOKUP($A99,'UN Treasury'!$A$1:$BQ$224,_xlfn.XMATCH(W$1,'UN Treasury'!$A$1:$BQ$1,-1,1),FALSE)</f>
        <v>1.6919999999999999</v>
      </c>
      <c r="X99">
        <f>VLOOKUP($A99,'UN Treasury'!$A$1:$BQ$224,_xlfn.XMATCH(X$1,'UN Treasury'!$A$1:$BQ$1,-1,1),FALSE)</f>
        <v>1.641</v>
      </c>
      <c r="Y99">
        <f>VLOOKUP($A99,'UN Treasury'!$A$1:$BQ$224,_xlfn.XMATCH(Y$1,'UN Treasury'!$A$1:$BQ$1,-1,1),FALSE)</f>
        <v>1.6319999999999999</v>
      </c>
      <c r="Z99">
        <f>VLOOKUP($A99,'UN Treasury'!$A$1:$BQ$224,_xlfn.XMATCH(Z$1,'UN Treasury'!$A$1:$BQ$1,-1,1),FALSE)</f>
        <v>1.65</v>
      </c>
      <c r="AA99">
        <f>VLOOKUP($A99,'UN Treasury'!$A$1:$BQ$224,_xlfn.XMATCH(AA$1,'UN Treasury'!$A$1:$BQ$1,-1,1),FALSE)</f>
        <v>1.6319999999999999</v>
      </c>
      <c r="AB99">
        <f>VLOOKUP($A99,'UN Treasury'!$A$1:$BQ$224,_xlfn.XMATCH(AB$1,'UN Treasury'!$A$1:$BQ$1,-1,1),FALSE)</f>
        <v>1.609</v>
      </c>
      <c r="AC99">
        <f>VLOOKUP($A99,'UN Treasury'!$A$1:$BQ$224,_xlfn.XMATCH(AC$1,'UN Treasury'!$A$1:$BQ$1,-1,1),FALSE)</f>
        <v>1.66</v>
      </c>
      <c r="AD99">
        <f>VLOOKUP($A99,'UN Treasury'!$A$1:$BQ$224,_xlfn.XMATCH(AD$1,'UN Treasury'!$A$1:$BQ$1,-1,1),FALSE)</f>
        <v>1.6679999999999999</v>
      </c>
      <c r="AE99">
        <f>VLOOKUP($A99,'UN Treasury'!$A$1:$BQ$224,_xlfn.XMATCH(AE$1,'UN Treasury'!$A$1:$BQ$1,-1,1),FALSE)</f>
        <v>1.6240000000000001</v>
      </c>
      <c r="AF99">
        <f>VLOOKUP($A99,'UN Treasury'!$A$1:$BQ$224,_xlfn.XMATCH(AF$1,'UN Treasury'!$A$1:$BQ$1,-1,1),FALSE)</f>
        <v>1.6479999999999999</v>
      </c>
      <c r="AG99">
        <f>VLOOKUP($A99,'UN Treasury'!$A$1:$BQ$224,_xlfn.XMATCH(AG$1,'UN Treasury'!$A$1:$BQ$1,-1,1),FALSE)</f>
        <v>1.607</v>
      </c>
      <c r="AH99">
        <f>VLOOKUP($A99,'UN Treasury'!$A$1:$BQ$224,_xlfn.XMATCH(AH$1,'UN Treasury'!$A$1:$BQ$1,-1,1),FALSE)</f>
        <v>1.6359999999999999</v>
      </c>
      <c r="AI99">
        <f>VLOOKUP($A99,'UN Treasury'!$A$1:$BQ$224,_xlfn.XMATCH(AI$1,'UN Treasury'!$A$1:$BQ$1,-1,1),FALSE)</f>
        <v>1.7030000000000001</v>
      </c>
      <c r="AJ99">
        <f>VLOOKUP($A99,'UN Treasury'!$A$1:$BQ$224,_xlfn.XMATCH(AJ$1,'UN Treasury'!$A$1:$BQ$1,-1,1),FALSE)</f>
        <v>1.659</v>
      </c>
      <c r="AK99">
        <f>VLOOKUP($A99,'UN Treasury'!$A$1:$BQ$224,_xlfn.XMATCH(AK$1,'UN Treasury'!$A$1:$BQ$1,-1,1),FALSE)</f>
        <v>1.6890000000000001</v>
      </c>
      <c r="AL99">
        <f>VLOOKUP($A99,'UN Treasury'!$A$1:$BQ$224,_xlfn.XMATCH(AL$1,'UN Treasury'!$A$1:$BQ$1,-1,1),FALSE)</f>
        <v>1.671</v>
      </c>
      <c r="AM99">
        <f>VLOOKUP($A99,'UN Treasury'!$A$1:$BQ$224,_xlfn.XMATCH(AM$1,'UN Treasury'!$A$1:$BQ$1,-1,1),FALSE)</f>
        <v>1.5960000000000001</v>
      </c>
      <c r="AN99">
        <f>VLOOKUP($A99,'UN Treasury'!$A$1:$BQ$224,_xlfn.XMATCH(AN$1,'UN Treasury'!$A$1:$BQ$1,-1,1),FALSE)</f>
        <v>1.6279999999999999</v>
      </c>
      <c r="AO99">
        <f>VLOOKUP($A99,'UN Treasury'!$A$1:$BQ$224,_xlfn.XMATCH(AO$1,'UN Treasury'!$A$1:$BQ$1,-1,1),FALSE)</f>
        <v>1.5860000000000001</v>
      </c>
      <c r="AP99">
        <f>VLOOKUP($A99,'UN Treasury'!$A$1:$BQ$224,_xlfn.XMATCH(AP$1,'UN Treasury'!$A$1:$BQ$1,-1,1),FALSE)</f>
        <v>1.607</v>
      </c>
      <c r="AQ99">
        <f>VLOOKUP($A99,'UN Treasury'!$A$1:$BQ$224,_xlfn.XMATCH(AQ$1,'UN Treasury'!$A$1:$BQ$1,-1,1),FALSE)</f>
        <v>1.607</v>
      </c>
      <c r="AR99">
        <f>VLOOKUP($A99,'UN Treasury'!$A$1:$BQ$224,_xlfn.XMATCH(AR$1,'UN Treasury'!$A$1:$BQ$1,-1,1),FALSE)</f>
        <v>1.5720000000000001</v>
      </c>
      <c r="AS99">
        <f>VLOOKUP($A99,'UN Treasury'!$A$1:$BQ$224,_xlfn.XMATCH(AS$1,'UN Treasury'!$A$1:$BQ$1,-1,1),FALSE)</f>
        <v>1.573</v>
      </c>
      <c r="AT99">
        <f>VLOOKUP($A99,'UN Treasury'!$A$1:$BQ$224,_xlfn.XMATCH(AT$1,'UN Treasury'!$A$1:$BQ$1,-1,1),FALSE)</f>
        <v>1.5349999999999999</v>
      </c>
      <c r="AU99">
        <f>VLOOKUP($A99,'UN Treasury'!$A$1:$BQ$224,_xlfn.XMATCH(AU$1,'UN Treasury'!$A$1:$BQ$1,-1,1),FALSE)</f>
        <v>1.6439999999999999</v>
      </c>
      <c r="AV99">
        <f>VLOOKUP($A99,'UN Treasury'!$A$1:$BQ$224,_xlfn.XMATCH(AV$1,'UN Treasury'!$A$1:$BQ$1,-1,1),FALSE)</f>
        <v>1.788</v>
      </c>
      <c r="AW99">
        <f>VLOOKUP($A99,'UN Treasury'!$A$1:$BQ$224,_xlfn.XMATCH(AW$1,'UN Treasury'!$A$1:$BQ$1,-1,1),FALSE)</f>
        <v>1.655</v>
      </c>
      <c r="AX99">
        <f>VLOOKUP($A99,'UN Treasury'!$A$1:$BQ$224,_xlfn.XMATCH(AX$1,'UN Treasury'!$A$1:$BQ$1,-1,1),FALSE)</f>
        <v>1.5489999999999999</v>
      </c>
      <c r="AY99">
        <f>VLOOKUP($A99,'UN Treasury'!$A$1:$BQ$224,_xlfn.XMATCH(AY$1,'UN Treasury'!$A$1:$BQ$1,-1,1),FALSE)</f>
        <v>1.6359999999999999</v>
      </c>
      <c r="AZ99">
        <f>VLOOKUP($A99,'UN Treasury'!$A$1:$BQ$224,_xlfn.XMATCH(AZ$1,'UN Treasury'!$A$1:$BQ$1,-1,1),FALSE)</f>
        <v>1.591</v>
      </c>
      <c r="BA99">
        <f>VLOOKUP($A99,'UN Treasury'!$A$1:$BQ$224,_xlfn.XMATCH(BA$1,'UN Treasury'!$A$1:$BQ$1,-1,1),FALSE)</f>
        <v>1.571</v>
      </c>
      <c r="BB99">
        <f>VLOOKUP($A99,'UN Treasury'!$A$1:$BQ$224,_xlfn.XMATCH(BB$1,'UN Treasury'!$A$1:$BQ$1,-1,1),FALSE)</f>
        <v>1.4570000000000001</v>
      </c>
      <c r="BC99">
        <f>VLOOKUP($A99,'UN Treasury'!$A$1:$BQ$224,_xlfn.XMATCH(BC$1,'UN Treasury'!$A$1:$BQ$1,-1,1),FALSE)</f>
        <v>1.462</v>
      </c>
      <c r="BD99">
        <f>VLOOKUP($A99,'UN Treasury'!$A$1:$BQ$224,_xlfn.XMATCH(BD$1,'UN Treasury'!$A$1:$BQ$1,-1,1),FALSE)</f>
        <v>1.4950000000000001</v>
      </c>
      <c r="BE99">
        <f>VLOOKUP($A99,'UN Treasury'!$A$1:$BQ$224,_xlfn.XMATCH(BE$1,'UN Treasury'!$A$1:$BQ$1,-1,1),FALSE)</f>
        <v>1.4630000000000001</v>
      </c>
      <c r="BF99">
        <f>VLOOKUP($A99,'UN Treasury'!$A$1:$BQ$224,_xlfn.XMATCH(BF$1,'UN Treasury'!$A$1:$BQ$1,-1,1),FALSE)</f>
        <v>1.47</v>
      </c>
      <c r="BG99">
        <f>VLOOKUP($A99,'UN Treasury'!$A$1:$BQ$224,_xlfn.XMATCH(BG$1,'UN Treasury'!$A$1:$BQ$1,-1,1),FALSE)</f>
        <v>1.421</v>
      </c>
      <c r="BH99">
        <f>VLOOKUP($A99,'UN Treasury'!$A$1:$BQ$224,_xlfn.XMATCH(BH$1,'UN Treasury'!$A$1:$BQ$1,-1,1),FALSE)</f>
        <v>1.452</v>
      </c>
      <c r="BI99">
        <f>VLOOKUP($A99,'UN Treasury'!$A$1:$BQ$224,_xlfn.XMATCH(BI$1,'UN Treasury'!$A$1:$BQ$1,-1,1),FALSE)</f>
        <v>1.4059999999999999</v>
      </c>
      <c r="BJ99">
        <f>VLOOKUP($A99,'UN Treasury'!$A$1:$BQ$224,_xlfn.XMATCH(BJ$1,'UN Treasury'!$A$1:$BQ$1,-1,1),FALSE)</f>
        <v>1.429</v>
      </c>
      <c r="BK99">
        <f>VLOOKUP($A99,'UN Treasury'!$A$1:$BQ$224,_xlfn.XMATCH(BK$1,'UN Treasury'!$A$1:$BQ$1,-1,1),FALSE)</f>
        <v>1.42</v>
      </c>
      <c r="BL99">
        <f>VLOOKUP($A99,'UN Treasury'!$A$1:$BQ$224,_xlfn.XMATCH(BL$1,'UN Treasury'!$A$1:$BQ$1,-1,1),FALSE)</f>
        <v>1.37</v>
      </c>
      <c r="BM99">
        <f>VLOOKUP($A99,'UN Treasury'!$A$1:$BQ$224,_xlfn.XMATCH(BM$1,'UN Treasury'!$A$1:$BQ$1,-1,1),FALSE)</f>
        <v>1.3819999999999999</v>
      </c>
      <c r="BN99">
        <f>VLOOKUP($A99,'UN Treasury'!$A$1:$BQ$224,_xlfn.XMATCH(BN$1,'UN Treasury'!$A$1:$BQ$1,-1,1),FALSE)</f>
        <v>1.4330000000000001</v>
      </c>
      <c r="BO99">
        <f>VLOOKUP($A99,'UN Treasury'!$A$1:$BQ$224,_xlfn.XMATCH(BO$1,'UN Treasury'!$A$1:$BQ$1,-1,1),FALSE)</f>
        <v>1.3859999999999999</v>
      </c>
      <c r="BP99">
        <f>VLOOKUP($A99,'UN Treasury'!$A$1:$BQ$224,_xlfn.XMATCH(BP$1,'UN Treasury'!$A$1:$BQ$1,-1,1),FALSE)</f>
        <v>1.381</v>
      </c>
      <c r="BQ99">
        <f>VLOOKUP($A99,'UN Treasury'!$A$1:$BQ$224,_xlfn.XMATCH(BQ$1,'UN Treasury'!$A$1:$BQ$1,-1,1),FALSE)</f>
        <v>1.3939999999999999</v>
      </c>
    </row>
    <row r="100" spans="1:69" x14ac:dyDescent="0.25">
      <c r="A100" t="s">
        <v>220</v>
      </c>
      <c r="B100">
        <f>VLOOKUP($A100,'UN Treasury'!$A$1:$BQ$224,_xlfn.XMATCH(B$1,'UN Treasury'!$A$1:$BQ$1,-1,1),FALSE)</f>
        <v>0.38400000000000001</v>
      </c>
      <c r="C100">
        <f>VLOOKUP($A100,'UN Treasury'!$A$1:$BQ$224,_xlfn.XMATCH(C$1,'UN Treasury'!$A$1:$BQ$1,-1,1),FALSE)</f>
        <v>0.38400000000000001</v>
      </c>
      <c r="D100">
        <f>VLOOKUP($A100,'UN Treasury'!$A$1:$BQ$224,_xlfn.XMATCH(D$1,'UN Treasury'!$A$1:$BQ$1,-1,1),FALSE)</f>
        <v>0.38400000000000001</v>
      </c>
      <c r="E100">
        <f>VLOOKUP($A100,'UN Treasury'!$A$1:$BQ$224,_xlfn.XMATCH(E$1,'UN Treasury'!$A$1:$BQ$1,-1,1),FALSE)</f>
        <v>0.38500000000000001</v>
      </c>
      <c r="F100">
        <f>VLOOKUP($A100,'UN Treasury'!$A$1:$BQ$224,_xlfn.XMATCH(F$1,'UN Treasury'!$A$1:$BQ$1,-1,1),FALSE)</f>
        <v>0.38500000000000001</v>
      </c>
      <c r="G100">
        <f>VLOOKUP($A100,'UN Treasury'!$A$1:$BQ$224,_xlfn.XMATCH(G$1,'UN Treasury'!$A$1:$BQ$1,-1,1),FALSE)</f>
        <v>0.38500000000000001</v>
      </c>
      <c r="H100">
        <f>VLOOKUP($A100,'UN Treasury'!$A$1:$BQ$224,_xlfn.XMATCH(H$1,'UN Treasury'!$A$1:$BQ$1,-1,1),FALSE)</f>
        <v>0.38500000000000001</v>
      </c>
      <c r="I100">
        <f>VLOOKUP($A100,'UN Treasury'!$A$1:$BQ$224,_xlfn.XMATCH(I$1,'UN Treasury'!$A$1:$BQ$1,-1,1),FALSE)</f>
        <v>0.38500000000000001</v>
      </c>
      <c r="J100">
        <f>VLOOKUP($A100,'UN Treasury'!$A$1:$BQ$224,_xlfn.XMATCH(J$1,'UN Treasury'!$A$1:$BQ$1,-1,1),FALSE)</f>
        <v>0.38500000000000001</v>
      </c>
      <c r="K100">
        <f>VLOOKUP($A100,'UN Treasury'!$A$1:$BQ$224,_xlfn.XMATCH(K$1,'UN Treasury'!$A$1:$BQ$1,-1,1),FALSE)</f>
        <v>0.38500000000000001</v>
      </c>
      <c r="L100">
        <f>VLOOKUP($A100,'UN Treasury'!$A$1:$BQ$224,_xlfn.XMATCH(L$1,'UN Treasury'!$A$1:$BQ$1,-1,1),FALSE)</f>
        <v>0.38400000000000001</v>
      </c>
      <c r="M100">
        <f>VLOOKUP($A100,'UN Treasury'!$A$1:$BQ$224,_xlfn.XMATCH(M$1,'UN Treasury'!$A$1:$BQ$1,-1,1),FALSE)</f>
        <v>0.38500000000000001</v>
      </c>
      <c r="N100">
        <f>VLOOKUP($A100,'UN Treasury'!$A$1:$BQ$224,_xlfn.XMATCH(N$1,'UN Treasury'!$A$1:$BQ$1,-1,1),FALSE)</f>
        <v>0.38500000000000001</v>
      </c>
      <c r="O100">
        <f>VLOOKUP($A100,'UN Treasury'!$A$1:$BQ$224,_xlfn.XMATCH(O$1,'UN Treasury'!$A$1:$BQ$1,-1,1),FALSE)</f>
        <v>0.38500000000000001</v>
      </c>
      <c r="P100">
        <f>VLOOKUP($A100,'UN Treasury'!$A$1:$BQ$224,_xlfn.XMATCH(P$1,'UN Treasury'!$A$1:$BQ$1,-1,1),FALSE)</f>
        <v>0.38500000000000001</v>
      </c>
      <c r="Q100">
        <f>VLOOKUP($A100,'UN Treasury'!$A$1:$BQ$224,_xlfn.XMATCH(Q$1,'UN Treasury'!$A$1:$BQ$1,-1,1),FALSE)</f>
        <v>0.38500000000000001</v>
      </c>
      <c r="R100">
        <f>VLOOKUP($A100,'UN Treasury'!$A$1:$BQ$224,_xlfn.XMATCH(R$1,'UN Treasury'!$A$1:$BQ$1,-1,1),FALSE)</f>
        <v>0.38500000000000001</v>
      </c>
      <c r="S100">
        <f>VLOOKUP($A100,'UN Treasury'!$A$1:$BQ$224,_xlfn.XMATCH(S$1,'UN Treasury'!$A$1:$BQ$1,-1,1),FALSE)</f>
        <v>0.38500000000000001</v>
      </c>
      <c r="T100">
        <f>VLOOKUP($A100,'UN Treasury'!$A$1:$BQ$224,_xlfn.XMATCH(T$1,'UN Treasury'!$A$1:$BQ$1,-1,1),FALSE)</f>
        <v>0.38500000000000001</v>
      </c>
      <c r="U100">
        <f>VLOOKUP($A100,'UN Treasury'!$A$1:$BQ$224,_xlfn.XMATCH(U$1,'UN Treasury'!$A$1:$BQ$1,-1,1),FALSE)</f>
        <v>0.38500000000000001</v>
      </c>
      <c r="V100">
        <f>VLOOKUP($A100,'UN Treasury'!$A$1:$BQ$224,_xlfn.XMATCH(V$1,'UN Treasury'!$A$1:$BQ$1,-1,1),FALSE)</f>
        <v>0.38500000000000001</v>
      </c>
      <c r="W100">
        <f>VLOOKUP($A100,'UN Treasury'!$A$1:$BQ$224,_xlfn.XMATCH(W$1,'UN Treasury'!$A$1:$BQ$1,-1,1),FALSE)</f>
        <v>0.38500000000000001</v>
      </c>
      <c r="X100">
        <f>VLOOKUP($A100,'UN Treasury'!$A$1:$BQ$224,_xlfn.XMATCH(X$1,'UN Treasury'!$A$1:$BQ$1,-1,1),FALSE)</f>
        <v>0.38500000000000001</v>
      </c>
      <c r="Y100">
        <f>VLOOKUP($A100,'UN Treasury'!$A$1:$BQ$224,_xlfn.XMATCH(Y$1,'UN Treasury'!$A$1:$BQ$1,-1,1),FALSE)</f>
        <v>0.38500000000000001</v>
      </c>
      <c r="Z100">
        <f>VLOOKUP($A100,'UN Treasury'!$A$1:$BQ$224,_xlfn.XMATCH(Z$1,'UN Treasury'!$A$1:$BQ$1,-1,1),FALSE)</f>
        <v>0.38500000000000001</v>
      </c>
      <c r="AA100">
        <f>VLOOKUP($A100,'UN Treasury'!$A$1:$BQ$224,_xlfn.XMATCH(AA$1,'UN Treasury'!$A$1:$BQ$1,-1,1),FALSE)</f>
        <v>0.38500000000000001</v>
      </c>
      <c r="AB100">
        <f>VLOOKUP($A100,'UN Treasury'!$A$1:$BQ$224,_xlfn.XMATCH(AB$1,'UN Treasury'!$A$1:$BQ$1,-1,1),FALSE)</f>
        <v>0.38500000000000001</v>
      </c>
      <c r="AC100">
        <f>VLOOKUP($A100,'UN Treasury'!$A$1:$BQ$224,_xlfn.XMATCH(AC$1,'UN Treasury'!$A$1:$BQ$1,-1,1),FALSE)</f>
        <v>0.38500000000000001</v>
      </c>
      <c r="AD100">
        <f>VLOOKUP($A100,'UN Treasury'!$A$1:$BQ$224,_xlfn.XMATCH(AD$1,'UN Treasury'!$A$1:$BQ$1,-1,1),FALSE)</f>
        <v>0.38500000000000001</v>
      </c>
      <c r="AE100">
        <f>VLOOKUP($A100,'UN Treasury'!$A$1:$BQ$224,_xlfn.XMATCH(AE$1,'UN Treasury'!$A$1:$BQ$1,-1,1),FALSE)</f>
        <v>0.38400000000000001</v>
      </c>
      <c r="AF100">
        <f>VLOOKUP($A100,'UN Treasury'!$A$1:$BQ$224,_xlfn.XMATCH(AF$1,'UN Treasury'!$A$1:$BQ$1,-1,1),FALSE)</f>
        <v>0.38400000000000001</v>
      </c>
      <c r="AG100">
        <f>VLOOKUP($A100,'UN Treasury'!$A$1:$BQ$224,_xlfn.XMATCH(AG$1,'UN Treasury'!$A$1:$BQ$1,-1,1),FALSE)</f>
        <v>0.38500000000000001</v>
      </c>
      <c r="AH100">
        <f>VLOOKUP($A100,'UN Treasury'!$A$1:$BQ$224,_xlfn.XMATCH(AH$1,'UN Treasury'!$A$1:$BQ$1,-1,1),FALSE)</f>
        <v>0.38500000000000001</v>
      </c>
      <c r="AI100">
        <f>VLOOKUP($A100,'UN Treasury'!$A$1:$BQ$224,_xlfn.XMATCH(AI$1,'UN Treasury'!$A$1:$BQ$1,-1,1),FALSE)</f>
        <v>0.38500000000000001</v>
      </c>
      <c r="AJ100">
        <f>VLOOKUP($A100,'UN Treasury'!$A$1:$BQ$224,_xlfn.XMATCH(AJ$1,'UN Treasury'!$A$1:$BQ$1,-1,1),FALSE)</f>
        <v>0.38500000000000001</v>
      </c>
      <c r="AK100">
        <f>VLOOKUP($A100,'UN Treasury'!$A$1:$BQ$224,_xlfn.XMATCH(AK$1,'UN Treasury'!$A$1:$BQ$1,-1,1),FALSE)</f>
        <v>0.38500000000000001</v>
      </c>
      <c r="AL100">
        <f>VLOOKUP($A100,'UN Treasury'!$A$1:$BQ$224,_xlfn.XMATCH(AL$1,'UN Treasury'!$A$1:$BQ$1,-1,1),FALSE)</f>
        <v>0.38500000000000001</v>
      </c>
      <c r="AM100">
        <f>VLOOKUP($A100,'UN Treasury'!$A$1:$BQ$224,_xlfn.XMATCH(AM$1,'UN Treasury'!$A$1:$BQ$1,-1,1),FALSE)</f>
        <v>0.38400000000000001</v>
      </c>
      <c r="AN100">
        <f>VLOOKUP($A100,'UN Treasury'!$A$1:$BQ$224,_xlfn.XMATCH(AN$1,'UN Treasury'!$A$1:$BQ$1,-1,1),FALSE)</f>
        <v>0.38400000000000001</v>
      </c>
      <c r="AO100">
        <f>VLOOKUP($A100,'UN Treasury'!$A$1:$BQ$224,_xlfn.XMATCH(AO$1,'UN Treasury'!$A$1:$BQ$1,-1,1),FALSE)</f>
        <v>0.38500000000000001</v>
      </c>
      <c r="AP100">
        <f>VLOOKUP($A100,'UN Treasury'!$A$1:$BQ$224,_xlfn.XMATCH(AP$1,'UN Treasury'!$A$1:$BQ$1,-1,1),FALSE)</f>
        <v>0.38500000000000001</v>
      </c>
      <c r="AQ100">
        <f>VLOOKUP($A100,'UN Treasury'!$A$1:$BQ$224,_xlfn.XMATCH(AQ$1,'UN Treasury'!$A$1:$BQ$1,-1,1),FALSE)</f>
        <v>0.38400000000000001</v>
      </c>
      <c r="AR100">
        <f>VLOOKUP($A100,'UN Treasury'!$A$1:$BQ$224,_xlfn.XMATCH(AR$1,'UN Treasury'!$A$1:$BQ$1,-1,1),FALSE)</f>
        <v>0.38400000000000001</v>
      </c>
      <c r="AS100">
        <f>VLOOKUP($A100,'UN Treasury'!$A$1:$BQ$224,_xlfn.XMATCH(AS$1,'UN Treasury'!$A$1:$BQ$1,-1,1),FALSE)</f>
        <v>0.38400000000000001</v>
      </c>
      <c r="AT100">
        <f>VLOOKUP($A100,'UN Treasury'!$A$1:$BQ$224,_xlfn.XMATCH(AT$1,'UN Treasury'!$A$1:$BQ$1,-1,1),FALSE)</f>
        <v>0.38500000000000001</v>
      </c>
      <c r="AU100">
        <f>VLOOKUP($A100,'UN Treasury'!$A$1:$BQ$224,_xlfn.XMATCH(AU$1,'UN Treasury'!$A$1:$BQ$1,-1,1),FALSE)</f>
        <v>0.38500000000000001</v>
      </c>
      <c r="AV100">
        <f>VLOOKUP($A100,'UN Treasury'!$A$1:$BQ$224,_xlfn.XMATCH(AV$1,'UN Treasury'!$A$1:$BQ$1,-1,1),FALSE)</f>
        <v>0.38500000000000001</v>
      </c>
      <c r="AW100">
        <f>VLOOKUP($A100,'UN Treasury'!$A$1:$BQ$224,_xlfn.XMATCH(AW$1,'UN Treasury'!$A$1:$BQ$1,-1,1),FALSE)</f>
        <v>0.38500000000000001</v>
      </c>
      <c r="AX100">
        <f>VLOOKUP($A100,'UN Treasury'!$A$1:$BQ$224,_xlfn.XMATCH(AX$1,'UN Treasury'!$A$1:$BQ$1,-1,1),FALSE)</f>
        <v>0.38400000000000001</v>
      </c>
      <c r="AY100">
        <f>VLOOKUP($A100,'UN Treasury'!$A$1:$BQ$224,_xlfn.XMATCH(AY$1,'UN Treasury'!$A$1:$BQ$1,-1,1),FALSE)</f>
        <v>0.38500000000000001</v>
      </c>
      <c r="AZ100">
        <f>VLOOKUP($A100,'UN Treasury'!$A$1:$BQ$224,_xlfn.XMATCH(AZ$1,'UN Treasury'!$A$1:$BQ$1,-1,1),FALSE)</f>
        <v>0.38400000000000001</v>
      </c>
      <c r="BA100">
        <f>VLOOKUP($A100,'UN Treasury'!$A$1:$BQ$224,_xlfn.XMATCH(BA$1,'UN Treasury'!$A$1:$BQ$1,-1,1),FALSE)</f>
        <v>0.38400000000000001</v>
      </c>
      <c r="BB100">
        <f>VLOOKUP($A100,'UN Treasury'!$A$1:$BQ$224,_xlfn.XMATCH(BB$1,'UN Treasury'!$A$1:$BQ$1,-1,1),FALSE)</f>
        <v>0.38500000000000001</v>
      </c>
      <c r="BC100">
        <f>VLOOKUP($A100,'UN Treasury'!$A$1:$BQ$224,_xlfn.XMATCH(BC$1,'UN Treasury'!$A$1:$BQ$1,-1,1),FALSE)</f>
        <v>0.38500000000000001</v>
      </c>
      <c r="BD100">
        <f>VLOOKUP($A100,'UN Treasury'!$A$1:$BQ$224,_xlfn.XMATCH(BD$1,'UN Treasury'!$A$1:$BQ$1,-1,1),FALSE)</f>
        <v>0.38500000000000001</v>
      </c>
      <c r="BE100">
        <f>VLOOKUP($A100,'UN Treasury'!$A$1:$BQ$224,_xlfn.XMATCH(BE$1,'UN Treasury'!$A$1:$BQ$1,-1,1),FALSE)</f>
        <v>0.38500000000000001</v>
      </c>
      <c r="BF100">
        <f>VLOOKUP($A100,'UN Treasury'!$A$1:$BQ$224,_xlfn.XMATCH(BF$1,'UN Treasury'!$A$1:$BQ$1,-1,1),FALSE)</f>
        <v>0.38500000000000001</v>
      </c>
      <c r="BG100">
        <f>VLOOKUP($A100,'UN Treasury'!$A$1:$BQ$224,_xlfn.XMATCH(BG$1,'UN Treasury'!$A$1:$BQ$1,-1,1),FALSE)</f>
        <v>0.38500000000000001</v>
      </c>
      <c r="BH100">
        <f>VLOOKUP($A100,'UN Treasury'!$A$1:$BQ$224,_xlfn.XMATCH(BH$1,'UN Treasury'!$A$1:$BQ$1,-1,1),FALSE)</f>
        <v>0.38400000000000001</v>
      </c>
      <c r="BI100">
        <f>VLOOKUP($A100,'UN Treasury'!$A$1:$BQ$224,_xlfn.XMATCH(BI$1,'UN Treasury'!$A$1:$BQ$1,-1,1),FALSE)</f>
        <v>0.38400000000000001</v>
      </c>
      <c r="BJ100">
        <f>VLOOKUP($A100,'UN Treasury'!$A$1:$BQ$224,_xlfn.XMATCH(BJ$1,'UN Treasury'!$A$1:$BQ$1,-1,1),FALSE)</f>
        <v>0.38500000000000001</v>
      </c>
      <c r="BK100">
        <f>VLOOKUP($A100,'UN Treasury'!$A$1:$BQ$224,_xlfn.XMATCH(BK$1,'UN Treasury'!$A$1:$BQ$1,-1,1),FALSE)</f>
        <v>0.38500000000000001</v>
      </c>
      <c r="BL100">
        <f>VLOOKUP($A100,'UN Treasury'!$A$1:$BQ$224,_xlfn.XMATCH(BL$1,'UN Treasury'!$A$1:$BQ$1,-1,1),FALSE)</f>
        <v>0.38500000000000001</v>
      </c>
      <c r="BM100">
        <f>VLOOKUP($A100,'UN Treasury'!$A$1:$BQ$224,_xlfn.XMATCH(BM$1,'UN Treasury'!$A$1:$BQ$1,-1,1),FALSE)</f>
        <v>0.38400000000000001</v>
      </c>
      <c r="BN100">
        <f>VLOOKUP($A100,'UN Treasury'!$A$1:$BQ$224,_xlfn.XMATCH(BN$1,'UN Treasury'!$A$1:$BQ$1,-1,1),FALSE)</f>
        <v>0.38500000000000001</v>
      </c>
      <c r="BO100">
        <f>VLOOKUP($A100,'UN Treasury'!$A$1:$BQ$224,_xlfn.XMATCH(BO$1,'UN Treasury'!$A$1:$BQ$1,-1,1),FALSE)</f>
        <v>0.38500000000000001</v>
      </c>
      <c r="BP100">
        <f>VLOOKUP($A100,'UN Treasury'!$A$1:$BQ$224,_xlfn.XMATCH(BP$1,'UN Treasury'!$A$1:$BQ$1,-1,1),FALSE)</f>
        <v>0.38400000000000001</v>
      </c>
      <c r="BQ100">
        <f>VLOOKUP($A100,'UN Treasury'!$A$1:$BQ$224,_xlfn.XMATCH(BQ$1,'UN Treasury'!$A$1:$BQ$1,-1,1),FALSE)</f>
        <v>0.38400000000000001</v>
      </c>
    </row>
    <row r="101" spans="1:69" x14ac:dyDescent="0.25">
      <c r="A101" t="s">
        <v>222</v>
      </c>
      <c r="B101">
        <f>VLOOKUP($A101,'UN Treasury'!$A$1:$BQ$224,_xlfn.XMATCH(B$1,'UN Treasury'!$A$1:$BQ$1,-1,1),FALSE)</f>
        <v>1</v>
      </c>
      <c r="C101">
        <f>VLOOKUP($A101,'UN Treasury'!$A$1:$BQ$224,_xlfn.XMATCH(C$1,'UN Treasury'!$A$1:$BQ$1,-1,1),FALSE)</f>
        <v>1</v>
      </c>
      <c r="D101">
        <f>VLOOKUP($A101,'UN Treasury'!$A$1:$BQ$224,_xlfn.XMATCH(D$1,'UN Treasury'!$A$1:$BQ$1,-1,1),FALSE)</f>
        <v>1</v>
      </c>
      <c r="E101">
        <f>VLOOKUP($A101,'UN Treasury'!$A$1:$BQ$224,_xlfn.XMATCH(E$1,'UN Treasury'!$A$1:$BQ$1,-1,1),FALSE)</f>
        <v>1</v>
      </c>
      <c r="F101">
        <f>VLOOKUP($A101,'UN Treasury'!$A$1:$BQ$224,_xlfn.XMATCH(F$1,'UN Treasury'!$A$1:$BQ$1,-1,1),FALSE)</f>
        <v>1</v>
      </c>
      <c r="G101">
        <f>VLOOKUP($A101,'UN Treasury'!$A$1:$BQ$224,_xlfn.XMATCH(G$1,'UN Treasury'!$A$1:$BQ$1,-1,1),FALSE)</f>
        <v>1</v>
      </c>
      <c r="H101">
        <f>VLOOKUP($A101,'UN Treasury'!$A$1:$BQ$224,_xlfn.XMATCH(H$1,'UN Treasury'!$A$1:$BQ$1,-1,1),FALSE)</f>
        <v>1</v>
      </c>
      <c r="I101">
        <f>VLOOKUP($A101,'UN Treasury'!$A$1:$BQ$224,_xlfn.XMATCH(I$1,'UN Treasury'!$A$1:$BQ$1,-1,1),FALSE)</f>
        <v>1</v>
      </c>
      <c r="J101">
        <f>VLOOKUP($A101,'UN Treasury'!$A$1:$BQ$224,_xlfn.XMATCH(J$1,'UN Treasury'!$A$1:$BQ$1,-1,1),FALSE)</f>
        <v>1</v>
      </c>
      <c r="K101">
        <f>VLOOKUP($A101,'UN Treasury'!$A$1:$BQ$224,_xlfn.XMATCH(K$1,'UN Treasury'!$A$1:$BQ$1,-1,1),FALSE)</f>
        <v>1</v>
      </c>
      <c r="L101">
        <f>VLOOKUP($A101,'UN Treasury'!$A$1:$BQ$224,_xlfn.XMATCH(L$1,'UN Treasury'!$A$1:$BQ$1,-1,1),FALSE)</f>
        <v>1</v>
      </c>
      <c r="M101">
        <f>VLOOKUP($A101,'UN Treasury'!$A$1:$BQ$224,_xlfn.XMATCH(M$1,'UN Treasury'!$A$1:$BQ$1,-1,1),FALSE)</f>
        <v>1</v>
      </c>
      <c r="N101">
        <f>VLOOKUP($A101,'UN Treasury'!$A$1:$BQ$224,_xlfn.XMATCH(N$1,'UN Treasury'!$A$1:$BQ$1,-1,1),FALSE)</f>
        <v>1</v>
      </c>
      <c r="O101">
        <f>VLOOKUP($A101,'UN Treasury'!$A$1:$BQ$224,_xlfn.XMATCH(O$1,'UN Treasury'!$A$1:$BQ$1,-1,1),FALSE)</f>
        <v>1</v>
      </c>
      <c r="P101">
        <f>VLOOKUP($A101,'UN Treasury'!$A$1:$BQ$224,_xlfn.XMATCH(P$1,'UN Treasury'!$A$1:$BQ$1,-1,1),FALSE)</f>
        <v>1</v>
      </c>
      <c r="Q101">
        <f>VLOOKUP($A101,'UN Treasury'!$A$1:$BQ$224,_xlfn.XMATCH(Q$1,'UN Treasury'!$A$1:$BQ$1,-1,1),FALSE)</f>
        <v>1</v>
      </c>
      <c r="R101">
        <f>VLOOKUP($A101,'UN Treasury'!$A$1:$BQ$224,_xlfn.XMATCH(R$1,'UN Treasury'!$A$1:$BQ$1,-1,1),FALSE)</f>
        <v>1</v>
      </c>
      <c r="S101">
        <f>VLOOKUP($A101,'UN Treasury'!$A$1:$BQ$224,_xlfn.XMATCH(S$1,'UN Treasury'!$A$1:$BQ$1,-1,1),FALSE)</f>
        <v>1</v>
      </c>
      <c r="T101">
        <f>VLOOKUP($A101,'UN Treasury'!$A$1:$BQ$224,_xlfn.XMATCH(T$1,'UN Treasury'!$A$1:$BQ$1,-1,1),FALSE)</f>
        <v>1</v>
      </c>
      <c r="U101">
        <f>VLOOKUP($A101,'UN Treasury'!$A$1:$BQ$224,_xlfn.XMATCH(U$1,'UN Treasury'!$A$1:$BQ$1,-1,1),FALSE)</f>
        <v>1</v>
      </c>
      <c r="V101">
        <f>VLOOKUP($A101,'UN Treasury'!$A$1:$BQ$224,_xlfn.XMATCH(V$1,'UN Treasury'!$A$1:$BQ$1,-1,1),FALSE)</f>
        <v>1</v>
      </c>
      <c r="W101">
        <f>VLOOKUP($A101,'UN Treasury'!$A$1:$BQ$224,_xlfn.XMATCH(W$1,'UN Treasury'!$A$1:$BQ$1,-1,1),FALSE)</f>
        <v>1</v>
      </c>
      <c r="X101">
        <f>VLOOKUP($A101,'UN Treasury'!$A$1:$BQ$224,_xlfn.XMATCH(X$1,'UN Treasury'!$A$1:$BQ$1,-1,1),FALSE)</f>
        <v>1</v>
      </c>
      <c r="Y101">
        <f>VLOOKUP($A101,'UN Treasury'!$A$1:$BQ$224,_xlfn.XMATCH(Y$1,'UN Treasury'!$A$1:$BQ$1,-1,1),FALSE)</f>
        <v>1</v>
      </c>
      <c r="Z101">
        <f>VLOOKUP($A101,'UN Treasury'!$A$1:$BQ$224,_xlfn.XMATCH(Z$1,'UN Treasury'!$A$1:$BQ$1,-1,1),FALSE)</f>
        <v>1</v>
      </c>
      <c r="AA101">
        <f>VLOOKUP($A101,'UN Treasury'!$A$1:$BQ$224,_xlfn.XMATCH(AA$1,'UN Treasury'!$A$1:$BQ$1,-1,1),FALSE)</f>
        <v>1</v>
      </c>
      <c r="AB101">
        <f>VLOOKUP($A101,'UN Treasury'!$A$1:$BQ$224,_xlfn.XMATCH(AB$1,'UN Treasury'!$A$1:$BQ$1,-1,1),FALSE)</f>
        <v>1</v>
      </c>
      <c r="AC101">
        <f>VLOOKUP($A101,'UN Treasury'!$A$1:$BQ$224,_xlfn.XMATCH(AC$1,'UN Treasury'!$A$1:$BQ$1,-1,1),FALSE)</f>
        <v>1</v>
      </c>
      <c r="AD101">
        <f>VLOOKUP($A101,'UN Treasury'!$A$1:$BQ$224,_xlfn.XMATCH(AD$1,'UN Treasury'!$A$1:$BQ$1,-1,1),FALSE)</f>
        <v>1</v>
      </c>
      <c r="AE101">
        <f>VLOOKUP($A101,'UN Treasury'!$A$1:$BQ$224,_xlfn.XMATCH(AE$1,'UN Treasury'!$A$1:$BQ$1,-1,1),FALSE)</f>
        <v>1</v>
      </c>
      <c r="AF101">
        <f>VLOOKUP($A101,'UN Treasury'!$A$1:$BQ$224,_xlfn.XMATCH(AF$1,'UN Treasury'!$A$1:$BQ$1,-1,1),FALSE)</f>
        <v>1</v>
      </c>
      <c r="AG101">
        <f>VLOOKUP($A101,'UN Treasury'!$A$1:$BQ$224,_xlfn.XMATCH(AG$1,'UN Treasury'!$A$1:$BQ$1,-1,1),FALSE)</f>
        <v>1</v>
      </c>
      <c r="AH101">
        <f>VLOOKUP($A101,'UN Treasury'!$A$1:$BQ$224,_xlfn.XMATCH(AH$1,'UN Treasury'!$A$1:$BQ$1,-1,1),FALSE)</f>
        <v>1</v>
      </c>
      <c r="AI101">
        <f>VLOOKUP($A101,'UN Treasury'!$A$1:$BQ$224,_xlfn.XMATCH(AI$1,'UN Treasury'!$A$1:$BQ$1,-1,1),FALSE)</f>
        <v>1</v>
      </c>
      <c r="AJ101">
        <f>VLOOKUP($A101,'UN Treasury'!$A$1:$BQ$224,_xlfn.XMATCH(AJ$1,'UN Treasury'!$A$1:$BQ$1,-1,1),FALSE)</f>
        <v>1</v>
      </c>
      <c r="AK101">
        <f>VLOOKUP($A101,'UN Treasury'!$A$1:$BQ$224,_xlfn.XMATCH(AK$1,'UN Treasury'!$A$1:$BQ$1,-1,1),FALSE)</f>
        <v>1</v>
      </c>
      <c r="AL101">
        <f>VLOOKUP($A101,'UN Treasury'!$A$1:$BQ$224,_xlfn.XMATCH(AL$1,'UN Treasury'!$A$1:$BQ$1,-1,1),FALSE)</f>
        <v>1</v>
      </c>
      <c r="AM101">
        <f>VLOOKUP($A101,'UN Treasury'!$A$1:$BQ$224,_xlfn.XMATCH(AM$1,'UN Treasury'!$A$1:$BQ$1,-1,1),FALSE)</f>
        <v>1</v>
      </c>
      <c r="AN101">
        <f>VLOOKUP($A101,'UN Treasury'!$A$1:$BQ$224,_xlfn.XMATCH(AN$1,'UN Treasury'!$A$1:$BQ$1,-1,1),FALSE)</f>
        <v>1</v>
      </c>
      <c r="AO101">
        <f>VLOOKUP($A101,'UN Treasury'!$A$1:$BQ$224,_xlfn.XMATCH(AO$1,'UN Treasury'!$A$1:$BQ$1,-1,1),FALSE)</f>
        <v>1</v>
      </c>
      <c r="AP101">
        <f>VLOOKUP($A101,'UN Treasury'!$A$1:$BQ$224,_xlfn.XMATCH(AP$1,'UN Treasury'!$A$1:$BQ$1,-1,1),FALSE)</f>
        <v>1</v>
      </c>
      <c r="AQ101">
        <f>VLOOKUP($A101,'UN Treasury'!$A$1:$BQ$224,_xlfn.XMATCH(AQ$1,'UN Treasury'!$A$1:$BQ$1,-1,1),FALSE)</f>
        <v>1</v>
      </c>
      <c r="AR101">
        <f>VLOOKUP($A101,'UN Treasury'!$A$1:$BQ$224,_xlfn.XMATCH(AR$1,'UN Treasury'!$A$1:$BQ$1,-1,1),FALSE)</f>
        <v>1</v>
      </c>
      <c r="AS101">
        <f>VLOOKUP($A101,'UN Treasury'!$A$1:$BQ$224,_xlfn.XMATCH(AS$1,'UN Treasury'!$A$1:$BQ$1,-1,1),FALSE)</f>
        <v>1</v>
      </c>
      <c r="AT101">
        <f>VLOOKUP($A101,'UN Treasury'!$A$1:$BQ$224,_xlfn.XMATCH(AT$1,'UN Treasury'!$A$1:$BQ$1,-1,1),FALSE)</f>
        <v>1</v>
      </c>
      <c r="AU101">
        <f>VLOOKUP($A101,'UN Treasury'!$A$1:$BQ$224,_xlfn.XMATCH(AU$1,'UN Treasury'!$A$1:$BQ$1,-1,1),FALSE)</f>
        <v>1</v>
      </c>
      <c r="AV101">
        <f>VLOOKUP($A101,'UN Treasury'!$A$1:$BQ$224,_xlfn.XMATCH(AV$1,'UN Treasury'!$A$1:$BQ$1,-1,1),FALSE)</f>
        <v>1</v>
      </c>
      <c r="AW101">
        <f>VLOOKUP($A101,'UN Treasury'!$A$1:$BQ$224,_xlfn.XMATCH(AW$1,'UN Treasury'!$A$1:$BQ$1,-1,1),FALSE)</f>
        <v>1</v>
      </c>
      <c r="AX101">
        <f>VLOOKUP($A101,'UN Treasury'!$A$1:$BQ$224,_xlfn.XMATCH(AX$1,'UN Treasury'!$A$1:$BQ$1,-1,1),FALSE)</f>
        <v>1</v>
      </c>
      <c r="AY101">
        <f>VLOOKUP($A101,'UN Treasury'!$A$1:$BQ$224,_xlfn.XMATCH(AY$1,'UN Treasury'!$A$1:$BQ$1,-1,1),FALSE)</f>
        <v>1</v>
      </c>
      <c r="AZ101">
        <f>VLOOKUP($A101,'UN Treasury'!$A$1:$BQ$224,_xlfn.XMATCH(AZ$1,'UN Treasury'!$A$1:$BQ$1,-1,1),FALSE)</f>
        <v>1</v>
      </c>
      <c r="BA101">
        <f>VLOOKUP($A101,'UN Treasury'!$A$1:$BQ$224,_xlfn.XMATCH(BA$1,'UN Treasury'!$A$1:$BQ$1,-1,1),FALSE)</f>
        <v>1</v>
      </c>
      <c r="BB101">
        <f>VLOOKUP($A101,'UN Treasury'!$A$1:$BQ$224,_xlfn.XMATCH(BB$1,'UN Treasury'!$A$1:$BQ$1,-1,1),FALSE)</f>
        <v>1</v>
      </c>
      <c r="BC101">
        <f>VLOOKUP($A101,'UN Treasury'!$A$1:$BQ$224,_xlfn.XMATCH(BC$1,'UN Treasury'!$A$1:$BQ$1,-1,1),FALSE)</f>
        <v>1</v>
      </c>
      <c r="BD101">
        <f>VLOOKUP($A101,'UN Treasury'!$A$1:$BQ$224,_xlfn.XMATCH(BD$1,'UN Treasury'!$A$1:$BQ$1,-1,1),FALSE)</f>
        <v>1</v>
      </c>
      <c r="BE101">
        <f>VLOOKUP($A101,'UN Treasury'!$A$1:$BQ$224,_xlfn.XMATCH(BE$1,'UN Treasury'!$A$1:$BQ$1,-1,1),FALSE)</f>
        <v>1</v>
      </c>
      <c r="BF101">
        <f>VLOOKUP($A101,'UN Treasury'!$A$1:$BQ$224,_xlfn.XMATCH(BF$1,'UN Treasury'!$A$1:$BQ$1,-1,1),FALSE)</f>
        <v>1</v>
      </c>
      <c r="BG101">
        <f>VLOOKUP($A101,'UN Treasury'!$A$1:$BQ$224,_xlfn.XMATCH(BG$1,'UN Treasury'!$A$1:$BQ$1,-1,1),FALSE)</f>
        <v>1</v>
      </c>
      <c r="BH101">
        <f>VLOOKUP($A101,'UN Treasury'!$A$1:$BQ$224,_xlfn.XMATCH(BH$1,'UN Treasury'!$A$1:$BQ$1,-1,1),FALSE)</f>
        <v>1</v>
      </c>
      <c r="BI101">
        <f>VLOOKUP($A101,'UN Treasury'!$A$1:$BQ$224,_xlfn.XMATCH(BI$1,'UN Treasury'!$A$1:$BQ$1,-1,1),FALSE)</f>
        <v>1</v>
      </c>
      <c r="BJ101">
        <f>VLOOKUP($A101,'UN Treasury'!$A$1:$BQ$224,_xlfn.XMATCH(BJ$1,'UN Treasury'!$A$1:$BQ$1,-1,1),FALSE)</f>
        <v>1</v>
      </c>
      <c r="BK101">
        <f>VLOOKUP($A101,'UN Treasury'!$A$1:$BQ$224,_xlfn.XMATCH(BK$1,'UN Treasury'!$A$1:$BQ$1,-1,1),FALSE)</f>
        <v>1</v>
      </c>
      <c r="BL101">
        <f>VLOOKUP($A101,'UN Treasury'!$A$1:$BQ$224,_xlfn.XMATCH(BL$1,'UN Treasury'!$A$1:$BQ$1,-1,1),FALSE)</f>
        <v>1</v>
      </c>
      <c r="BM101">
        <f>VLOOKUP($A101,'UN Treasury'!$A$1:$BQ$224,_xlfn.XMATCH(BM$1,'UN Treasury'!$A$1:$BQ$1,-1,1),FALSE)</f>
        <v>1</v>
      </c>
      <c r="BN101">
        <f>VLOOKUP($A101,'UN Treasury'!$A$1:$BQ$224,_xlfn.XMATCH(BN$1,'UN Treasury'!$A$1:$BQ$1,-1,1),FALSE)</f>
        <v>1</v>
      </c>
      <c r="BO101">
        <f>VLOOKUP($A101,'UN Treasury'!$A$1:$BQ$224,_xlfn.XMATCH(BO$1,'UN Treasury'!$A$1:$BQ$1,-1,1),FALSE)</f>
        <v>1</v>
      </c>
      <c r="BP101">
        <f>VLOOKUP($A101,'UN Treasury'!$A$1:$BQ$224,_xlfn.XMATCH(BP$1,'UN Treasury'!$A$1:$BQ$1,-1,1),FALSE)</f>
        <v>1</v>
      </c>
      <c r="BQ101">
        <f>VLOOKUP($A101,'UN Treasury'!$A$1:$BQ$224,_xlfn.XMATCH(BQ$1,'UN Treasury'!$A$1:$BQ$1,-1,1),FALSE)</f>
        <v>1</v>
      </c>
    </row>
    <row r="102" spans="1:69" x14ac:dyDescent="0.25">
      <c r="A102" t="s">
        <v>224</v>
      </c>
      <c r="B102">
        <f>VLOOKUP($A102,'UN Treasury'!$A$1:$BQ$224,_xlfn.XMATCH(B$1,'UN Treasury'!$A$1:$BQ$1,-1,1),FALSE)</f>
        <v>3.3620000000000001</v>
      </c>
      <c r="C102">
        <f>VLOOKUP($A102,'UN Treasury'!$A$1:$BQ$224,_xlfn.XMATCH(C$1,'UN Treasury'!$A$1:$BQ$1,-1,1),FALSE)</f>
        <v>3.3929999999999998</v>
      </c>
      <c r="D102">
        <f>VLOOKUP($A102,'UN Treasury'!$A$1:$BQ$224,_xlfn.XMATCH(D$1,'UN Treasury'!$A$1:$BQ$1,-1,1),FALSE)</f>
        <v>3.407</v>
      </c>
      <c r="E102">
        <f>VLOOKUP($A102,'UN Treasury'!$A$1:$BQ$224,_xlfn.XMATCH(E$1,'UN Treasury'!$A$1:$BQ$1,-1,1),FALSE)</f>
        <v>3.431</v>
      </c>
      <c r="F102">
        <f>VLOOKUP($A102,'UN Treasury'!$A$1:$BQ$224,_xlfn.XMATCH(F$1,'UN Treasury'!$A$1:$BQ$1,-1,1),FALSE)</f>
        <v>3.363</v>
      </c>
      <c r="G102">
        <f>VLOOKUP($A102,'UN Treasury'!$A$1:$BQ$224,_xlfn.XMATCH(G$1,'UN Treasury'!$A$1:$BQ$1,-1,1),FALSE)</f>
        <v>3.43</v>
      </c>
      <c r="H102">
        <f>VLOOKUP($A102,'UN Treasury'!$A$1:$BQ$224,_xlfn.XMATCH(H$1,'UN Treasury'!$A$1:$BQ$1,-1,1),FALSE)</f>
        <v>3.3519999999999999</v>
      </c>
      <c r="I102">
        <f>VLOOKUP($A102,'UN Treasury'!$A$1:$BQ$224,_xlfn.XMATCH(I$1,'UN Treasury'!$A$1:$BQ$1,-1,1),FALSE)</f>
        <v>3.3570000000000002</v>
      </c>
      <c r="J102">
        <f>VLOOKUP($A102,'UN Treasury'!$A$1:$BQ$224,_xlfn.XMATCH(J$1,'UN Treasury'!$A$1:$BQ$1,-1,1),FALSE)</f>
        <v>3.3639999999999999</v>
      </c>
      <c r="K102">
        <f>VLOOKUP($A102,'UN Treasury'!$A$1:$BQ$224,_xlfn.XMATCH(K$1,'UN Treasury'!$A$1:$BQ$1,-1,1),FALSE)</f>
        <v>3.367</v>
      </c>
      <c r="L102">
        <f>VLOOKUP($A102,'UN Treasury'!$A$1:$BQ$224,_xlfn.XMATCH(L$1,'UN Treasury'!$A$1:$BQ$1,-1,1),FALSE)</f>
        <v>3.4220000000000002</v>
      </c>
      <c r="M102">
        <f>VLOOKUP($A102,'UN Treasury'!$A$1:$BQ$224,_xlfn.XMATCH(M$1,'UN Treasury'!$A$1:$BQ$1,-1,1),FALSE)</f>
        <v>3.48</v>
      </c>
      <c r="N102">
        <f>VLOOKUP($A102,'UN Treasury'!$A$1:$BQ$224,_xlfn.XMATCH(N$1,'UN Treasury'!$A$1:$BQ$1,-1,1),FALSE)</f>
        <v>3.5270000000000001</v>
      </c>
      <c r="O102">
        <f>VLOOKUP($A102,'UN Treasury'!$A$1:$BQ$224,_xlfn.XMATCH(O$1,'UN Treasury'!$A$1:$BQ$1,-1,1),FALSE)</f>
        <v>3.5449999999999999</v>
      </c>
      <c r="P102">
        <f>VLOOKUP($A102,'UN Treasury'!$A$1:$BQ$224,_xlfn.XMATCH(P$1,'UN Treasury'!$A$1:$BQ$1,-1,1),FALSE)</f>
        <v>3.6339999999999999</v>
      </c>
      <c r="Q102">
        <f>VLOOKUP($A102,'UN Treasury'!$A$1:$BQ$224,_xlfn.XMATCH(Q$1,'UN Treasury'!$A$1:$BQ$1,-1,1),FALSE)</f>
        <v>3.6579999999999999</v>
      </c>
      <c r="R102">
        <f>VLOOKUP($A102,'UN Treasury'!$A$1:$BQ$224,_xlfn.XMATCH(R$1,'UN Treasury'!$A$1:$BQ$1,-1,1),FALSE)</f>
        <v>3.7320000000000002</v>
      </c>
      <c r="S102">
        <f>VLOOKUP($A102,'UN Treasury'!$A$1:$BQ$224,_xlfn.XMATCH(S$1,'UN Treasury'!$A$1:$BQ$1,-1,1),FALSE)</f>
        <v>3.661</v>
      </c>
      <c r="T102">
        <f>VLOOKUP($A102,'UN Treasury'!$A$1:$BQ$224,_xlfn.XMATCH(T$1,'UN Treasury'!$A$1:$BQ$1,-1,1),FALSE)</f>
        <v>3.71</v>
      </c>
      <c r="U102">
        <f>VLOOKUP($A102,'UN Treasury'!$A$1:$BQ$224,_xlfn.XMATCH(U$1,'UN Treasury'!$A$1:$BQ$1,-1,1),FALSE)</f>
        <v>3.7770000000000001</v>
      </c>
      <c r="V102">
        <f>VLOOKUP($A102,'UN Treasury'!$A$1:$BQ$224,_xlfn.XMATCH(V$1,'UN Treasury'!$A$1:$BQ$1,-1,1),FALSE)</f>
        <v>3.718</v>
      </c>
      <c r="W102">
        <f>VLOOKUP($A102,'UN Treasury'!$A$1:$BQ$224,_xlfn.XMATCH(W$1,'UN Treasury'!$A$1:$BQ$1,-1,1),FALSE)</f>
        <v>3.794</v>
      </c>
      <c r="X102">
        <f>VLOOKUP($A102,'UN Treasury'!$A$1:$BQ$224,_xlfn.XMATCH(X$1,'UN Treasury'!$A$1:$BQ$1,-1,1),FALSE)</f>
        <v>3.7690000000000001</v>
      </c>
      <c r="Y102">
        <f>VLOOKUP($A102,'UN Treasury'!$A$1:$BQ$224,_xlfn.XMATCH(Y$1,'UN Treasury'!$A$1:$BQ$1,-1,1),FALSE)</f>
        <v>3.8039999999999998</v>
      </c>
      <c r="Z102">
        <f>VLOOKUP($A102,'UN Treasury'!$A$1:$BQ$224,_xlfn.XMATCH(Z$1,'UN Treasury'!$A$1:$BQ$1,-1,1),FALSE)</f>
        <v>3.7440000000000002</v>
      </c>
      <c r="AA102">
        <f>VLOOKUP($A102,'UN Treasury'!$A$1:$BQ$224,_xlfn.XMATCH(AA$1,'UN Treasury'!$A$1:$BQ$1,-1,1),FALSE)</f>
        <v>3.7719999999999998</v>
      </c>
      <c r="AB102">
        <f>VLOOKUP($A102,'UN Treasury'!$A$1:$BQ$224,_xlfn.XMATCH(AB$1,'UN Treasury'!$A$1:$BQ$1,-1,1),FALSE)</f>
        <v>3.77</v>
      </c>
      <c r="AC102">
        <f>VLOOKUP($A102,'UN Treasury'!$A$1:$BQ$224,_xlfn.XMATCH(AC$1,'UN Treasury'!$A$1:$BQ$1,-1,1),FALSE)</f>
        <v>3.714</v>
      </c>
      <c r="AD102">
        <f>VLOOKUP($A102,'UN Treasury'!$A$1:$BQ$224,_xlfn.XMATCH(AD$1,'UN Treasury'!$A$1:$BQ$1,-1,1),FALSE)</f>
        <v>3.714</v>
      </c>
      <c r="AE102">
        <f>VLOOKUP($A102,'UN Treasury'!$A$1:$BQ$224,_xlfn.XMATCH(AE$1,'UN Treasury'!$A$1:$BQ$1,-1,1),FALSE)</f>
        <v>3.68</v>
      </c>
      <c r="AF102">
        <f>VLOOKUP($A102,'UN Treasury'!$A$1:$BQ$224,_xlfn.XMATCH(AF$1,'UN Treasury'!$A$1:$BQ$1,-1,1),FALSE)</f>
        <v>3.879</v>
      </c>
      <c r="AG102">
        <f>VLOOKUP($A102,'UN Treasury'!$A$1:$BQ$224,_xlfn.XMATCH(AG$1,'UN Treasury'!$A$1:$BQ$1,-1,1),FALSE)</f>
        <v>3.6930000000000001</v>
      </c>
      <c r="AH102">
        <f>VLOOKUP($A102,'UN Treasury'!$A$1:$BQ$224,_xlfn.XMATCH(AH$1,'UN Treasury'!$A$1:$BQ$1,-1,1),FALSE)</f>
        <v>3.7839999999999998</v>
      </c>
      <c r="AI102">
        <f>VLOOKUP($A102,'UN Treasury'!$A$1:$BQ$224,_xlfn.XMATCH(AI$1,'UN Treasury'!$A$1:$BQ$1,-1,1),FALSE)</f>
        <v>3.8140000000000001</v>
      </c>
      <c r="AJ102">
        <f>VLOOKUP($A102,'UN Treasury'!$A$1:$BQ$224,_xlfn.XMATCH(AJ$1,'UN Treasury'!$A$1:$BQ$1,-1,1),FALSE)</f>
        <v>3.82</v>
      </c>
      <c r="AK102">
        <f>VLOOKUP($A102,'UN Treasury'!$A$1:$BQ$224,_xlfn.XMATCH(AK$1,'UN Treasury'!$A$1:$BQ$1,-1,1),FALSE)</f>
        <v>3.7080000000000002</v>
      </c>
      <c r="AL102">
        <f>VLOOKUP($A102,'UN Treasury'!$A$1:$BQ$224,_xlfn.XMATCH(AL$1,'UN Treasury'!$A$1:$BQ$1,-1,1),FALSE)</f>
        <v>3.6619999999999999</v>
      </c>
      <c r="AM102">
        <f>VLOOKUP($A102,'UN Treasury'!$A$1:$BQ$224,_xlfn.XMATCH(AM$1,'UN Treasury'!$A$1:$BQ$1,-1,1),FALSE)</f>
        <v>3.605</v>
      </c>
      <c r="AN102">
        <f>VLOOKUP($A102,'UN Treasury'!$A$1:$BQ$224,_xlfn.XMATCH(AN$1,'UN Treasury'!$A$1:$BQ$1,-1,1),FALSE)</f>
        <v>3.6360000000000001</v>
      </c>
      <c r="AO102">
        <f>VLOOKUP($A102,'UN Treasury'!$A$1:$BQ$224,_xlfn.XMATCH(AO$1,'UN Treasury'!$A$1:$BQ$1,-1,1),FALSE)</f>
        <v>3.6760000000000002</v>
      </c>
      <c r="AP102">
        <f>VLOOKUP($A102,'UN Treasury'!$A$1:$BQ$224,_xlfn.XMATCH(AP$1,'UN Treasury'!$A$1:$BQ$1,-1,1),FALSE)</f>
        <v>3.78</v>
      </c>
      <c r="AQ102">
        <f>VLOOKUP($A102,'UN Treasury'!$A$1:$BQ$224,_xlfn.XMATCH(AQ$1,'UN Treasury'!$A$1:$BQ$1,-1,1),FALSE)</f>
        <v>3.8010000000000002</v>
      </c>
      <c r="AR102">
        <f>VLOOKUP($A102,'UN Treasury'!$A$1:$BQ$224,_xlfn.XMATCH(AR$1,'UN Treasury'!$A$1:$BQ$1,-1,1),FALSE)</f>
        <v>3.8490000000000002</v>
      </c>
      <c r="AS102">
        <f>VLOOKUP($A102,'UN Treasury'!$A$1:$BQ$224,_xlfn.XMATCH(AS$1,'UN Treasury'!$A$1:$BQ$1,-1,1),FALSE)</f>
        <v>3.7730000000000001</v>
      </c>
      <c r="AT102">
        <f>VLOOKUP($A102,'UN Treasury'!$A$1:$BQ$224,_xlfn.XMATCH(AT$1,'UN Treasury'!$A$1:$BQ$1,-1,1),FALSE)</f>
        <v>3.827</v>
      </c>
      <c r="AU102">
        <f>VLOOKUP($A102,'UN Treasury'!$A$1:$BQ$224,_xlfn.XMATCH(AU$1,'UN Treasury'!$A$1:$BQ$1,-1,1),FALSE)</f>
        <v>3.855</v>
      </c>
      <c r="AV102">
        <f>VLOOKUP($A102,'UN Treasury'!$A$1:$BQ$224,_xlfn.XMATCH(AV$1,'UN Treasury'!$A$1:$BQ$1,-1,1),FALSE)</f>
        <v>3.9780000000000002</v>
      </c>
      <c r="AW102">
        <f>VLOOKUP($A102,'UN Treasury'!$A$1:$BQ$224,_xlfn.XMATCH(AW$1,'UN Treasury'!$A$1:$BQ$1,-1,1),FALSE)</f>
        <v>3.871</v>
      </c>
      <c r="AX102">
        <f>VLOOKUP($A102,'UN Treasury'!$A$1:$BQ$224,_xlfn.XMATCH(AX$1,'UN Treasury'!$A$1:$BQ$1,-1,1),FALSE)</f>
        <v>3.8969999999999998</v>
      </c>
      <c r="AY102">
        <f>VLOOKUP($A102,'UN Treasury'!$A$1:$BQ$224,_xlfn.XMATCH(AY$1,'UN Treasury'!$A$1:$BQ$1,-1,1),FALSE)</f>
        <v>3.9390000000000001</v>
      </c>
      <c r="AZ102">
        <f>VLOOKUP($A102,'UN Treasury'!$A$1:$BQ$224,_xlfn.XMATCH(AZ$1,'UN Treasury'!$A$1:$BQ$1,-1,1),FALSE)</f>
        <v>3.7959999999999998</v>
      </c>
      <c r="BA102">
        <f>VLOOKUP($A102,'UN Treasury'!$A$1:$BQ$224,_xlfn.XMATCH(BA$1,'UN Treasury'!$A$1:$BQ$1,-1,1),FALSE)</f>
        <v>3.78</v>
      </c>
      <c r="BB102">
        <f>VLOOKUP($A102,'UN Treasury'!$A$1:$BQ$224,_xlfn.XMATCH(BB$1,'UN Treasury'!$A$1:$BQ$1,-1,1),FALSE)</f>
        <v>3.7120000000000002</v>
      </c>
      <c r="BC102">
        <f>VLOOKUP($A102,'UN Treasury'!$A$1:$BQ$224,_xlfn.XMATCH(BC$1,'UN Treasury'!$A$1:$BQ$1,-1,1),FALSE)</f>
        <v>3.6850000000000001</v>
      </c>
      <c r="BD102">
        <f>VLOOKUP($A102,'UN Treasury'!$A$1:$BQ$224,_xlfn.XMATCH(BD$1,'UN Treasury'!$A$1:$BQ$1,-1,1),FALSE)</f>
        <v>3.726</v>
      </c>
      <c r="BE102">
        <f>VLOOKUP($A102,'UN Treasury'!$A$1:$BQ$224,_xlfn.XMATCH(BE$1,'UN Treasury'!$A$1:$BQ$1,-1,1),FALSE)</f>
        <v>3.895</v>
      </c>
      <c r="BF102">
        <f>VLOOKUP($A102,'UN Treasury'!$A$1:$BQ$224,_xlfn.XMATCH(BF$1,'UN Treasury'!$A$1:$BQ$1,-1,1),FALSE)</f>
        <v>4.04</v>
      </c>
      <c r="BG102">
        <f>VLOOKUP($A102,'UN Treasury'!$A$1:$BQ$224,_xlfn.XMATCH(BG$1,'UN Treasury'!$A$1:$BQ$1,-1,1),FALSE)</f>
        <v>3.976</v>
      </c>
      <c r="BH102">
        <f>VLOOKUP($A102,'UN Treasury'!$A$1:$BQ$224,_xlfn.XMATCH(BH$1,'UN Treasury'!$A$1:$BQ$1,-1,1),FALSE)</f>
        <v>4.125</v>
      </c>
      <c r="BI102">
        <f>VLOOKUP($A102,'UN Treasury'!$A$1:$BQ$224,_xlfn.XMATCH(BI$1,'UN Treasury'!$A$1:$BQ$1,-1,1),FALSE)</f>
        <v>4.08</v>
      </c>
      <c r="BJ102">
        <f>VLOOKUP($A102,'UN Treasury'!$A$1:$BQ$224,_xlfn.XMATCH(BJ$1,'UN Treasury'!$A$1:$BQ$1,-1,1),FALSE)</f>
        <v>3.927</v>
      </c>
      <c r="BK102">
        <f>VLOOKUP($A102,'UN Treasury'!$A$1:$BQ$224,_xlfn.XMATCH(BK$1,'UN Treasury'!$A$1:$BQ$1,-1,1),FALSE)</f>
        <v>3.9670000000000001</v>
      </c>
      <c r="BL102">
        <f>VLOOKUP($A102,'UN Treasury'!$A$1:$BQ$224,_xlfn.XMATCH(BL$1,'UN Treasury'!$A$1:$BQ$1,-1,1),FALSE)</f>
        <v>3.847</v>
      </c>
      <c r="BM102">
        <f>VLOOKUP($A102,'UN Treasury'!$A$1:$BQ$224,_xlfn.XMATCH(BM$1,'UN Treasury'!$A$1:$BQ$1,-1,1),FALSE)</f>
        <v>3.7669999999999999</v>
      </c>
      <c r="BN102">
        <f>VLOOKUP($A102,'UN Treasury'!$A$1:$BQ$224,_xlfn.XMATCH(BN$1,'UN Treasury'!$A$1:$BQ$1,-1,1),FALSE)</f>
        <v>3.7530000000000001</v>
      </c>
      <c r="BO102">
        <f>VLOOKUP($A102,'UN Treasury'!$A$1:$BQ$224,_xlfn.XMATCH(BO$1,'UN Treasury'!$A$1:$BQ$1,-1,1),FALSE)</f>
        <v>3.6429999999999998</v>
      </c>
      <c r="BP102">
        <f>VLOOKUP($A102,'UN Treasury'!$A$1:$BQ$224,_xlfn.XMATCH(BP$1,'UN Treasury'!$A$1:$BQ$1,-1,1),FALSE)</f>
        <v>3.645</v>
      </c>
      <c r="BQ102">
        <f>VLOOKUP($A102,'UN Treasury'!$A$1:$BQ$224,_xlfn.XMATCH(BQ$1,'UN Treasury'!$A$1:$BQ$1,-1,1),FALSE)</f>
        <v>3.6160000000000001</v>
      </c>
    </row>
    <row r="103" spans="1:69" x14ac:dyDescent="0.25">
      <c r="A103" t="s">
        <v>226</v>
      </c>
      <c r="B103">
        <f>VLOOKUP($A103,'UN Treasury'!$A$1:$BQ$224,_xlfn.XMATCH(B$1,'UN Treasury'!$A$1:$BQ$1,-1,1),FALSE)</f>
        <v>4.3310000000000004</v>
      </c>
      <c r="C103">
        <f>VLOOKUP($A103,'UN Treasury'!$A$1:$BQ$224,_xlfn.XMATCH(C$1,'UN Treasury'!$A$1:$BQ$1,-1,1),FALSE)</f>
        <v>4.2939999999999996</v>
      </c>
      <c r="D103">
        <f>VLOOKUP($A103,'UN Treasury'!$A$1:$BQ$224,_xlfn.XMATCH(D$1,'UN Treasury'!$A$1:$BQ$1,-1,1),FALSE)</f>
        <v>4.25</v>
      </c>
      <c r="E103">
        <f>VLOOKUP($A103,'UN Treasury'!$A$1:$BQ$224,_xlfn.XMATCH(E$1,'UN Treasury'!$A$1:$BQ$1,-1,1),FALSE)</f>
        <v>4.2430000000000003</v>
      </c>
      <c r="F103">
        <f>VLOOKUP($A103,'UN Treasury'!$A$1:$BQ$224,_xlfn.XMATCH(F$1,'UN Treasury'!$A$1:$BQ$1,-1,1),FALSE)</f>
        <v>4.2050000000000001</v>
      </c>
      <c r="G103">
        <f>VLOOKUP($A103,'UN Treasury'!$A$1:$BQ$224,_xlfn.XMATCH(G$1,'UN Treasury'!$A$1:$BQ$1,-1,1),FALSE)</f>
        <v>4.1890000000000001</v>
      </c>
      <c r="H103">
        <f>VLOOKUP($A103,'UN Treasury'!$A$1:$BQ$224,_xlfn.XMATCH(H$1,'UN Treasury'!$A$1:$BQ$1,-1,1),FALSE)</f>
        <v>4.1820000000000004</v>
      </c>
      <c r="I103">
        <f>VLOOKUP($A103,'UN Treasury'!$A$1:$BQ$224,_xlfn.XMATCH(I$1,'UN Treasury'!$A$1:$BQ$1,-1,1),FALSE)</f>
        <v>4.165</v>
      </c>
      <c r="J103">
        <f>VLOOKUP($A103,'UN Treasury'!$A$1:$BQ$224,_xlfn.XMATCH(J$1,'UN Treasury'!$A$1:$BQ$1,-1,1),FALSE)</f>
        <v>4.1529999999999996</v>
      </c>
      <c r="K103">
        <f>VLOOKUP($A103,'UN Treasury'!$A$1:$BQ$224,_xlfn.XMATCH(K$1,'UN Treasury'!$A$1:$BQ$1,-1,1),FALSE)</f>
        <v>4.2119999999999997</v>
      </c>
      <c r="L103">
        <f>VLOOKUP($A103,'UN Treasury'!$A$1:$BQ$224,_xlfn.XMATCH(L$1,'UN Treasury'!$A$1:$BQ$1,-1,1),FALSE)</f>
        <v>4.1909999999999998</v>
      </c>
      <c r="M103">
        <f>VLOOKUP($A103,'UN Treasury'!$A$1:$BQ$224,_xlfn.XMATCH(M$1,'UN Treasury'!$A$1:$BQ$1,-1,1),FALSE)</f>
        <v>4.1719999999999997</v>
      </c>
      <c r="N103">
        <f>VLOOKUP($A103,'UN Treasury'!$A$1:$BQ$224,_xlfn.XMATCH(N$1,'UN Treasury'!$A$1:$BQ$1,-1,1),FALSE)</f>
        <v>4.1269999999999998</v>
      </c>
      <c r="O103">
        <f>VLOOKUP($A103,'UN Treasury'!$A$1:$BQ$224,_xlfn.XMATCH(O$1,'UN Treasury'!$A$1:$BQ$1,-1,1),FALSE)</f>
        <v>4.1280000000000001</v>
      </c>
      <c r="P103">
        <f>VLOOKUP($A103,'UN Treasury'!$A$1:$BQ$224,_xlfn.XMATCH(P$1,'UN Treasury'!$A$1:$BQ$1,-1,1),FALSE)</f>
        <v>4.1050000000000004</v>
      </c>
      <c r="Q103">
        <f>VLOOKUP($A103,'UN Treasury'!$A$1:$BQ$224,_xlfn.XMATCH(Q$1,'UN Treasury'!$A$1:$BQ$1,-1,1),FALSE)</f>
        <v>4.085</v>
      </c>
      <c r="R103">
        <f>VLOOKUP($A103,'UN Treasury'!$A$1:$BQ$224,_xlfn.XMATCH(R$1,'UN Treasury'!$A$1:$BQ$1,-1,1),FALSE)</f>
        <v>4.0629999999999997</v>
      </c>
      <c r="S103">
        <f>VLOOKUP($A103,'UN Treasury'!$A$1:$BQ$224,_xlfn.XMATCH(S$1,'UN Treasury'!$A$1:$BQ$1,-1,1),FALSE)</f>
        <v>4.0209999999999999</v>
      </c>
      <c r="T103">
        <f>VLOOKUP($A103,'UN Treasury'!$A$1:$BQ$224,_xlfn.XMATCH(T$1,'UN Treasury'!$A$1:$BQ$1,-1,1),FALSE)</f>
        <v>4.01</v>
      </c>
      <c r="U103">
        <f>VLOOKUP($A103,'UN Treasury'!$A$1:$BQ$224,_xlfn.XMATCH(U$1,'UN Treasury'!$A$1:$BQ$1,-1,1),FALSE)</f>
        <v>3.992</v>
      </c>
      <c r="V103">
        <f>VLOOKUP($A103,'UN Treasury'!$A$1:$BQ$224,_xlfn.XMATCH(V$1,'UN Treasury'!$A$1:$BQ$1,-1,1),FALSE)</f>
        <v>3.9790000000000001</v>
      </c>
      <c r="W103">
        <f>VLOOKUP($A103,'UN Treasury'!$A$1:$BQ$224,_xlfn.XMATCH(W$1,'UN Treasury'!$A$1:$BQ$1,-1,1),FALSE)</f>
        <v>3.9540000000000002</v>
      </c>
      <c r="X103">
        <f>VLOOKUP($A103,'UN Treasury'!$A$1:$BQ$224,_xlfn.XMATCH(X$1,'UN Treasury'!$A$1:$BQ$1,-1,1),FALSE)</f>
        <v>3.8879999999999999</v>
      </c>
      <c r="Y103">
        <f>VLOOKUP($A103,'UN Treasury'!$A$1:$BQ$224,_xlfn.XMATCH(Y$1,'UN Treasury'!$A$1:$BQ$1,-1,1),FALSE)</f>
        <v>3.8879999999999999</v>
      </c>
      <c r="Z103">
        <f>VLOOKUP($A103,'UN Treasury'!$A$1:$BQ$224,_xlfn.XMATCH(Z$1,'UN Treasury'!$A$1:$BQ$1,-1,1),FALSE)</f>
        <v>3.8540000000000001</v>
      </c>
      <c r="AA103">
        <f>VLOOKUP($A103,'UN Treasury'!$A$1:$BQ$224,_xlfn.XMATCH(AA$1,'UN Treasury'!$A$1:$BQ$1,-1,1),FALSE)</f>
        <v>3.8370000000000002</v>
      </c>
      <c r="AB103">
        <f>VLOOKUP($A103,'UN Treasury'!$A$1:$BQ$224,_xlfn.XMATCH(AB$1,'UN Treasury'!$A$1:$BQ$1,-1,1),FALSE)</f>
        <v>3.8370000000000002</v>
      </c>
      <c r="AC103">
        <f>VLOOKUP($A103,'UN Treasury'!$A$1:$BQ$224,_xlfn.XMATCH(AC$1,'UN Treasury'!$A$1:$BQ$1,-1,1),FALSE)</f>
        <v>3.8039999999999998</v>
      </c>
      <c r="AD103">
        <f>VLOOKUP($A103,'UN Treasury'!$A$1:$BQ$224,_xlfn.XMATCH(AD$1,'UN Treasury'!$A$1:$BQ$1,-1,1),FALSE)</f>
        <v>3.7789999999999999</v>
      </c>
      <c r="AE103">
        <f>VLOOKUP($A103,'UN Treasury'!$A$1:$BQ$224,_xlfn.XMATCH(AE$1,'UN Treasury'!$A$1:$BQ$1,-1,1),FALSE)</f>
        <v>3.7650000000000001</v>
      </c>
      <c r="AF103">
        <f>VLOOKUP($A103,'UN Treasury'!$A$1:$BQ$224,_xlfn.XMATCH(AF$1,'UN Treasury'!$A$1:$BQ$1,-1,1),FALSE)</f>
        <v>3.7269999999999999</v>
      </c>
      <c r="AG103">
        <f>VLOOKUP($A103,'UN Treasury'!$A$1:$BQ$224,_xlfn.XMATCH(AG$1,'UN Treasury'!$A$1:$BQ$1,-1,1),FALSE)</f>
        <v>3.7269999999999999</v>
      </c>
      <c r="AH103">
        <f>VLOOKUP($A103,'UN Treasury'!$A$1:$BQ$224,_xlfn.XMATCH(AH$1,'UN Treasury'!$A$1:$BQ$1,-1,1),FALSE)</f>
        <v>3.7240000000000002</v>
      </c>
      <c r="AI103">
        <f>VLOOKUP($A103,'UN Treasury'!$A$1:$BQ$224,_xlfn.XMATCH(AI$1,'UN Treasury'!$A$1:$BQ$1,-1,1),FALSE)</f>
        <v>3.7109999999999999</v>
      </c>
      <c r="AJ103">
        <f>VLOOKUP($A103,'UN Treasury'!$A$1:$BQ$224,_xlfn.XMATCH(AJ$1,'UN Treasury'!$A$1:$BQ$1,-1,1),FALSE)</f>
        <v>3.6629999999999998</v>
      </c>
      <c r="AK103">
        <f>VLOOKUP($A103,'UN Treasury'!$A$1:$BQ$224,_xlfn.XMATCH(AK$1,'UN Treasury'!$A$1:$BQ$1,-1,1),FALSE)</f>
        <v>3.61</v>
      </c>
      <c r="AL103">
        <f>VLOOKUP($A103,'UN Treasury'!$A$1:$BQ$224,_xlfn.XMATCH(AL$1,'UN Treasury'!$A$1:$BQ$1,-1,1),FALSE)</f>
        <v>3.5840000000000001</v>
      </c>
      <c r="AM103">
        <f>VLOOKUP($A103,'UN Treasury'!$A$1:$BQ$224,_xlfn.XMATCH(AM$1,'UN Treasury'!$A$1:$BQ$1,-1,1),FALSE)</f>
        <v>3.5710000000000002</v>
      </c>
      <c r="AN103">
        <f>VLOOKUP($A103,'UN Treasury'!$A$1:$BQ$224,_xlfn.XMATCH(AN$1,'UN Treasury'!$A$1:$BQ$1,-1,1),FALSE)</f>
        <v>3.5459999999999998</v>
      </c>
      <c r="AO103">
        <f>VLOOKUP($A103,'UN Treasury'!$A$1:$BQ$224,_xlfn.XMATCH(AO$1,'UN Treasury'!$A$1:$BQ$1,-1,1),FALSE)</f>
        <v>3.5209999999999999</v>
      </c>
      <c r="AP103">
        <f>VLOOKUP($A103,'UN Treasury'!$A$1:$BQ$224,_xlfn.XMATCH(AP$1,'UN Treasury'!$A$1:$BQ$1,-1,1),FALSE)</f>
        <v>3.5209999999999999</v>
      </c>
      <c r="AQ103">
        <f>VLOOKUP($A103,'UN Treasury'!$A$1:$BQ$224,_xlfn.XMATCH(AQ$1,'UN Treasury'!$A$1:$BQ$1,-1,1),FALSE)</f>
        <v>3.5209999999999999</v>
      </c>
      <c r="AR103">
        <f>VLOOKUP($A103,'UN Treasury'!$A$1:$BQ$224,_xlfn.XMATCH(AR$1,'UN Treasury'!$A$1:$BQ$1,-1,1),FALSE)</f>
        <v>3.5209999999999999</v>
      </c>
      <c r="AS103">
        <f>VLOOKUP($A103,'UN Treasury'!$A$1:$BQ$224,_xlfn.XMATCH(AS$1,'UN Treasury'!$A$1:$BQ$1,-1,1),FALSE)</f>
        <v>3.5209999999999999</v>
      </c>
      <c r="AT103">
        <f>VLOOKUP($A103,'UN Treasury'!$A$1:$BQ$224,_xlfn.XMATCH(AT$1,'UN Treasury'!$A$1:$BQ$1,-1,1),FALSE)</f>
        <v>3.5209999999999999</v>
      </c>
      <c r="AU103">
        <f>VLOOKUP($A103,'UN Treasury'!$A$1:$BQ$224,_xlfn.XMATCH(AU$1,'UN Treasury'!$A$1:$BQ$1,-1,1),FALSE)</f>
        <v>3.5209999999999999</v>
      </c>
      <c r="AV103">
        <f>VLOOKUP($A103,'UN Treasury'!$A$1:$BQ$224,_xlfn.XMATCH(AV$1,'UN Treasury'!$A$1:$BQ$1,-1,1),FALSE)</f>
        <v>3.5209999999999999</v>
      </c>
      <c r="AW103">
        <f>VLOOKUP($A103,'UN Treasury'!$A$1:$BQ$224,_xlfn.XMATCH(AW$1,'UN Treasury'!$A$1:$BQ$1,-1,1),FALSE)</f>
        <v>3.5209999999999999</v>
      </c>
      <c r="AX103">
        <f>VLOOKUP($A103,'UN Treasury'!$A$1:$BQ$224,_xlfn.XMATCH(AX$1,'UN Treasury'!$A$1:$BQ$1,-1,1),FALSE)</f>
        <v>3.5209999999999999</v>
      </c>
      <c r="AY103">
        <f>VLOOKUP($A103,'UN Treasury'!$A$1:$BQ$224,_xlfn.XMATCH(AY$1,'UN Treasury'!$A$1:$BQ$1,-1,1),FALSE)</f>
        <v>3.5209999999999999</v>
      </c>
      <c r="AZ103">
        <f>VLOOKUP($A103,'UN Treasury'!$A$1:$BQ$224,_xlfn.XMATCH(AZ$1,'UN Treasury'!$A$1:$BQ$1,-1,1),FALSE)</f>
        <v>3.5209999999999999</v>
      </c>
      <c r="BA103">
        <f>VLOOKUP($A103,'UN Treasury'!$A$1:$BQ$224,_xlfn.XMATCH(BA$1,'UN Treasury'!$A$1:$BQ$1,-1,1),FALSE)</f>
        <v>3.5209999999999999</v>
      </c>
      <c r="BB103">
        <f>VLOOKUP($A103,'UN Treasury'!$A$1:$BQ$224,_xlfn.XMATCH(BB$1,'UN Treasury'!$A$1:$BQ$1,-1,1),FALSE)</f>
        <v>3.5209999999999999</v>
      </c>
      <c r="BC103">
        <f>VLOOKUP($A103,'UN Treasury'!$A$1:$BQ$224,_xlfn.XMATCH(BC$1,'UN Treasury'!$A$1:$BQ$1,-1,1),FALSE)</f>
        <v>3.5209999999999999</v>
      </c>
      <c r="BD103">
        <f>VLOOKUP($A103,'UN Treasury'!$A$1:$BQ$224,_xlfn.XMATCH(BD$1,'UN Treasury'!$A$1:$BQ$1,-1,1),FALSE)</f>
        <v>3.5089999999999999</v>
      </c>
      <c r="BE103">
        <f>VLOOKUP($A103,'UN Treasury'!$A$1:$BQ$224,_xlfn.XMATCH(BE$1,'UN Treasury'!$A$1:$BQ$1,-1,1),FALSE)</f>
        <v>3.5089999999999999</v>
      </c>
      <c r="BF103">
        <f>VLOOKUP($A103,'UN Treasury'!$A$1:$BQ$224,_xlfn.XMATCH(BF$1,'UN Treasury'!$A$1:$BQ$1,-1,1),FALSE)</f>
        <v>3.5089999999999999</v>
      </c>
      <c r="BG103">
        <f>VLOOKUP($A103,'UN Treasury'!$A$1:$BQ$224,_xlfn.XMATCH(BG$1,'UN Treasury'!$A$1:$BQ$1,-1,1),FALSE)</f>
        <v>3.5089999999999999</v>
      </c>
      <c r="BH103">
        <f>VLOOKUP($A103,'UN Treasury'!$A$1:$BQ$224,_xlfn.XMATCH(BH$1,'UN Treasury'!$A$1:$BQ$1,-1,1),FALSE)</f>
        <v>3.5089999999999999</v>
      </c>
      <c r="BI103">
        <f>VLOOKUP($A103,'UN Treasury'!$A$1:$BQ$224,_xlfn.XMATCH(BI$1,'UN Treasury'!$A$1:$BQ$1,-1,1),FALSE)</f>
        <v>3.5089999999999999</v>
      </c>
      <c r="BJ103">
        <f>VLOOKUP($A103,'UN Treasury'!$A$1:$BQ$224,_xlfn.XMATCH(BJ$1,'UN Treasury'!$A$1:$BQ$1,-1,1),FALSE)</f>
        <v>3.5089999999999999</v>
      </c>
      <c r="BK103">
        <f>VLOOKUP($A103,'UN Treasury'!$A$1:$BQ$224,_xlfn.XMATCH(BK$1,'UN Treasury'!$A$1:$BQ$1,-1,1),FALSE)</f>
        <v>3.5089999999999999</v>
      </c>
      <c r="BL103">
        <f>VLOOKUP($A103,'UN Treasury'!$A$1:$BQ$224,_xlfn.XMATCH(BL$1,'UN Treasury'!$A$1:$BQ$1,-1,1),FALSE)</f>
        <v>3.5089999999999999</v>
      </c>
      <c r="BM103">
        <f>VLOOKUP($A103,'UN Treasury'!$A$1:$BQ$224,_xlfn.XMATCH(BM$1,'UN Treasury'!$A$1:$BQ$1,-1,1),FALSE)</f>
        <v>3.5089999999999999</v>
      </c>
      <c r="BN103">
        <f>VLOOKUP($A103,'UN Treasury'!$A$1:$BQ$224,_xlfn.XMATCH(BN$1,'UN Treasury'!$A$1:$BQ$1,-1,1),FALSE)</f>
        <v>3.508</v>
      </c>
      <c r="BO103">
        <f>VLOOKUP($A103,'UN Treasury'!$A$1:$BQ$224,_xlfn.XMATCH(BO$1,'UN Treasury'!$A$1:$BQ$1,-1,1),FALSE)</f>
        <v>3.508</v>
      </c>
      <c r="BP103">
        <f>VLOOKUP($A103,'UN Treasury'!$A$1:$BQ$224,_xlfn.XMATCH(BP$1,'UN Treasury'!$A$1:$BQ$1,-1,1),FALSE)</f>
        <v>3.508</v>
      </c>
      <c r="BQ103">
        <f>VLOOKUP($A103,'UN Treasury'!$A$1:$BQ$224,_xlfn.XMATCH(BQ$1,'UN Treasury'!$A$1:$BQ$1,-1,1),FALSE)</f>
        <v>3.5089999999999999</v>
      </c>
    </row>
    <row r="104" spans="1:69" x14ac:dyDescent="0.25">
      <c r="A104" t="s">
        <v>228</v>
      </c>
      <c r="B104">
        <f>VLOOKUP($A104,'UN Treasury'!$A$1:$BQ$224,_xlfn.XMATCH(B$1,'UN Treasury'!$A$1:$BQ$1,-1,1),FALSE)</f>
        <v>61.337000000000003</v>
      </c>
      <c r="C104">
        <f>VLOOKUP($A104,'UN Treasury'!$A$1:$BQ$224,_xlfn.XMATCH(C$1,'UN Treasury'!$A$1:$BQ$1,-1,1),FALSE)</f>
        <v>61.56</v>
      </c>
      <c r="D104">
        <f>VLOOKUP($A104,'UN Treasury'!$A$1:$BQ$224,_xlfn.XMATCH(D$1,'UN Treasury'!$A$1:$BQ$1,-1,1),FALSE)</f>
        <v>61.347000000000001</v>
      </c>
      <c r="E104">
        <f>VLOOKUP($A104,'UN Treasury'!$A$1:$BQ$224,_xlfn.XMATCH(E$1,'UN Treasury'!$A$1:$BQ$1,-1,1),FALSE)</f>
        <v>61.375</v>
      </c>
      <c r="F104">
        <f>VLOOKUP($A104,'UN Treasury'!$A$1:$BQ$224,_xlfn.XMATCH(F$1,'UN Treasury'!$A$1:$BQ$1,-1,1),FALSE)</f>
        <v>60.14</v>
      </c>
      <c r="G104">
        <f>VLOOKUP($A104,'UN Treasury'!$A$1:$BQ$224,_xlfn.XMATCH(G$1,'UN Treasury'!$A$1:$BQ$1,-1,1),FALSE)</f>
        <v>59.378</v>
      </c>
      <c r="H104">
        <f>VLOOKUP($A104,'UN Treasury'!$A$1:$BQ$224,_xlfn.XMATCH(H$1,'UN Treasury'!$A$1:$BQ$1,-1,1),FALSE)</f>
        <v>58.094999999999999</v>
      </c>
      <c r="I104">
        <f>VLOOKUP($A104,'UN Treasury'!$A$1:$BQ$224,_xlfn.XMATCH(I$1,'UN Treasury'!$A$1:$BQ$1,-1,1),FALSE)</f>
        <v>59.317999999999998</v>
      </c>
      <c r="J104">
        <f>VLOOKUP($A104,'UN Treasury'!$A$1:$BQ$224,_xlfn.XMATCH(J$1,'UN Treasury'!$A$1:$BQ$1,-1,1),FALSE)</f>
        <v>58.98</v>
      </c>
      <c r="K104">
        <f>VLOOKUP($A104,'UN Treasury'!$A$1:$BQ$224,_xlfn.XMATCH(K$1,'UN Treasury'!$A$1:$BQ$1,-1,1),FALSE)</f>
        <v>59.17</v>
      </c>
      <c r="L104">
        <f>VLOOKUP($A104,'UN Treasury'!$A$1:$BQ$224,_xlfn.XMATCH(L$1,'UN Treasury'!$A$1:$BQ$1,-1,1),FALSE)</f>
        <v>58.23</v>
      </c>
      <c r="M104">
        <f>VLOOKUP($A104,'UN Treasury'!$A$1:$BQ$224,_xlfn.XMATCH(M$1,'UN Treasury'!$A$1:$BQ$1,-1,1),FALSE)</f>
        <v>57.18</v>
      </c>
      <c r="N104">
        <f>VLOOKUP($A104,'UN Treasury'!$A$1:$BQ$224,_xlfn.XMATCH(N$1,'UN Treasury'!$A$1:$BQ$1,-1,1),FALSE)</f>
        <v>56.75</v>
      </c>
      <c r="O104">
        <f>VLOOKUP($A104,'UN Treasury'!$A$1:$BQ$224,_xlfn.XMATCH(O$1,'UN Treasury'!$A$1:$BQ$1,-1,1),FALSE)</f>
        <v>56.47</v>
      </c>
      <c r="P104">
        <f>VLOOKUP($A104,'UN Treasury'!$A$1:$BQ$224,_xlfn.XMATCH(P$1,'UN Treasury'!$A$1:$BQ$1,-1,1),FALSE)</f>
        <v>55.847000000000001</v>
      </c>
      <c r="Q104">
        <f>VLOOKUP($A104,'UN Treasury'!$A$1:$BQ$224,_xlfn.XMATCH(Q$1,'UN Treasury'!$A$1:$BQ$1,-1,1),FALSE)</f>
        <v>55.750999999999998</v>
      </c>
      <c r="R104">
        <f>VLOOKUP($A104,'UN Treasury'!$A$1:$BQ$224,_xlfn.XMATCH(R$1,'UN Treasury'!$A$1:$BQ$1,-1,1),FALSE)</f>
        <v>56.97</v>
      </c>
      <c r="S104">
        <f>VLOOKUP($A104,'UN Treasury'!$A$1:$BQ$224,_xlfn.XMATCH(S$1,'UN Treasury'!$A$1:$BQ$1,-1,1),FALSE)</f>
        <v>57.343000000000004</v>
      </c>
      <c r="T104">
        <f>VLOOKUP($A104,'UN Treasury'!$A$1:$BQ$224,_xlfn.XMATCH(T$1,'UN Treasury'!$A$1:$BQ$1,-1,1),FALSE)</f>
        <v>58.174999999999997</v>
      </c>
      <c r="U104">
        <f>VLOOKUP($A104,'UN Treasury'!$A$1:$BQ$224,_xlfn.XMATCH(U$1,'UN Treasury'!$A$1:$BQ$1,-1,1),FALSE)</f>
        <v>58.69</v>
      </c>
      <c r="V104">
        <f>VLOOKUP($A104,'UN Treasury'!$A$1:$BQ$224,_xlfn.XMATCH(V$1,'UN Treasury'!$A$1:$BQ$1,-1,1),FALSE)</f>
        <v>58.28</v>
      </c>
      <c r="W104">
        <f>VLOOKUP($A104,'UN Treasury'!$A$1:$BQ$224,_xlfn.XMATCH(W$1,'UN Treasury'!$A$1:$BQ$1,-1,1),FALSE)</f>
        <v>58.710999999999999</v>
      </c>
      <c r="X104">
        <f>VLOOKUP($A104,'UN Treasury'!$A$1:$BQ$224,_xlfn.XMATCH(X$1,'UN Treasury'!$A$1:$BQ$1,-1,1),FALSE)</f>
        <v>57.2</v>
      </c>
      <c r="Y104">
        <f>VLOOKUP($A104,'UN Treasury'!$A$1:$BQ$224,_xlfn.XMATCH(Y$1,'UN Treasury'!$A$1:$BQ$1,-1,1),FALSE)</f>
        <v>55.938000000000002</v>
      </c>
      <c r="Z104">
        <f>VLOOKUP($A104,'UN Treasury'!$A$1:$BQ$224,_xlfn.XMATCH(Z$1,'UN Treasury'!$A$1:$BQ$1,-1,1),FALSE)</f>
        <v>56.95</v>
      </c>
      <c r="AA104">
        <f>VLOOKUP($A104,'UN Treasury'!$A$1:$BQ$224,_xlfn.XMATCH(AA$1,'UN Treasury'!$A$1:$BQ$1,-1,1),FALSE)</f>
        <v>58.284999999999997</v>
      </c>
      <c r="AB104">
        <f>VLOOKUP($A104,'UN Treasury'!$A$1:$BQ$224,_xlfn.XMATCH(AB$1,'UN Treasury'!$A$1:$BQ$1,-1,1),FALSE)</f>
        <v>58.582999999999998</v>
      </c>
      <c r="AC104">
        <f>VLOOKUP($A104,'UN Treasury'!$A$1:$BQ$224,_xlfn.XMATCH(AC$1,'UN Treasury'!$A$1:$BQ$1,-1,1),FALSE)</f>
        <v>57.835000000000001</v>
      </c>
      <c r="AD104">
        <f>VLOOKUP($A104,'UN Treasury'!$A$1:$BQ$224,_xlfn.XMATCH(AD$1,'UN Treasury'!$A$1:$BQ$1,-1,1),FALSE)</f>
        <v>56.49</v>
      </c>
      <c r="AE104">
        <f>VLOOKUP($A104,'UN Treasury'!$A$1:$BQ$224,_xlfn.XMATCH(AE$1,'UN Treasury'!$A$1:$BQ$1,-1,1),FALSE)</f>
        <v>55.38</v>
      </c>
      <c r="AF104">
        <f>VLOOKUP($A104,'UN Treasury'!$A$1:$BQ$224,_xlfn.XMATCH(AF$1,'UN Treasury'!$A$1:$BQ$1,-1,1),FALSE)</f>
        <v>55.94</v>
      </c>
      <c r="AG104">
        <f>VLOOKUP($A104,'UN Treasury'!$A$1:$BQ$224,_xlfn.XMATCH(AG$1,'UN Treasury'!$A$1:$BQ$1,-1,1),FALSE)</f>
        <v>55.975999999999999</v>
      </c>
      <c r="AH104">
        <f>VLOOKUP($A104,'UN Treasury'!$A$1:$BQ$224,_xlfn.XMATCH(AH$1,'UN Treasury'!$A$1:$BQ$1,-1,1),FALSE)</f>
        <v>56.057000000000002</v>
      </c>
      <c r="AI104">
        <f>VLOOKUP($A104,'UN Treasury'!$A$1:$BQ$224,_xlfn.XMATCH(AI$1,'UN Treasury'!$A$1:$BQ$1,-1,1),FALSE)</f>
        <v>56.030999999999999</v>
      </c>
      <c r="AJ104">
        <f>VLOOKUP($A104,'UN Treasury'!$A$1:$BQ$224,_xlfn.XMATCH(AJ$1,'UN Treasury'!$A$1:$BQ$1,-1,1),FALSE)</f>
        <v>56.74</v>
      </c>
      <c r="AK104">
        <f>VLOOKUP($A104,'UN Treasury'!$A$1:$BQ$224,_xlfn.XMATCH(AK$1,'UN Treasury'!$A$1:$BQ$1,-1,1),FALSE)</f>
        <v>56.704000000000001</v>
      </c>
      <c r="AL104">
        <f>VLOOKUP($A104,'UN Treasury'!$A$1:$BQ$224,_xlfn.XMATCH(AL$1,'UN Treasury'!$A$1:$BQ$1,-1,1),FALSE)</f>
        <v>56.313000000000002</v>
      </c>
      <c r="AM104">
        <f>VLOOKUP($A104,'UN Treasury'!$A$1:$BQ$224,_xlfn.XMATCH(AM$1,'UN Treasury'!$A$1:$BQ$1,-1,1),FALSE)</f>
        <v>54.920999999999999</v>
      </c>
      <c r="AN104">
        <f>VLOOKUP($A104,'UN Treasury'!$A$1:$BQ$224,_xlfn.XMATCH(AN$1,'UN Treasury'!$A$1:$BQ$1,-1,1),FALSE)</f>
        <v>55.921999999999997</v>
      </c>
      <c r="AO104">
        <f>VLOOKUP($A104,'UN Treasury'!$A$1:$BQ$224,_xlfn.XMATCH(AO$1,'UN Treasury'!$A$1:$BQ$1,-1,1),FALSE)</f>
        <v>55.75</v>
      </c>
      <c r="AP104">
        <f>VLOOKUP($A104,'UN Treasury'!$A$1:$BQ$224,_xlfn.XMATCH(AP$1,'UN Treasury'!$A$1:$BQ$1,-1,1),FALSE)</f>
        <v>55.22</v>
      </c>
      <c r="AQ104">
        <f>VLOOKUP($A104,'UN Treasury'!$A$1:$BQ$224,_xlfn.XMATCH(AQ$1,'UN Treasury'!$A$1:$BQ$1,-1,1),FALSE)</f>
        <v>54.94</v>
      </c>
      <c r="AR104">
        <f>VLOOKUP($A104,'UN Treasury'!$A$1:$BQ$224,_xlfn.XMATCH(AR$1,'UN Treasury'!$A$1:$BQ$1,-1,1),FALSE)</f>
        <v>54.74</v>
      </c>
      <c r="AS104">
        <f>VLOOKUP($A104,'UN Treasury'!$A$1:$BQ$224,_xlfn.XMATCH(AS$1,'UN Treasury'!$A$1:$BQ$1,-1,1),FALSE)</f>
        <v>54.78</v>
      </c>
      <c r="AT104">
        <f>VLOOKUP($A104,'UN Treasury'!$A$1:$BQ$224,_xlfn.XMATCH(AT$1,'UN Treasury'!$A$1:$BQ$1,-1,1),FALSE)</f>
        <v>55.89</v>
      </c>
      <c r="AU104">
        <f>VLOOKUP($A104,'UN Treasury'!$A$1:$BQ$224,_xlfn.XMATCH(AU$1,'UN Treasury'!$A$1:$BQ$1,-1,1),FALSE)</f>
        <v>57.243000000000002</v>
      </c>
      <c r="AV104">
        <f>VLOOKUP($A104,'UN Treasury'!$A$1:$BQ$224,_xlfn.XMATCH(AV$1,'UN Treasury'!$A$1:$BQ$1,-1,1),FALSE)</f>
        <v>58.95</v>
      </c>
      <c r="AW104">
        <f>VLOOKUP($A104,'UN Treasury'!$A$1:$BQ$224,_xlfn.XMATCH(AW$1,'UN Treasury'!$A$1:$BQ$1,-1,1),FALSE)</f>
        <v>56.774999999999999</v>
      </c>
      <c r="AX104">
        <f>VLOOKUP($A104,'UN Treasury'!$A$1:$BQ$224,_xlfn.XMATCH(AX$1,'UN Treasury'!$A$1:$BQ$1,-1,1),FALSE)</f>
        <v>55.28</v>
      </c>
      <c r="AY104">
        <f>VLOOKUP($A104,'UN Treasury'!$A$1:$BQ$224,_xlfn.XMATCH(AY$1,'UN Treasury'!$A$1:$BQ$1,-1,1),FALSE)</f>
        <v>56.249000000000002</v>
      </c>
      <c r="AZ104">
        <f>VLOOKUP($A104,'UN Treasury'!$A$1:$BQ$224,_xlfn.XMATCH(AZ$1,'UN Treasury'!$A$1:$BQ$1,-1,1),FALSE)</f>
        <v>53.29</v>
      </c>
      <c r="BA104">
        <f>VLOOKUP($A104,'UN Treasury'!$A$1:$BQ$224,_xlfn.XMATCH(BA$1,'UN Treasury'!$A$1:$BQ$1,-1,1),FALSE)</f>
        <v>52.274999999999999</v>
      </c>
      <c r="BB104">
        <f>VLOOKUP($A104,'UN Treasury'!$A$1:$BQ$224,_xlfn.XMATCH(BB$1,'UN Treasury'!$A$1:$BQ$1,-1,1),FALSE)</f>
        <v>52.1</v>
      </c>
      <c r="BC104">
        <f>VLOOKUP($A104,'UN Treasury'!$A$1:$BQ$224,_xlfn.XMATCH(BC$1,'UN Treasury'!$A$1:$BQ$1,-1,1),FALSE)</f>
        <v>52.28</v>
      </c>
      <c r="BD104">
        <f>VLOOKUP($A104,'UN Treasury'!$A$1:$BQ$224,_xlfn.XMATCH(BD$1,'UN Treasury'!$A$1:$BQ$1,-1,1),FALSE)</f>
        <v>51.314999999999998</v>
      </c>
      <c r="BE104">
        <f>VLOOKUP($A104,'UN Treasury'!$A$1:$BQ$224,_xlfn.XMATCH(BE$1,'UN Treasury'!$A$1:$BQ$1,-1,1),FALSE)</f>
        <v>51.19</v>
      </c>
      <c r="BF104">
        <f>VLOOKUP($A104,'UN Treasury'!$A$1:$BQ$224,_xlfn.XMATCH(BF$1,'UN Treasury'!$A$1:$BQ$1,-1,1),FALSE)</f>
        <v>50.363999999999997</v>
      </c>
      <c r="BG104">
        <f>VLOOKUP($A104,'UN Treasury'!$A$1:$BQ$224,_xlfn.XMATCH(BG$1,'UN Treasury'!$A$1:$BQ$1,-1,1),FALSE)</f>
        <v>50.7</v>
      </c>
      <c r="BH104">
        <f>VLOOKUP($A104,'UN Treasury'!$A$1:$BQ$224,_xlfn.XMATCH(BH$1,'UN Treasury'!$A$1:$BQ$1,-1,1),FALSE)</f>
        <v>50.85</v>
      </c>
      <c r="BI104">
        <f>VLOOKUP($A104,'UN Treasury'!$A$1:$BQ$224,_xlfn.XMATCH(BI$1,'UN Treasury'!$A$1:$BQ$1,-1,1),FALSE)</f>
        <v>49.82</v>
      </c>
      <c r="BJ104">
        <f>VLOOKUP($A104,'UN Treasury'!$A$1:$BQ$224,_xlfn.XMATCH(BJ$1,'UN Treasury'!$A$1:$BQ$1,-1,1),FALSE)</f>
        <v>50.305</v>
      </c>
      <c r="BK104">
        <f>VLOOKUP($A104,'UN Treasury'!$A$1:$BQ$224,_xlfn.XMATCH(BK$1,'UN Treasury'!$A$1:$BQ$1,-1,1),FALSE)</f>
        <v>48.645000000000003</v>
      </c>
      <c r="BL104">
        <f>VLOOKUP($A104,'UN Treasury'!$A$1:$BQ$224,_xlfn.XMATCH(BL$1,'UN Treasury'!$A$1:$BQ$1,-1,1),FALSE)</f>
        <v>48</v>
      </c>
      <c r="BM104">
        <f>VLOOKUP($A104,'UN Treasury'!$A$1:$BQ$224,_xlfn.XMATCH(BM$1,'UN Treasury'!$A$1:$BQ$1,-1,1),FALSE)</f>
        <v>48.298000000000002</v>
      </c>
      <c r="BN104">
        <f>VLOOKUP($A104,'UN Treasury'!$A$1:$BQ$224,_xlfn.XMATCH(BN$1,'UN Treasury'!$A$1:$BQ$1,-1,1),FALSE)</f>
        <v>48.54</v>
      </c>
      <c r="BO104">
        <f>VLOOKUP($A104,'UN Treasury'!$A$1:$BQ$224,_xlfn.XMATCH(BO$1,'UN Treasury'!$A$1:$BQ$1,-1,1),FALSE)</f>
        <v>48.618000000000002</v>
      </c>
      <c r="BP104">
        <f>VLOOKUP($A104,'UN Treasury'!$A$1:$BQ$224,_xlfn.XMATCH(BP$1,'UN Treasury'!$A$1:$BQ$1,-1,1),FALSE)</f>
        <v>48.106000000000002</v>
      </c>
      <c r="BQ104">
        <f>VLOOKUP($A104,'UN Treasury'!$A$1:$BQ$224,_xlfn.XMATCH(BQ$1,'UN Treasury'!$A$1:$BQ$1,-1,1),FALSE)</f>
        <v>48.021000000000001</v>
      </c>
    </row>
    <row r="105" spans="1:69" x14ac:dyDescent="0.25">
      <c r="A105" t="s">
        <v>229</v>
      </c>
      <c r="B105">
        <f>VLOOKUP($A105,'UN Treasury'!$A$1:$BQ$224,_xlfn.XMATCH(B$1,'UN Treasury'!$A$1:$BQ$1,-1,1),FALSE)</f>
        <v>277.55</v>
      </c>
      <c r="C105">
        <f>VLOOKUP($A105,'UN Treasury'!$A$1:$BQ$224,_xlfn.XMATCH(C$1,'UN Treasury'!$A$1:$BQ$1,-1,1),FALSE)</f>
        <v>278.02499999999998</v>
      </c>
      <c r="D105">
        <f>VLOOKUP($A105,'UN Treasury'!$A$1:$BQ$224,_xlfn.XMATCH(D$1,'UN Treasury'!$A$1:$BQ$1,-1,1),FALSE)</f>
        <v>278.22500000000002</v>
      </c>
      <c r="E105">
        <f>VLOOKUP($A105,'UN Treasury'!$A$1:$BQ$224,_xlfn.XMATCH(E$1,'UN Treasury'!$A$1:$BQ$1,-1,1),FALSE)</f>
        <v>278.52499999999998</v>
      </c>
      <c r="F105">
        <f>VLOOKUP($A105,'UN Treasury'!$A$1:$BQ$224,_xlfn.XMATCH(F$1,'UN Treasury'!$A$1:$BQ$1,-1,1),FALSE)</f>
        <v>279.12099999999998</v>
      </c>
      <c r="G105">
        <f>VLOOKUP($A105,'UN Treasury'!$A$1:$BQ$224,_xlfn.XMATCH(G$1,'UN Treasury'!$A$1:$BQ$1,-1,1),FALSE)</f>
        <v>279.33</v>
      </c>
      <c r="H105">
        <f>VLOOKUP($A105,'UN Treasury'!$A$1:$BQ$224,_xlfn.XMATCH(H$1,'UN Treasury'!$A$1:$BQ$1,-1,1),FALSE)</f>
        <v>279.52300000000002</v>
      </c>
      <c r="I105">
        <f>VLOOKUP($A105,'UN Treasury'!$A$1:$BQ$224,_xlfn.XMATCH(I$1,'UN Treasury'!$A$1:$BQ$1,-1,1),FALSE)</f>
        <v>279.947</v>
      </c>
      <c r="J105">
        <f>VLOOKUP($A105,'UN Treasury'!$A$1:$BQ$224,_xlfn.XMATCH(J$1,'UN Treasury'!$A$1:$BQ$1,-1,1),FALSE)</f>
        <v>280.35000000000002</v>
      </c>
      <c r="K105">
        <f>VLOOKUP($A105,'UN Treasury'!$A$1:$BQ$224,_xlfn.XMATCH(K$1,'UN Treasury'!$A$1:$BQ$1,-1,1),FALSE)</f>
        <v>280.94799999999998</v>
      </c>
      <c r="L105">
        <f>VLOOKUP($A105,'UN Treasury'!$A$1:$BQ$224,_xlfn.XMATCH(L$1,'UN Treasury'!$A$1:$BQ$1,-1,1),FALSE)</f>
        <v>281.39999999999998</v>
      </c>
      <c r="M105">
        <f>VLOOKUP($A105,'UN Treasury'!$A$1:$BQ$224,_xlfn.XMATCH(M$1,'UN Treasury'!$A$1:$BQ$1,-1,1),FALSE)</f>
        <v>281.47500000000002</v>
      </c>
      <c r="N105">
        <f>VLOOKUP($A105,'UN Treasury'!$A$1:$BQ$224,_xlfn.XMATCH(N$1,'UN Treasury'!$A$1:$BQ$1,-1,1),FALSE)</f>
        <v>282.07499999999999</v>
      </c>
      <c r="O105">
        <f>VLOOKUP($A105,'UN Treasury'!$A$1:$BQ$224,_xlfn.XMATCH(O$1,'UN Treasury'!$A$1:$BQ$1,-1,1),FALSE)</f>
        <v>284.274</v>
      </c>
      <c r="P105">
        <f>VLOOKUP($A105,'UN Treasury'!$A$1:$BQ$224,_xlfn.XMATCH(P$1,'UN Treasury'!$A$1:$BQ$1,-1,1),FALSE)</f>
        <v>282.39999999999998</v>
      </c>
      <c r="Q105">
        <f>VLOOKUP($A105,'UN Treasury'!$A$1:$BQ$224,_xlfn.XMATCH(Q$1,'UN Treasury'!$A$1:$BQ$1,-1,1),FALSE)</f>
        <v>281.56700000000001</v>
      </c>
      <c r="R105">
        <f>VLOOKUP($A105,'UN Treasury'!$A$1:$BQ$224,_xlfn.XMATCH(R$1,'UN Treasury'!$A$1:$BQ$1,-1,1),FALSE)</f>
        <v>280.21300000000002</v>
      </c>
      <c r="S105">
        <f>VLOOKUP($A105,'UN Treasury'!$A$1:$BQ$224,_xlfn.XMATCH(S$1,'UN Treasury'!$A$1:$BQ$1,-1,1),FALSE)</f>
        <v>279.59399999999999</v>
      </c>
      <c r="T105">
        <f>VLOOKUP($A105,'UN Treasury'!$A$1:$BQ$224,_xlfn.XMATCH(T$1,'UN Treasury'!$A$1:$BQ$1,-1,1),FALSE)</f>
        <v>278.899</v>
      </c>
      <c r="U105">
        <f>VLOOKUP($A105,'UN Treasury'!$A$1:$BQ$224,_xlfn.XMATCH(U$1,'UN Treasury'!$A$1:$BQ$1,-1,1),FALSE)</f>
        <v>278.625</v>
      </c>
      <c r="V105">
        <f>VLOOKUP($A105,'UN Treasury'!$A$1:$BQ$224,_xlfn.XMATCH(V$1,'UN Treasury'!$A$1:$BQ$1,-1,1),FALSE)</f>
        <v>277.89999999999998</v>
      </c>
      <c r="W105">
        <f>VLOOKUP($A105,'UN Treasury'!$A$1:$BQ$224,_xlfn.XMATCH(W$1,'UN Treasury'!$A$1:$BQ$1,-1,1),FALSE)</f>
        <v>277.875</v>
      </c>
      <c r="X105">
        <f>VLOOKUP($A105,'UN Treasury'!$A$1:$BQ$224,_xlfn.XMATCH(X$1,'UN Treasury'!$A$1:$BQ$1,-1,1),FALSE)</f>
        <v>277.91800000000001</v>
      </c>
      <c r="Y105">
        <f>VLOOKUP($A105,'UN Treasury'!$A$1:$BQ$224,_xlfn.XMATCH(Y$1,'UN Treasury'!$A$1:$BQ$1,-1,1),FALSE)</f>
        <v>278.7</v>
      </c>
      <c r="Z105">
        <f>VLOOKUP($A105,'UN Treasury'!$A$1:$BQ$224,_xlfn.XMATCH(Z$1,'UN Treasury'!$A$1:$BQ$1,-1,1),FALSE)</f>
        <v>278.52600000000001</v>
      </c>
      <c r="AA105">
        <f>VLOOKUP($A105,'UN Treasury'!$A$1:$BQ$224,_xlfn.XMATCH(AA$1,'UN Treasury'!$A$1:$BQ$1,-1,1),FALSE)</f>
        <v>278.52999999999997</v>
      </c>
      <c r="AB105">
        <f>VLOOKUP($A105,'UN Treasury'!$A$1:$BQ$224,_xlfn.XMATCH(AB$1,'UN Treasury'!$A$1:$BQ$1,-1,1),FALSE)</f>
        <v>278.17599999999999</v>
      </c>
      <c r="AC105">
        <f>VLOOKUP($A105,'UN Treasury'!$A$1:$BQ$224,_xlfn.XMATCH(AC$1,'UN Treasury'!$A$1:$BQ$1,-1,1),FALSE)</f>
        <v>278.11599999999999</v>
      </c>
      <c r="AD105">
        <f>VLOOKUP($A105,'UN Treasury'!$A$1:$BQ$224,_xlfn.XMATCH(AD$1,'UN Treasury'!$A$1:$BQ$1,-1,1),FALSE)</f>
        <v>277.87</v>
      </c>
      <c r="AE105">
        <f>VLOOKUP($A105,'UN Treasury'!$A$1:$BQ$224,_xlfn.XMATCH(AE$1,'UN Treasury'!$A$1:$BQ$1,-1,1),FALSE)</f>
        <v>279.25</v>
      </c>
      <c r="AF105">
        <f>VLOOKUP($A105,'UN Treasury'!$A$1:$BQ$224,_xlfn.XMATCH(AF$1,'UN Treasury'!$A$1:$BQ$1,-1,1),FALSE)</f>
        <v>279.25</v>
      </c>
      <c r="AG105">
        <f>VLOOKUP($A105,'UN Treasury'!$A$1:$BQ$224,_xlfn.XMATCH(AG$1,'UN Treasury'!$A$1:$BQ$1,-1,1),FALSE)</f>
        <v>280.75</v>
      </c>
      <c r="AH105">
        <f>VLOOKUP($A105,'UN Treasury'!$A$1:$BQ$224,_xlfn.XMATCH(AH$1,'UN Treasury'!$A$1:$BQ$1,-1,1),FALSE)</f>
        <v>283.01299999999998</v>
      </c>
      <c r="AI105">
        <f>VLOOKUP($A105,'UN Treasury'!$A$1:$BQ$224,_xlfn.XMATCH(AI$1,'UN Treasury'!$A$1:$BQ$1,-1,1),FALSE)</f>
        <v>285.34100000000001</v>
      </c>
      <c r="AJ105">
        <f>VLOOKUP($A105,'UN Treasury'!$A$1:$BQ$224,_xlfn.XMATCH(AJ$1,'UN Treasury'!$A$1:$BQ$1,-1,1),FALSE)</f>
        <v>279.10000000000002</v>
      </c>
      <c r="AK105">
        <f>VLOOKUP($A105,'UN Treasury'!$A$1:$BQ$224,_xlfn.XMATCH(AK$1,'UN Treasury'!$A$1:$BQ$1,-1,1),FALSE)</f>
        <v>295.90899999999999</v>
      </c>
      <c r="AL105">
        <f>VLOOKUP($A105,'UN Treasury'!$A$1:$BQ$224,_xlfn.XMATCH(AL$1,'UN Treasury'!$A$1:$BQ$1,-1,1),FALSE)</f>
        <v>287.54000000000002</v>
      </c>
      <c r="AM105">
        <f>VLOOKUP($A105,'UN Treasury'!$A$1:$BQ$224,_xlfn.XMATCH(AM$1,'UN Treasury'!$A$1:$BQ$1,-1,1),FALSE)</f>
        <v>276.47300000000001</v>
      </c>
      <c r="AN105">
        <f>VLOOKUP($A105,'UN Treasury'!$A$1:$BQ$224,_xlfn.XMATCH(AN$1,'UN Treasury'!$A$1:$BQ$1,-1,1),FALSE)</f>
        <v>283.56</v>
      </c>
      <c r="AO105">
        <f>VLOOKUP($A105,'UN Treasury'!$A$1:$BQ$224,_xlfn.XMATCH(AO$1,'UN Treasury'!$A$1:$BQ$1,-1,1),FALSE)</f>
        <v>295.5</v>
      </c>
      <c r="AP105">
        <f>VLOOKUP($A105,'UN Treasury'!$A$1:$BQ$224,_xlfn.XMATCH(AP$1,'UN Treasury'!$A$1:$BQ$1,-1,1),FALSE)</f>
        <v>287.03500000000003</v>
      </c>
      <c r="AQ105">
        <f>VLOOKUP($A105,'UN Treasury'!$A$1:$BQ$224,_xlfn.XMATCH(AQ$1,'UN Treasury'!$A$1:$BQ$1,-1,1),FALSE)</f>
        <v>281.34300000000002</v>
      </c>
      <c r="AR105">
        <f>VLOOKUP($A105,'UN Treasury'!$A$1:$BQ$224,_xlfn.XMATCH(AR$1,'UN Treasury'!$A$1:$BQ$1,-1,1),FALSE)</f>
        <v>269.375</v>
      </c>
      <c r="AS105">
        <f>VLOOKUP($A105,'UN Treasury'!$A$1:$BQ$224,_xlfn.XMATCH(AS$1,'UN Treasury'!$A$1:$BQ$1,-1,1),FALSE)</f>
        <v>227.75</v>
      </c>
      <c r="AT105">
        <f>VLOOKUP($A105,'UN Treasury'!$A$1:$BQ$224,_xlfn.XMATCH(AT$1,'UN Treasury'!$A$1:$BQ$1,-1,1),FALSE)</f>
        <v>224.75</v>
      </c>
      <c r="AU105">
        <f>VLOOKUP($A105,'UN Treasury'!$A$1:$BQ$224,_xlfn.XMATCH(AU$1,'UN Treasury'!$A$1:$BQ$1,-1,1),FALSE)</f>
        <v>221.25</v>
      </c>
      <c r="AV105">
        <f>VLOOKUP($A105,'UN Treasury'!$A$1:$BQ$224,_xlfn.XMATCH(AV$1,'UN Treasury'!$A$1:$BQ$1,-1,1),FALSE)</f>
        <v>217.161</v>
      </c>
      <c r="AW105">
        <f>VLOOKUP($A105,'UN Treasury'!$A$1:$BQ$224,_xlfn.XMATCH(AW$1,'UN Treasury'!$A$1:$BQ$1,-1,1),FALSE)</f>
        <v>231.93600000000001</v>
      </c>
      <c r="AX105">
        <f>VLOOKUP($A105,'UN Treasury'!$A$1:$BQ$224,_xlfn.XMATCH(AX$1,'UN Treasury'!$A$1:$BQ$1,-1,1),FALSE)</f>
        <v>217</v>
      </c>
      <c r="AY105">
        <f>VLOOKUP($A105,'UN Treasury'!$A$1:$BQ$224,_xlfn.XMATCH(AY$1,'UN Treasury'!$A$1:$BQ$1,-1,1),FALSE)</f>
        <v>209.99</v>
      </c>
      <c r="AZ105">
        <f>VLOOKUP($A105,'UN Treasury'!$A$1:$BQ$224,_xlfn.XMATCH(AZ$1,'UN Treasury'!$A$1:$BQ$1,-1,1),FALSE)</f>
        <v>203.69499999999999</v>
      </c>
      <c r="BA105">
        <f>VLOOKUP($A105,'UN Treasury'!$A$1:$BQ$224,_xlfn.XMATCH(BA$1,'UN Treasury'!$A$1:$BQ$1,-1,1),FALSE)</f>
        <v>189.88</v>
      </c>
      <c r="BB105">
        <f>VLOOKUP($A105,'UN Treasury'!$A$1:$BQ$224,_xlfn.XMATCH(BB$1,'UN Treasury'!$A$1:$BQ$1,-1,1),FALSE)</f>
        <v>181.34</v>
      </c>
      <c r="BC105">
        <f>VLOOKUP($A105,'UN Treasury'!$A$1:$BQ$224,_xlfn.XMATCH(BC$1,'UN Treasury'!$A$1:$BQ$1,-1,1),FALSE)</f>
        <v>178.55</v>
      </c>
      <c r="BD105">
        <f>VLOOKUP($A105,'UN Treasury'!$A$1:$BQ$224,_xlfn.XMATCH(BD$1,'UN Treasury'!$A$1:$BQ$1,-1,1),FALSE)</f>
        <v>174.43</v>
      </c>
      <c r="BE105">
        <f>VLOOKUP($A105,'UN Treasury'!$A$1:$BQ$224,_xlfn.XMATCH(BE$1,'UN Treasury'!$A$1:$BQ$1,-1,1),FALSE)</f>
        <v>176.03100000000001</v>
      </c>
      <c r="BF105">
        <f>VLOOKUP($A105,'UN Treasury'!$A$1:$BQ$224,_xlfn.XMATCH(BF$1,'UN Treasury'!$A$1:$BQ$1,-1,1),FALSE)</f>
        <v>175.977</v>
      </c>
      <c r="BG105">
        <f>VLOOKUP($A105,'UN Treasury'!$A$1:$BQ$224,_xlfn.XMATCH(BG$1,'UN Treasury'!$A$1:$BQ$1,-1,1),FALSE)</f>
        <v>171.73</v>
      </c>
      <c r="BH105">
        <f>VLOOKUP($A105,'UN Treasury'!$A$1:$BQ$224,_xlfn.XMATCH(BH$1,'UN Treasury'!$A$1:$BQ$1,-1,1),FALSE)</f>
        <v>170.24299999999999</v>
      </c>
      <c r="BI105">
        <f>VLOOKUP($A105,'UN Treasury'!$A$1:$BQ$224,_xlfn.XMATCH(BI$1,'UN Treasury'!$A$1:$BQ$1,-1,1),FALSE)</f>
        <v>165.27</v>
      </c>
      <c r="BJ105">
        <f>VLOOKUP($A105,'UN Treasury'!$A$1:$BQ$224,_xlfn.XMATCH(BJ$1,'UN Treasury'!$A$1:$BQ$1,-1,1),FALSE)</f>
        <v>161.5</v>
      </c>
      <c r="BK105">
        <f>VLOOKUP($A105,'UN Treasury'!$A$1:$BQ$224,_xlfn.XMATCH(BK$1,'UN Treasury'!$A$1:$BQ$1,-1,1),FALSE)</f>
        <v>157.59800000000001</v>
      </c>
      <c r="BL105">
        <f>VLOOKUP($A105,'UN Treasury'!$A$1:$BQ$224,_xlfn.XMATCH(BL$1,'UN Treasury'!$A$1:$BQ$1,-1,1),FALSE)</f>
        <v>154.316</v>
      </c>
      <c r="BM105">
        <f>VLOOKUP($A105,'UN Treasury'!$A$1:$BQ$224,_xlfn.XMATCH(BM$1,'UN Treasury'!$A$1:$BQ$1,-1,1),FALSE)</f>
        <v>153.18899999999999</v>
      </c>
      <c r="BN105">
        <f>VLOOKUP($A105,'UN Treasury'!$A$1:$BQ$224,_xlfn.XMATCH(BN$1,'UN Treasury'!$A$1:$BQ$1,-1,1),FALSE)</f>
        <v>152.63999999999999</v>
      </c>
      <c r="BO105">
        <f>VLOOKUP($A105,'UN Treasury'!$A$1:$BQ$224,_xlfn.XMATCH(BO$1,'UN Treasury'!$A$1:$BQ$1,-1,1),FALSE)</f>
        <v>158.02000000000001</v>
      </c>
      <c r="BP105">
        <f>VLOOKUP($A105,'UN Treasury'!$A$1:$BQ$224,_xlfn.XMATCH(BP$1,'UN Treasury'!$A$1:$BQ$1,-1,1),FALSE)</f>
        <v>160.21899999999999</v>
      </c>
      <c r="BQ105">
        <f>VLOOKUP($A105,'UN Treasury'!$A$1:$BQ$224,_xlfn.XMATCH(BQ$1,'UN Treasury'!$A$1:$BQ$1,-1,1),FALSE)</f>
        <v>160</v>
      </c>
    </row>
    <row r="106" spans="1:69" x14ac:dyDescent="0.25">
      <c r="A106" t="s">
        <v>231</v>
      </c>
      <c r="B106">
        <f>VLOOKUP($A106,'UN Treasury'!$A$1:$BQ$224,_xlfn.XMATCH(B$1,'UN Treasury'!$A$1:$BQ$1,-1,1),FALSE)</f>
        <v>3.73</v>
      </c>
      <c r="C106">
        <f>VLOOKUP($A106,'UN Treasury'!$A$1:$BQ$224,_xlfn.XMATCH(C$1,'UN Treasury'!$A$1:$BQ$1,-1,1),FALSE)</f>
        <v>3.7839999999999998</v>
      </c>
      <c r="D106">
        <f>VLOOKUP($A106,'UN Treasury'!$A$1:$BQ$224,_xlfn.XMATCH(D$1,'UN Treasury'!$A$1:$BQ$1,-1,1),FALSE)</f>
        <v>3.6930000000000001</v>
      </c>
      <c r="E106">
        <f>VLOOKUP($A106,'UN Treasury'!$A$1:$BQ$224,_xlfn.XMATCH(E$1,'UN Treasury'!$A$1:$BQ$1,-1,1),FALSE)</f>
        <v>3.629</v>
      </c>
      <c r="F106">
        <f>VLOOKUP($A106,'UN Treasury'!$A$1:$BQ$224,_xlfn.XMATCH(F$1,'UN Treasury'!$A$1:$BQ$1,-1,1),FALSE)</f>
        <v>3.6280000000000001</v>
      </c>
      <c r="G106">
        <f>VLOOKUP($A106,'UN Treasury'!$A$1:$BQ$224,_xlfn.XMATCH(G$1,'UN Treasury'!$A$1:$BQ$1,-1,1),FALSE)</f>
        <v>3.6989999999999998</v>
      </c>
      <c r="H106">
        <f>VLOOKUP($A106,'UN Treasury'!$A$1:$BQ$224,_xlfn.XMATCH(H$1,'UN Treasury'!$A$1:$BQ$1,-1,1),FALSE)</f>
        <v>3.5449999999999999</v>
      </c>
      <c r="I106">
        <f>VLOOKUP($A106,'UN Treasury'!$A$1:$BQ$224,_xlfn.XMATCH(I$1,'UN Treasury'!$A$1:$BQ$1,-1,1),FALSE)</f>
        <v>3.6150000000000002</v>
      </c>
      <c r="J106">
        <f>VLOOKUP($A106,'UN Treasury'!$A$1:$BQ$224,_xlfn.XMATCH(J$1,'UN Treasury'!$A$1:$BQ$1,-1,1),FALSE)</f>
        <v>3.5979999999999999</v>
      </c>
      <c r="K106">
        <f>VLOOKUP($A106,'UN Treasury'!$A$1:$BQ$224,_xlfn.XMATCH(K$1,'UN Treasury'!$A$1:$BQ$1,-1,1),FALSE)</f>
        <v>3.6579999999999999</v>
      </c>
      <c r="L106">
        <f>VLOOKUP($A106,'UN Treasury'!$A$1:$BQ$224,_xlfn.XMATCH(L$1,'UN Treasury'!$A$1:$BQ$1,-1,1),FALSE)</f>
        <v>3.6829999999999998</v>
      </c>
      <c r="M106">
        <f>VLOOKUP($A106,'UN Treasury'!$A$1:$BQ$224,_xlfn.XMATCH(M$1,'UN Treasury'!$A$1:$BQ$1,-1,1),FALSE)</f>
        <v>3.6339999999999999</v>
      </c>
      <c r="N106">
        <f>VLOOKUP($A106,'UN Treasury'!$A$1:$BQ$224,_xlfn.XMATCH(N$1,'UN Treasury'!$A$1:$BQ$1,-1,1),FALSE)</f>
        <v>3.6360000000000001</v>
      </c>
      <c r="O106">
        <f>VLOOKUP($A106,'UN Treasury'!$A$1:$BQ$224,_xlfn.XMATCH(O$1,'UN Treasury'!$A$1:$BQ$1,-1,1),FALSE)</f>
        <v>3.641</v>
      </c>
      <c r="P106">
        <f>VLOOKUP($A106,'UN Treasury'!$A$1:$BQ$224,_xlfn.XMATCH(P$1,'UN Treasury'!$A$1:$BQ$1,-1,1),FALSE)</f>
        <v>3.7130000000000001</v>
      </c>
      <c r="Q106">
        <f>VLOOKUP($A106,'UN Treasury'!$A$1:$BQ$224,_xlfn.XMATCH(Q$1,'UN Treasury'!$A$1:$BQ$1,-1,1),FALSE)</f>
        <v>3.81</v>
      </c>
      <c r="R106">
        <f>VLOOKUP($A106,'UN Treasury'!$A$1:$BQ$224,_xlfn.XMATCH(R$1,'UN Treasury'!$A$1:$BQ$1,-1,1),FALSE)</f>
        <v>3.7759999999999998</v>
      </c>
      <c r="S106">
        <f>VLOOKUP($A106,'UN Treasury'!$A$1:$BQ$224,_xlfn.XMATCH(S$1,'UN Treasury'!$A$1:$BQ$1,-1,1),FALSE)</f>
        <v>3.8540000000000001</v>
      </c>
      <c r="T106">
        <f>VLOOKUP($A106,'UN Treasury'!$A$1:$BQ$224,_xlfn.XMATCH(T$1,'UN Treasury'!$A$1:$BQ$1,-1,1),FALSE)</f>
        <v>4.0339999999999998</v>
      </c>
      <c r="U106">
        <f>VLOOKUP($A106,'UN Treasury'!$A$1:$BQ$224,_xlfn.XMATCH(U$1,'UN Treasury'!$A$1:$BQ$1,-1,1),FALSE)</f>
        <v>4.1840000000000002</v>
      </c>
      <c r="V106">
        <f>VLOOKUP($A106,'UN Treasury'!$A$1:$BQ$224,_xlfn.XMATCH(V$1,'UN Treasury'!$A$1:$BQ$1,-1,1),FALSE)</f>
        <v>4.0650000000000004</v>
      </c>
      <c r="W106">
        <f>VLOOKUP($A106,'UN Treasury'!$A$1:$BQ$224,_xlfn.XMATCH(W$1,'UN Treasury'!$A$1:$BQ$1,-1,1),FALSE)</f>
        <v>4.0990000000000002</v>
      </c>
      <c r="X106">
        <f>VLOOKUP($A106,'UN Treasury'!$A$1:$BQ$224,_xlfn.XMATCH(X$1,'UN Treasury'!$A$1:$BQ$1,-1,1),FALSE)</f>
        <v>3.9239999999999999</v>
      </c>
      <c r="Y106">
        <f>VLOOKUP($A106,'UN Treasury'!$A$1:$BQ$224,_xlfn.XMATCH(Y$1,'UN Treasury'!$A$1:$BQ$1,-1,1),FALSE)</f>
        <v>3.8889999999999998</v>
      </c>
      <c r="Z106">
        <f>VLOOKUP($A106,'UN Treasury'!$A$1:$BQ$224,_xlfn.XMATCH(Z$1,'UN Treasury'!$A$1:$BQ$1,-1,1),FALSE)</f>
        <v>3.9159999999999999</v>
      </c>
      <c r="AA106">
        <f>VLOOKUP($A106,'UN Treasury'!$A$1:$BQ$224,_xlfn.XMATCH(AA$1,'UN Treasury'!$A$1:$BQ$1,-1,1),FALSE)</f>
        <v>3.907</v>
      </c>
      <c r="AB106">
        <f>VLOOKUP($A106,'UN Treasury'!$A$1:$BQ$224,_xlfn.XMATCH(AB$1,'UN Treasury'!$A$1:$BQ$1,-1,1),FALSE)</f>
        <v>3.9969999999999999</v>
      </c>
      <c r="AC106">
        <f>VLOOKUP($A106,'UN Treasury'!$A$1:$BQ$224,_xlfn.XMATCH(AC$1,'UN Treasury'!$A$1:$BQ$1,-1,1),FALSE)</f>
        <v>3.97</v>
      </c>
      <c r="AD106">
        <f>VLOOKUP($A106,'UN Treasury'!$A$1:$BQ$224,_xlfn.XMATCH(AD$1,'UN Treasury'!$A$1:$BQ$1,-1,1),FALSE)</f>
        <v>3.9689999999999999</v>
      </c>
      <c r="AE106">
        <f>VLOOKUP($A106,'UN Treasury'!$A$1:$BQ$224,_xlfn.XMATCH(AE$1,'UN Treasury'!$A$1:$BQ$1,-1,1),FALSE)</f>
        <v>3.915</v>
      </c>
      <c r="AF106">
        <f>VLOOKUP($A106,'UN Treasury'!$A$1:$BQ$224,_xlfn.XMATCH(AF$1,'UN Treasury'!$A$1:$BQ$1,-1,1),FALSE)</f>
        <v>4.0460000000000003</v>
      </c>
      <c r="AG106">
        <f>VLOOKUP($A106,'UN Treasury'!$A$1:$BQ$224,_xlfn.XMATCH(AG$1,'UN Treasury'!$A$1:$BQ$1,-1,1),FALSE)</f>
        <v>3.9689999999999999</v>
      </c>
      <c r="AH106">
        <f>VLOOKUP($A106,'UN Treasury'!$A$1:$BQ$224,_xlfn.XMATCH(AH$1,'UN Treasury'!$A$1:$BQ$1,-1,1),FALSE)</f>
        <v>4.0060000000000002</v>
      </c>
      <c r="AI106">
        <f>VLOOKUP($A106,'UN Treasury'!$A$1:$BQ$224,_xlfn.XMATCH(AI$1,'UN Treasury'!$A$1:$BQ$1,-1,1),FALSE)</f>
        <v>4.1459999999999999</v>
      </c>
      <c r="AJ106">
        <f>VLOOKUP($A106,'UN Treasury'!$A$1:$BQ$224,_xlfn.XMATCH(AJ$1,'UN Treasury'!$A$1:$BQ$1,-1,1),FALSE)</f>
        <v>4.2539999999999996</v>
      </c>
      <c r="AK106">
        <f>VLOOKUP($A106,'UN Treasury'!$A$1:$BQ$224,_xlfn.XMATCH(AK$1,'UN Treasury'!$A$1:$BQ$1,-1,1),FALSE)</f>
        <v>4.2939999999999996</v>
      </c>
      <c r="AL106">
        <f>VLOOKUP($A106,'UN Treasury'!$A$1:$BQ$224,_xlfn.XMATCH(AL$1,'UN Treasury'!$A$1:$BQ$1,-1,1),FALSE)</f>
        <v>4.0540000000000003</v>
      </c>
      <c r="AM106">
        <f>VLOOKUP($A106,'UN Treasury'!$A$1:$BQ$224,_xlfn.XMATCH(AM$1,'UN Treasury'!$A$1:$BQ$1,-1,1),FALSE)</f>
        <v>4.0049999999999999</v>
      </c>
      <c r="AN106">
        <f>VLOOKUP($A106,'UN Treasury'!$A$1:$BQ$224,_xlfn.XMATCH(AN$1,'UN Treasury'!$A$1:$BQ$1,-1,1),FALSE)</f>
        <v>4.1550000000000002</v>
      </c>
      <c r="AO106">
        <f>VLOOKUP($A106,'UN Treasury'!$A$1:$BQ$224,_xlfn.XMATCH(AO$1,'UN Treasury'!$A$1:$BQ$1,-1,1),FALSE)</f>
        <v>4.1550000000000002</v>
      </c>
      <c r="AP106">
        <f>VLOOKUP($A106,'UN Treasury'!$A$1:$BQ$224,_xlfn.XMATCH(AP$1,'UN Treasury'!$A$1:$BQ$1,-1,1),FALSE)</f>
        <v>4.2469999999999999</v>
      </c>
      <c r="AQ106">
        <f>VLOOKUP($A106,'UN Treasury'!$A$1:$BQ$224,_xlfn.XMATCH(AQ$1,'UN Treasury'!$A$1:$BQ$1,-1,1),FALSE)</f>
        <v>4.3730000000000002</v>
      </c>
      <c r="AR106">
        <f>VLOOKUP($A106,'UN Treasury'!$A$1:$BQ$224,_xlfn.XMATCH(AR$1,'UN Treasury'!$A$1:$BQ$1,-1,1),FALSE)</f>
        <v>4.4640000000000004</v>
      </c>
      <c r="AS106">
        <f>VLOOKUP($A106,'UN Treasury'!$A$1:$BQ$224,_xlfn.XMATCH(AS$1,'UN Treasury'!$A$1:$BQ$1,-1,1),FALSE)</f>
        <v>4.3470000000000004</v>
      </c>
      <c r="AT106">
        <f>VLOOKUP($A106,'UN Treasury'!$A$1:$BQ$224,_xlfn.XMATCH(AT$1,'UN Treasury'!$A$1:$BQ$1,-1,1),FALSE)</f>
        <v>4.4020000000000001</v>
      </c>
      <c r="AU106">
        <f>VLOOKUP($A106,'UN Treasury'!$A$1:$BQ$224,_xlfn.XMATCH(AU$1,'UN Treasury'!$A$1:$BQ$1,-1,1),FALSE)</f>
        <v>4.5490000000000004</v>
      </c>
      <c r="AV106">
        <f>VLOOKUP($A106,'UN Treasury'!$A$1:$BQ$224,_xlfn.XMATCH(AV$1,'UN Treasury'!$A$1:$BQ$1,-1,1),FALSE)</f>
        <v>5</v>
      </c>
      <c r="AW106">
        <f>VLOOKUP($A106,'UN Treasury'!$A$1:$BQ$224,_xlfn.XMATCH(AW$1,'UN Treasury'!$A$1:$BQ$1,-1,1),FALSE)</f>
        <v>4.6959999999999997</v>
      </c>
      <c r="AX106">
        <f>VLOOKUP($A106,'UN Treasury'!$A$1:$BQ$224,_xlfn.XMATCH(AX$1,'UN Treasury'!$A$1:$BQ$1,-1,1),FALSE)</f>
        <v>4.516</v>
      </c>
      <c r="AY106">
        <f>VLOOKUP($A106,'UN Treasury'!$A$1:$BQ$224,_xlfn.XMATCH(AY$1,'UN Treasury'!$A$1:$BQ$1,-1,1),FALSE)</f>
        <v>4.806</v>
      </c>
      <c r="AZ106">
        <f>VLOOKUP($A106,'UN Treasury'!$A$1:$BQ$224,_xlfn.XMATCH(AZ$1,'UN Treasury'!$A$1:$BQ$1,-1,1),FALSE)</f>
        <v>4.4539999999999997</v>
      </c>
      <c r="BA106">
        <f>VLOOKUP($A106,'UN Treasury'!$A$1:$BQ$224,_xlfn.XMATCH(BA$1,'UN Treasury'!$A$1:$BQ$1,-1,1),FALSE)</f>
        <v>4.4160000000000004</v>
      </c>
      <c r="BB106">
        <f>VLOOKUP($A106,'UN Treasury'!$A$1:$BQ$224,_xlfn.XMATCH(BB$1,'UN Treasury'!$A$1:$BQ$1,-1,1),FALSE)</f>
        <v>4.2750000000000004</v>
      </c>
      <c r="BC106">
        <f>VLOOKUP($A106,'UN Treasury'!$A$1:$BQ$224,_xlfn.XMATCH(BC$1,'UN Treasury'!$A$1:$BQ$1,-1,1),FALSE)</f>
        <v>4.367</v>
      </c>
      <c r="BD106">
        <f>VLOOKUP($A106,'UN Treasury'!$A$1:$BQ$224,_xlfn.XMATCH(BD$1,'UN Treasury'!$A$1:$BQ$1,-1,1),FALSE)</f>
        <v>3.9740000000000002</v>
      </c>
      <c r="BE106">
        <f>VLOOKUP($A106,'UN Treasury'!$A$1:$BQ$224,_xlfn.XMATCH(BE$1,'UN Treasury'!$A$1:$BQ$1,-1,1),FALSE)</f>
        <v>3.968</v>
      </c>
      <c r="BF106">
        <f>VLOOKUP($A106,'UN Treasury'!$A$1:$BQ$224,_xlfn.XMATCH(BF$1,'UN Treasury'!$A$1:$BQ$1,-1,1),FALSE)</f>
        <v>4.16</v>
      </c>
      <c r="BG106">
        <f>VLOOKUP($A106,'UN Treasury'!$A$1:$BQ$224,_xlfn.XMATCH(BG$1,'UN Treasury'!$A$1:$BQ$1,-1,1),FALSE)</f>
        <v>3.964</v>
      </c>
      <c r="BH106">
        <f>VLOOKUP($A106,'UN Treasury'!$A$1:$BQ$224,_xlfn.XMATCH(BH$1,'UN Treasury'!$A$1:$BQ$1,-1,1),FALSE)</f>
        <v>3.984</v>
      </c>
      <c r="BI106">
        <f>VLOOKUP($A106,'UN Treasury'!$A$1:$BQ$224,_xlfn.XMATCH(BI$1,'UN Treasury'!$A$1:$BQ$1,-1,1),FALSE)</f>
        <v>3.8740000000000001</v>
      </c>
      <c r="BJ106">
        <f>VLOOKUP($A106,'UN Treasury'!$A$1:$BQ$224,_xlfn.XMATCH(BJ$1,'UN Treasury'!$A$1:$BQ$1,-1,1),FALSE)</f>
        <v>3.8490000000000002</v>
      </c>
      <c r="BK106">
        <f>VLOOKUP($A106,'UN Treasury'!$A$1:$BQ$224,_xlfn.XMATCH(BK$1,'UN Treasury'!$A$1:$BQ$1,-1,1),FALSE)</f>
        <v>3.7730000000000001</v>
      </c>
      <c r="BL106">
        <f>VLOOKUP($A106,'UN Treasury'!$A$1:$BQ$224,_xlfn.XMATCH(BL$1,'UN Treasury'!$A$1:$BQ$1,-1,1),FALSE)</f>
        <v>3.677</v>
      </c>
      <c r="BM106">
        <f>VLOOKUP($A106,'UN Treasury'!$A$1:$BQ$224,_xlfn.XMATCH(BM$1,'UN Treasury'!$A$1:$BQ$1,-1,1),FALSE)</f>
        <v>3.774</v>
      </c>
      <c r="BN106">
        <f>VLOOKUP($A106,'UN Treasury'!$A$1:$BQ$224,_xlfn.XMATCH(BN$1,'UN Treasury'!$A$1:$BQ$1,-1,1),FALSE)</f>
        <v>3.9729999999999999</v>
      </c>
      <c r="BO106">
        <f>VLOOKUP($A106,'UN Treasury'!$A$1:$BQ$224,_xlfn.XMATCH(BO$1,'UN Treasury'!$A$1:$BQ$1,-1,1),FALSE)</f>
        <v>3.6829999999999998</v>
      </c>
      <c r="BP106">
        <f>VLOOKUP($A106,'UN Treasury'!$A$1:$BQ$224,_xlfn.XMATCH(BP$1,'UN Treasury'!$A$1:$BQ$1,-1,1),FALSE)</f>
        <v>3.7469999999999999</v>
      </c>
      <c r="BQ106">
        <f>VLOOKUP($A106,'UN Treasury'!$A$1:$BQ$224,_xlfn.XMATCH(BQ$1,'UN Treasury'!$A$1:$BQ$1,-1,1),FALSE)</f>
        <v>3.7069999999999999</v>
      </c>
    </row>
    <row r="107" spans="1:69" x14ac:dyDescent="0.25">
      <c r="A107" t="s">
        <v>233</v>
      </c>
      <c r="B107">
        <f>VLOOKUP($A107,'UN Treasury'!$A$1:$BQ$224,_xlfn.XMATCH(B$1,'UN Treasury'!$A$1:$BQ$1,-1,1),FALSE)</f>
        <v>5967.9</v>
      </c>
      <c r="C107">
        <f>VLOOKUP($A107,'UN Treasury'!$A$1:$BQ$224,_xlfn.XMATCH(C$1,'UN Treasury'!$A$1:$BQ$1,-1,1),FALSE)</f>
        <v>6060</v>
      </c>
      <c r="D107">
        <f>VLOOKUP($A107,'UN Treasury'!$A$1:$BQ$224,_xlfn.XMATCH(D$1,'UN Treasury'!$A$1:$BQ$1,-1,1),FALSE)</f>
        <v>6121.8</v>
      </c>
      <c r="E107">
        <f>VLOOKUP($A107,'UN Treasury'!$A$1:$BQ$224,_xlfn.XMATCH(E$1,'UN Treasury'!$A$1:$BQ$1,-1,1),FALSE)</f>
        <v>6106.8</v>
      </c>
      <c r="F107">
        <f>VLOOKUP($A107,'UN Treasury'!$A$1:$BQ$224,_xlfn.XMATCH(F$1,'UN Treasury'!$A$1:$BQ$1,-1,1),FALSE)</f>
        <v>6385</v>
      </c>
      <c r="G107">
        <f>VLOOKUP($A107,'UN Treasury'!$A$1:$BQ$224,_xlfn.XMATCH(G$1,'UN Treasury'!$A$1:$BQ$1,-1,1),FALSE)</f>
        <v>6435</v>
      </c>
      <c r="H107">
        <f>VLOOKUP($A107,'UN Treasury'!$A$1:$BQ$224,_xlfn.XMATCH(H$1,'UN Treasury'!$A$1:$BQ$1,-1,1),FALSE)</f>
        <v>6540</v>
      </c>
      <c r="I107">
        <f>VLOOKUP($A107,'UN Treasury'!$A$1:$BQ$224,_xlfn.XMATCH(I$1,'UN Treasury'!$A$1:$BQ$1,-1,1),FALSE)</f>
        <v>6769.4</v>
      </c>
      <c r="J107">
        <f>VLOOKUP($A107,'UN Treasury'!$A$1:$BQ$224,_xlfn.XMATCH(J$1,'UN Treasury'!$A$1:$BQ$1,-1,1),FALSE)</f>
        <v>6685</v>
      </c>
      <c r="K107">
        <f>VLOOKUP($A107,'UN Treasury'!$A$1:$BQ$224,_xlfn.XMATCH(K$1,'UN Treasury'!$A$1:$BQ$1,-1,1),FALSE)</f>
        <v>7025</v>
      </c>
      <c r="L107">
        <f>VLOOKUP($A107,'UN Treasury'!$A$1:$BQ$224,_xlfn.XMATCH(L$1,'UN Treasury'!$A$1:$BQ$1,-1,1),FALSE)</f>
        <v>7017.5</v>
      </c>
      <c r="M107">
        <f>VLOOKUP($A107,'UN Treasury'!$A$1:$BQ$224,_xlfn.XMATCH(M$1,'UN Treasury'!$A$1:$BQ$1,-1,1),FALSE)</f>
        <v>7143</v>
      </c>
      <c r="N107">
        <f>VLOOKUP($A107,'UN Treasury'!$A$1:$BQ$224,_xlfn.XMATCH(N$1,'UN Treasury'!$A$1:$BQ$1,-1,1),FALSE)</f>
        <v>7213</v>
      </c>
      <c r="O107">
        <f>VLOOKUP($A107,'UN Treasury'!$A$1:$BQ$224,_xlfn.XMATCH(O$1,'UN Treasury'!$A$1:$BQ$1,-1,1),FALSE)</f>
        <v>7657</v>
      </c>
      <c r="P107">
        <f>VLOOKUP($A107,'UN Treasury'!$A$1:$BQ$224,_xlfn.XMATCH(P$1,'UN Treasury'!$A$1:$BQ$1,-1,1),FALSE)</f>
        <v>7979</v>
      </c>
      <c r="Q107">
        <f>VLOOKUP($A107,'UN Treasury'!$A$1:$BQ$224,_xlfn.XMATCH(Q$1,'UN Treasury'!$A$1:$BQ$1,-1,1),FALSE)</f>
        <v>7980</v>
      </c>
      <c r="R107">
        <f>VLOOKUP($A107,'UN Treasury'!$A$1:$BQ$224,_xlfn.XMATCH(R$1,'UN Treasury'!$A$1:$BQ$1,-1,1),FALSE)</f>
        <v>7995</v>
      </c>
      <c r="S107">
        <f>VLOOKUP($A107,'UN Treasury'!$A$1:$BQ$224,_xlfn.XMATCH(S$1,'UN Treasury'!$A$1:$BQ$1,-1,1),FALSE)</f>
        <v>7932</v>
      </c>
      <c r="T107">
        <f>VLOOKUP($A107,'UN Treasury'!$A$1:$BQ$224,_xlfn.XMATCH(T$1,'UN Treasury'!$A$1:$BQ$1,-1,1),FALSE)</f>
        <v>7867</v>
      </c>
      <c r="U107">
        <f>VLOOKUP($A107,'UN Treasury'!$A$1:$BQ$224,_xlfn.XMATCH(U$1,'UN Treasury'!$A$1:$BQ$1,-1,1),FALSE)</f>
        <v>7882</v>
      </c>
      <c r="V107">
        <f>VLOOKUP($A107,'UN Treasury'!$A$1:$BQ$224,_xlfn.XMATCH(V$1,'UN Treasury'!$A$1:$BQ$1,-1,1),FALSE)</f>
        <v>7821</v>
      </c>
      <c r="W107">
        <f>VLOOKUP($A107,'UN Treasury'!$A$1:$BQ$224,_xlfn.XMATCH(W$1,'UN Treasury'!$A$1:$BQ$1,-1,1),FALSE)</f>
        <v>7808</v>
      </c>
      <c r="X107">
        <f>VLOOKUP($A107,'UN Treasury'!$A$1:$BQ$224,_xlfn.XMATCH(X$1,'UN Treasury'!$A$1:$BQ$1,-1,1),FALSE)</f>
        <v>7811</v>
      </c>
      <c r="Y107">
        <f>VLOOKUP($A107,'UN Treasury'!$A$1:$BQ$224,_xlfn.XMATCH(Y$1,'UN Treasury'!$A$1:$BQ$1,-1,1),FALSE)</f>
        <v>7725</v>
      </c>
      <c r="Z107">
        <f>VLOOKUP($A107,'UN Treasury'!$A$1:$BQ$224,_xlfn.XMATCH(Z$1,'UN Treasury'!$A$1:$BQ$1,-1,1),FALSE)</f>
        <v>7560</v>
      </c>
      <c r="AA107">
        <f>VLOOKUP($A107,'UN Treasury'!$A$1:$BQ$224,_xlfn.XMATCH(AA$1,'UN Treasury'!$A$1:$BQ$1,-1,1),FALSE)</f>
        <v>7530</v>
      </c>
      <c r="AB107">
        <f>VLOOKUP($A107,'UN Treasury'!$A$1:$BQ$224,_xlfn.XMATCH(AB$1,'UN Treasury'!$A$1:$BQ$1,-1,1),FALSE)</f>
        <v>7513</v>
      </c>
      <c r="AC107">
        <f>VLOOKUP($A107,'UN Treasury'!$A$1:$BQ$224,_xlfn.XMATCH(AC$1,'UN Treasury'!$A$1:$BQ$1,-1,1),FALSE)</f>
        <v>7494</v>
      </c>
      <c r="AD107">
        <f>VLOOKUP($A107,'UN Treasury'!$A$1:$BQ$224,_xlfn.XMATCH(AD$1,'UN Treasury'!$A$1:$BQ$1,-1,1),FALSE)</f>
        <v>7385</v>
      </c>
      <c r="AE107">
        <f>VLOOKUP($A107,'UN Treasury'!$A$1:$BQ$224,_xlfn.XMATCH(AE$1,'UN Treasury'!$A$1:$BQ$1,-1,1),FALSE)</f>
        <v>7293</v>
      </c>
      <c r="AF107">
        <f>VLOOKUP($A107,'UN Treasury'!$A$1:$BQ$224,_xlfn.XMATCH(AF$1,'UN Treasury'!$A$1:$BQ$1,-1,1),FALSE)</f>
        <v>7278</v>
      </c>
      <c r="AG107">
        <f>VLOOKUP($A107,'UN Treasury'!$A$1:$BQ$224,_xlfn.XMATCH(AG$1,'UN Treasury'!$A$1:$BQ$1,-1,1),FALSE)</f>
        <v>7272</v>
      </c>
      <c r="AH107">
        <f>VLOOKUP($A107,'UN Treasury'!$A$1:$BQ$224,_xlfn.XMATCH(AH$1,'UN Treasury'!$A$1:$BQ$1,-1,1),FALSE)</f>
        <v>7321</v>
      </c>
      <c r="AI107">
        <f>VLOOKUP($A107,'UN Treasury'!$A$1:$BQ$224,_xlfn.XMATCH(AI$1,'UN Treasury'!$A$1:$BQ$1,-1,1),FALSE)</f>
        <v>7440</v>
      </c>
      <c r="AJ107">
        <f>VLOOKUP($A107,'UN Treasury'!$A$1:$BQ$224,_xlfn.XMATCH(AJ$1,'UN Treasury'!$A$1:$BQ$1,-1,1),FALSE)</f>
        <v>7318</v>
      </c>
      <c r="AK107">
        <f>VLOOKUP($A107,'UN Treasury'!$A$1:$BQ$224,_xlfn.XMATCH(AK$1,'UN Treasury'!$A$1:$BQ$1,-1,1),FALSE)</f>
        <v>7273</v>
      </c>
      <c r="AL107">
        <f>VLOOKUP($A107,'UN Treasury'!$A$1:$BQ$224,_xlfn.XMATCH(AL$1,'UN Treasury'!$A$1:$BQ$1,-1,1),FALSE)</f>
        <v>7272</v>
      </c>
      <c r="AM107">
        <f>VLOOKUP($A107,'UN Treasury'!$A$1:$BQ$224,_xlfn.XMATCH(AM$1,'UN Treasury'!$A$1:$BQ$1,-1,1),FALSE)</f>
        <v>7258</v>
      </c>
      <c r="AN107">
        <f>VLOOKUP($A107,'UN Treasury'!$A$1:$BQ$224,_xlfn.XMATCH(AN$1,'UN Treasury'!$A$1:$BQ$1,-1,1),FALSE)</f>
        <v>7237</v>
      </c>
      <c r="AO107">
        <f>VLOOKUP($A107,'UN Treasury'!$A$1:$BQ$224,_xlfn.XMATCH(AO$1,'UN Treasury'!$A$1:$BQ$1,-1,1),FALSE)</f>
        <v>7195</v>
      </c>
      <c r="AP107">
        <f>VLOOKUP($A107,'UN Treasury'!$A$1:$BQ$224,_xlfn.XMATCH(AP$1,'UN Treasury'!$A$1:$BQ$1,-1,1),FALSE)</f>
        <v>7155</v>
      </c>
      <c r="AQ107">
        <f>VLOOKUP($A107,'UN Treasury'!$A$1:$BQ$224,_xlfn.XMATCH(AQ$1,'UN Treasury'!$A$1:$BQ$1,-1,1),FALSE)</f>
        <v>7189</v>
      </c>
      <c r="AR107">
        <f>VLOOKUP($A107,'UN Treasury'!$A$1:$BQ$224,_xlfn.XMATCH(AR$1,'UN Treasury'!$A$1:$BQ$1,-1,1),FALSE)</f>
        <v>7280</v>
      </c>
      <c r="AS107">
        <f>VLOOKUP($A107,'UN Treasury'!$A$1:$BQ$224,_xlfn.XMATCH(AS$1,'UN Treasury'!$A$1:$BQ$1,-1,1),FALSE)</f>
        <v>7379</v>
      </c>
      <c r="AT107">
        <f>VLOOKUP($A107,'UN Treasury'!$A$1:$BQ$224,_xlfn.XMATCH(AT$1,'UN Treasury'!$A$1:$BQ$1,-1,1),FALSE)</f>
        <v>7160</v>
      </c>
      <c r="AU107">
        <f>VLOOKUP($A107,'UN Treasury'!$A$1:$BQ$224,_xlfn.XMATCH(AU$1,'UN Treasury'!$A$1:$BQ$1,-1,1),FALSE)</f>
        <v>7017</v>
      </c>
      <c r="AV107">
        <f>VLOOKUP($A107,'UN Treasury'!$A$1:$BQ$224,_xlfn.XMATCH(AV$1,'UN Treasury'!$A$1:$BQ$1,-1,1),FALSE)</f>
        <v>7105</v>
      </c>
      <c r="AW107">
        <f>VLOOKUP($A107,'UN Treasury'!$A$1:$BQ$224,_xlfn.XMATCH(AW$1,'UN Treasury'!$A$1:$BQ$1,-1,1),FALSE)</f>
        <v>6910</v>
      </c>
      <c r="AX107">
        <f>VLOOKUP($A107,'UN Treasury'!$A$1:$BQ$224,_xlfn.XMATCH(AX$1,'UN Treasury'!$A$1:$BQ$1,-1,1),FALSE)</f>
        <v>6870</v>
      </c>
      <c r="AY107">
        <f>VLOOKUP($A107,'UN Treasury'!$A$1:$BQ$224,_xlfn.XMATCH(AY$1,'UN Treasury'!$A$1:$BQ$1,-1,1),FALSE)</f>
        <v>6850</v>
      </c>
      <c r="AZ107">
        <f>VLOOKUP($A107,'UN Treasury'!$A$1:$BQ$224,_xlfn.XMATCH(AZ$1,'UN Treasury'!$A$1:$BQ$1,-1,1),FALSE)</f>
        <v>6847</v>
      </c>
      <c r="BA107">
        <f>VLOOKUP($A107,'UN Treasury'!$A$1:$BQ$224,_xlfn.XMATCH(BA$1,'UN Treasury'!$A$1:$BQ$1,-1,1),FALSE)</f>
        <v>6865</v>
      </c>
      <c r="BB107">
        <f>VLOOKUP($A107,'UN Treasury'!$A$1:$BQ$224,_xlfn.XMATCH(BB$1,'UN Treasury'!$A$1:$BQ$1,-1,1),FALSE)</f>
        <v>6776</v>
      </c>
      <c r="BC107">
        <f>VLOOKUP($A107,'UN Treasury'!$A$1:$BQ$224,_xlfn.XMATCH(BC$1,'UN Treasury'!$A$1:$BQ$1,-1,1),FALSE)</f>
        <v>6933</v>
      </c>
      <c r="BD107">
        <f>VLOOKUP($A107,'UN Treasury'!$A$1:$BQ$224,_xlfn.XMATCH(BD$1,'UN Treasury'!$A$1:$BQ$1,-1,1),FALSE)</f>
        <v>6925</v>
      </c>
      <c r="BE107">
        <f>VLOOKUP($A107,'UN Treasury'!$A$1:$BQ$224,_xlfn.XMATCH(BE$1,'UN Treasury'!$A$1:$BQ$1,-1,1),FALSE)</f>
        <v>6945</v>
      </c>
      <c r="BF107">
        <f>VLOOKUP($A107,'UN Treasury'!$A$1:$BQ$224,_xlfn.XMATCH(BF$1,'UN Treasury'!$A$1:$BQ$1,-1,1),FALSE)</f>
        <v>6820</v>
      </c>
      <c r="BG107">
        <f>VLOOKUP($A107,'UN Treasury'!$A$1:$BQ$224,_xlfn.XMATCH(BG$1,'UN Treasury'!$A$1:$BQ$1,-1,1),FALSE)</f>
        <v>6905</v>
      </c>
      <c r="BH107">
        <f>VLOOKUP($A107,'UN Treasury'!$A$1:$BQ$224,_xlfn.XMATCH(BH$1,'UN Treasury'!$A$1:$BQ$1,-1,1),FALSE)</f>
        <v>6871</v>
      </c>
      <c r="BI107">
        <f>VLOOKUP($A107,'UN Treasury'!$A$1:$BQ$224,_xlfn.XMATCH(BI$1,'UN Treasury'!$A$1:$BQ$1,-1,1),FALSE)</f>
        <v>6912</v>
      </c>
      <c r="BJ107">
        <f>VLOOKUP($A107,'UN Treasury'!$A$1:$BQ$224,_xlfn.XMATCH(BJ$1,'UN Treasury'!$A$1:$BQ$1,-1,1),FALSE)</f>
        <v>6902</v>
      </c>
      <c r="BK107">
        <f>VLOOKUP($A107,'UN Treasury'!$A$1:$BQ$224,_xlfn.XMATCH(BK$1,'UN Treasury'!$A$1:$BQ$1,-1,1),FALSE)</f>
        <v>6720</v>
      </c>
      <c r="BL107">
        <f>VLOOKUP($A107,'UN Treasury'!$A$1:$BQ$224,_xlfn.XMATCH(BL$1,'UN Treasury'!$A$1:$BQ$1,-1,1),FALSE)</f>
        <v>6752</v>
      </c>
      <c r="BM107">
        <f>VLOOKUP($A107,'UN Treasury'!$A$1:$BQ$224,_xlfn.XMATCH(BM$1,'UN Treasury'!$A$1:$BQ$1,-1,1),FALSE)</f>
        <v>6540</v>
      </c>
      <c r="BN107">
        <f>VLOOKUP($A107,'UN Treasury'!$A$1:$BQ$224,_xlfn.XMATCH(BN$1,'UN Treasury'!$A$1:$BQ$1,-1,1),FALSE)</f>
        <v>6263</v>
      </c>
      <c r="BO107">
        <f>VLOOKUP($A107,'UN Treasury'!$A$1:$BQ$224,_xlfn.XMATCH(BO$1,'UN Treasury'!$A$1:$BQ$1,-1,1),FALSE)</f>
        <v>6610</v>
      </c>
      <c r="BP107">
        <f>VLOOKUP($A107,'UN Treasury'!$A$1:$BQ$224,_xlfn.XMATCH(BP$1,'UN Treasury'!$A$1:$BQ$1,-1,1),FALSE)</f>
        <v>6959</v>
      </c>
      <c r="BQ107">
        <f>VLOOKUP($A107,'UN Treasury'!$A$1:$BQ$224,_xlfn.XMATCH(BQ$1,'UN Treasury'!$A$1:$BQ$1,-1,1),FALSE)</f>
        <v>6787</v>
      </c>
    </row>
    <row r="108" spans="1:69" x14ac:dyDescent="0.25">
      <c r="A108" t="s">
        <v>235</v>
      </c>
      <c r="B108">
        <f>VLOOKUP($A108,'UN Treasury'!$A$1:$BQ$224,_xlfn.XMATCH(B$1,'UN Treasury'!$A$1:$BQ$1,-1,1),FALSE)</f>
        <v>3.641</v>
      </c>
      <c r="C108">
        <f>VLOOKUP($A108,'UN Treasury'!$A$1:$BQ$224,_xlfn.XMATCH(C$1,'UN Treasury'!$A$1:$BQ$1,-1,1),FALSE)</f>
        <v>3.641</v>
      </c>
      <c r="D108">
        <f>VLOOKUP($A108,'UN Treasury'!$A$1:$BQ$224,_xlfn.XMATCH(D$1,'UN Treasury'!$A$1:$BQ$1,-1,1),FALSE)</f>
        <v>3.641</v>
      </c>
      <c r="E108">
        <f>VLOOKUP($A108,'UN Treasury'!$A$1:$BQ$224,_xlfn.XMATCH(E$1,'UN Treasury'!$A$1:$BQ$1,-1,1),FALSE)</f>
        <v>3.641</v>
      </c>
      <c r="F108">
        <f>VLOOKUP($A108,'UN Treasury'!$A$1:$BQ$224,_xlfn.XMATCH(F$1,'UN Treasury'!$A$1:$BQ$1,-1,1),FALSE)</f>
        <v>3.645</v>
      </c>
      <c r="G108">
        <f>VLOOKUP($A108,'UN Treasury'!$A$1:$BQ$224,_xlfn.XMATCH(G$1,'UN Treasury'!$A$1:$BQ$1,-1,1),FALSE)</f>
        <v>3.6459999999999999</v>
      </c>
      <c r="H108">
        <f>VLOOKUP($A108,'UN Treasury'!$A$1:$BQ$224,_xlfn.XMATCH(H$1,'UN Treasury'!$A$1:$BQ$1,-1,1),FALSE)</f>
        <v>3.6459999999999999</v>
      </c>
      <c r="I108">
        <f>VLOOKUP($A108,'UN Treasury'!$A$1:$BQ$224,_xlfn.XMATCH(I$1,'UN Treasury'!$A$1:$BQ$1,-1,1),FALSE)</f>
        <v>3.6469999999999998</v>
      </c>
      <c r="J108">
        <f>VLOOKUP($A108,'UN Treasury'!$A$1:$BQ$224,_xlfn.XMATCH(J$1,'UN Treasury'!$A$1:$BQ$1,-1,1),FALSE)</f>
        <v>3.6440000000000001</v>
      </c>
      <c r="K108">
        <f>VLOOKUP($A108,'UN Treasury'!$A$1:$BQ$224,_xlfn.XMATCH(K$1,'UN Treasury'!$A$1:$BQ$1,-1,1),FALSE)</f>
        <v>3.645</v>
      </c>
      <c r="L108">
        <f>VLOOKUP($A108,'UN Treasury'!$A$1:$BQ$224,_xlfn.XMATCH(L$1,'UN Treasury'!$A$1:$BQ$1,-1,1),FALSE)</f>
        <v>3.645</v>
      </c>
      <c r="M108">
        <f>VLOOKUP($A108,'UN Treasury'!$A$1:$BQ$224,_xlfn.XMATCH(M$1,'UN Treasury'!$A$1:$BQ$1,-1,1),FALSE)</f>
        <v>3.645</v>
      </c>
      <c r="N108">
        <f>VLOOKUP($A108,'UN Treasury'!$A$1:$BQ$224,_xlfn.XMATCH(N$1,'UN Treasury'!$A$1:$BQ$1,-1,1),FALSE)</f>
        <v>3.6440000000000001</v>
      </c>
      <c r="O108">
        <f>VLOOKUP($A108,'UN Treasury'!$A$1:$BQ$224,_xlfn.XMATCH(O$1,'UN Treasury'!$A$1:$BQ$1,-1,1),FALSE)</f>
        <v>3.645</v>
      </c>
      <c r="P108">
        <f>VLOOKUP($A108,'UN Treasury'!$A$1:$BQ$224,_xlfn.XMATCH(P$1,'UN Treasury'!$A$1:$BQ$1,-1,1),FALSE)</f>
        <v>3.645</v>
      </c>
      <c r="Q108">
        <f>VLOOKUP($A108,'UN Treasury'!$A$1:$BQ$224,_xlfn.XMATCH(Q$1,'UN Treasury'!$A$1:$BQ$1,-1,1),FALSE)</f>
        <v>3.645</v>
      </c>
      <c r="R108">
        <f>VLOOKUP($A108,'UN Treasury'!$A$1:$BQ$224,_xlfn.XMATCH(R$1,'UN Treasury'!$A$1:$BQ$1,-1,1),FALSE)</f>
        <v>3.645</v>
      </c>
      <c r="S108">
        <f>VLOOKUP($A108,'UN Treasury'!$A$1:$BQ$224,_xlfn.XMATCH(S$1,'UN Treasury'!$A$1:$BQ$1,-1,1),FALSE)</f>
        <v>3.645</v>
      </c>
      <c r="T108">
        <f>VLOOKUP($A108,'UN Treasury'!$A$1:$BQ$224,_xlfn.XMATCH(T$1,'UN Treasury'!$A$1:$BQ$1,-1,1),FALSE)</f>
        <v>3.645</v>
      </c>
      <c r="U108">
        <f>VLOOKUP($A108,'UN Treasury'!$A$1:$BQ$224,_xlfn.XMATCH(U$1,'UN Treasury'!$A$1:$BQ$1,-1,1),FALSE)</f>
        <v>3.645</v>
      </c>
      <c r="V108">
        <f>VLOOKUP($A108,'UN Treasury'!$A$1:$BQ$224,_xlfn.XMATCH(V$1,'UN Treasury'!$A$1:$BQ$1,-1,1),FALSE)</f>
        <v>3.645</v>
      </c>
      <c r="W108">
        <f>VLOOKUP($A108,'UN Treasury'!$A$1:$BQ$224,_xlfn.XMATCH(W$1,'UN Treasury'!$A$1:$BQ$1,-1,1),FALSE)</f>
        <v>3.645</v>
      </c>
      <c r="X108">
        <f>VLOOKUP($A108,'UN Treasury'!$A$1:$BQ$224,_xlfn.XMATCH(X$1,'UN Treasury'!$A$1:$BQ$1,-1,1),FALSE)</f>
        <v>3.645</v>
      </c>
      <c r="Y108">
        <f>VLOOKUP($A108,'UN Treasury'!$A$1:$BQ$224,_xlfn.XMATCH(Y$1,'UN Treasury'!$A$1:$BQ$1,-1,1),FALSE)</f>
        <v>3.645</v>
      </c>
      <c r="Z108">
        <f>VLOOKUP($A108,'UN Treasury'!$A$1:$BQ$224,_xlfn.XMATCH(Z$1,'UN Treasury'!$A$1:$BQ$1,-1,1),FALSE)</f>
        <v>3.6469999999999998</v>
      </c>
      <c r="AA108">
        <f>VLOOKUP($A108,'UN Treasury'!$A$1:$BQ$224,_xlfn.XMATCH(AA$1,'UN Treasury'!$A$1:$BQ$1,-1,1),FALSE)</f>
        <v>3.6459999999999999</v>
      </c>
      <c r="AB108">
        <f>VLOOKUP($A108,'UN Treasury'!$A$1:$BQ$224,_xlfn.XMATCH(AB$1,'UN Treasury'!$A$1:$BQ$1,-1,1),FALSE)</f>
        <v>3.645</v>
      </c>
      <c r="AC108">
        <f>VLOOKUP($A108,'UN Treasury'!$A$1:$BQ$224,_xlfn.XMATCH(AC$1,'UN Treasury'!$A$1:$BQ$1,-1,1),FALSE)</f>
        <v>3.6459999999999999</v>
      </c>
      <c r="AD108">
        <f>VLOOKUP($A108,'UN Treasury'!$A$1:$BQ$224,_xlfn.XMATCH(AD$1,'UN Treasury'!$A$1:$BQ$1,-1,1),FALSE)</f>
        <v>3.645</v>
      </c>
      <c r="AE108">
        <f>VLOOKUP($A108,'UN Treasury'!$A$1:$BQ$224,_xlfn.XMATCH(AE$1,'UN Treasury'!$A$1:$BQ$1,-1,1),FALSE)</f>
        <v>3.6469999999999998</v>
      </c>
      <c r="AF108">
        <f>VLOOKUP($A108,'UN Treasury'!$A$1:$BQ$224,_xlfn.XMATCH(AF$1,'UN Treasury'!$A$1:$BQ$1,-1,1),FALSE)</f>
        <v>3.6419999999999999</v>
      </c>
      <c r="AG108">
        <f>VLOOKUP($A108,'UN Treasury'!$A$1:$BQ$224,_xlfn.XMATCH(AG$1,'UN Treasury'!$A$1:$BQ$1,-1,1),FALSE)</f>
        <v>3.645</v>
      </c>
      <c r="AH108">
        <f>VLOOKUP($A108,'UN Treasury'!$A$1:$BQ$224,_xlfn.XMATCH(AH$1,'UN Treasury'!$A$1:$BQ$1,-1,1),FALSE)</f>
        <v>3.6469999999999998</v>
      </c>
      <c r="AI108">
        <f>VLOOKUP($A108,'UN Treasury'!$A$1:$BQ$224,_xlfn.XMATCH(AI$1,'UN Treasury'!$A$1:$BQ$1,-1,1),FALSE)</f>
        <v>3.6480000000000001</v>
      </c>
      <c r="AJ108">
        <f>VLOOKUP($A108,'UN Treasury'!$A$1:$BQ$224,_xlfn.XMATCH(AJ$1,'UN Treasury'!$A$1:$BQ$1,-1,1),FALSE)</f>
        <v>3.6459999999999999</v>
      </c>
      <c r="AK108">
        <f>VLOOKUP($A108,'UN Treasury'!$A$1:$BQ$224,_xlfn.XMATCH(AK$1,'UN Treasury'!$A$1:$BQ$1,-1,1),FALSE)</f>
        <v>3.6469999999999998</v>
      </c>
      <c r="AL108">
        <f>VLOOKUP($A108,'UN Treasury'!$A$1:$BQ$224,_xlfn.XMATCH(AL$1,'UN Treasury'!$A$1:$BQ$1,-1,1),FALSE)</f>
        <v>3.6459999999999999</v>
      </c>
      <c r="AM108">
        <f>VLOOKUP($A108,'UN Treasury'!$A$1:$BQ$224,_xlfn.XMATCH(AM$1,'UN Treasury'!$A$1:$BQ$1,-1,1),FALSE)</f>
        <v>3.6459999999999999</v>
      </c>
      <c r="AN108">
        <f>VLOOKUP($A108,'UN Treasury'!$A$1:$BQ$224,_xlfn.XMATCH(AN$1,'UN Treasury'!$A$1:$BQ$1,-1,1),FALSE)</f>
        <v>3.6469999999999998</v>
      </c>
      <c r="AO108">
        <f>VLOOKUP($A108,'UN Treasury'!$A$1:$BQ$224,_xlfn.XMATCH(AO$1,'UN Treasury'!$A$1:$BQ$1,-1,1),FALSE)</f>
        <v>3.6480000000000001</v>
      </c>
      <c r="AP108">
        <f>VLOOKUP($A108,'UN Treasury'!$A$1:$BQ$224,_xlfn.XMATCH(AP$1,'UN Treasury'!$A$1:$BQ$1,-1,1),FALSE)</f>
        <v>3.6669999999999998</v>
      </c>
      <c r="AQ108">
        <f>VLOOKUP($A108,'UN Treasury'!$A$1:$BQ$224,_xlfn.XMATCH(AQ$1,'UN Treasury'!$A$1:$BQ$1,-1,1),FALSE)</f>
        <v>3.6549999999999998</v>
      </c>
      <c r="AR108">
        <f>VLOOKUP($A108,'UN Treasury'!$A$1:$BQ$224,_xlfn.XMATCH(AR$1,'UN Treasury'!$A$1:$BQ$1,-1,1),FALSE)</f>
        <v>3.641</v>
      </c>
      <c r="AS108">
        <f>VLOOKUP($A108,'UN Treasury'!$A$1:$BQ$224,_xlfn.XMATCH(AS$1,'UN Treasury'!$A$1:$BQ$1,-1,1),FALSE)</f>
        <v>3.641</v>
      </c>
      <c r="AT108">
        <f>VLOOKUP($A108,'UN Treasury'!$A$1:$BQ$224,_xlfn.XMATCH(AT$1,'UN Treasury'!$A$1:$BQ$1,-1,1),FALSE)</f>
        <v>3.6720000000000002</v>
      </c>
      <c r="AU108">
        <f>VLOOKUP($A108,'UN Treasury'!$A$1:$BQ$224,_xlfn.XMATCH(AU$1,'UN Treasury'!$A$1:$BQ$1,-1,1),FALSE)</f>
        <v>3.669</v>
      </c>
      <c r="AV108">
        <f>VLOOKUP($A108,'UN Treasury'!$A$1:$BQ$224,_xlfn.XMATCH(AV$1,'UN Treasury'!$A$1:$BQ$1,-1,1),FALSE)</f>
        <v>3.6789999999999998</v>
      </c>
      <c r="AW108">
        <f>VLOOKUP($A108,'UN Treasury'!$A$1:$BQ$224,_xlfn.XMATCH(AW$1,'UN Treasury'!$A$1:$BQ$1,-1,1),FALSE)</f>
        <v>3.641</v>
      </c>
      <c r="AX108">
        <f>VLOOKUP($A108,'UN Treasury'!$A$1:$BQ$224,_xlfn.XMATCH(AX$1,'UN Treasury'!$A$1:$BQ$1,-1,1),FALSE)</f>
        <v>3.6789999999999998</v>
      </c>
      <c r="AY108">
        <f>VLOOKUP($A108,'UN Treasury'!$A$1:$BQ$224,_xlfn.XMATCH(AY$1,'UN Treasury'!$A$1:$BQ$1,-1,1),FALSE)</f>
        <v>3.6760000000000002</v>
      </c>
      <c r="AZ108">
        <f>VLOOKUP($A108,'UN Treasury'!$A$1:$BQ$224,_xlfn.XMATCH(AZ$1,'UN Treasury'!$A$1:$BQ$1,-1,1),FALSE)</f>
        <v>3.66</v>
      </c>
      <c r="BA108">
        <f>VLOOKUP($A108,'UN Treasury'!$A$1:$BQ$224,_xlfn.XMATCH(BA$1,'UN Treasury'!$A$1:$BQ$1,-1,1),FALSE)</f>
        <v>3.6520000000000001</v>
      </c>
      <c r="BB108">
        <f>VLOOKUP($A108,'UN Treasury'!$A$1:$BQ$224,_xlfn.XMATCH(BB$1,'UN Treasury'!$A$1:$BQ$1,-1,1),FALSE)</f>
        <v>3.6549999999999998</v>
      </c>
      <c r="BC108">
        <f>VLOOKUP($A108,'UN Treasury'!$A$1:$BQ$224,_xlfn.XMATCH(BC$1,'UN Treasury'!$A$1:$BQ$1,-1,1),FALSE)</f>
        <v>3.649</v>
      </c>
      <c r="BD108">
        <f>VLOOKUP($A108,'UN Treasury'!$A$1:$BQ$224,_xlfn.XMATCH(BD$1,'UN Treasury'!$A$1:$BQ$1,-1,1),FALSE)</f>
        <v>3.649</v>
      </c>
      <c r="BE108">
        <f>VLOOKUP($A108,'UN Treasury'!$A$1:$BQ$224,_xlfn.XMATCH(BE$1,'UN Treasury'!$A$1:$BQ$1,-1,1),FALSE)</f>
        <v>3.6659999999999999</v>
      </c>
      <c r="BF108">
        <f>VLOOKUP($A108,'UN Treasury'!$A$1:$BQ$224,_xlfn.XMATCH(BF$1,'UN Treasury'!$A$1:$BQ$1,-1,1),FALSE)</f>
        <v>3.669</v>
      </c>
      <c r="BG108">
        <f>VLOOKUP($A108,'UN Treasury'!$A$1:$BQ$224,_xlfn.XMATCH(BG$1,'UN Treasury'!$A$1:$BQ$1,-1,1),FALSE)</f>
        <v>3.653</v>
      </c>
      <c r="BH108">
        <f>VLOOKUP($A108,'UN Treasury'!$A$1:$BQ$224,_xlfn.XMATCH(BH$1,'UN Treasury'!$A$1:$BQ$1,-1,1),FALSE)</f>
        <v>3.6720000000000002</v>
      </c>
      <c r="BI108">
        <f>VLOOKUP($A108,'UN Treasury'!$A$1:$BQ$224,_xlfn.XMATCH(BI$1,'UN Treasury'!$A$1:$BQ$1,-1,1),FALSE)</f>
        <v>3.694</v>
      </c>
      <c r="BJ108">
        <f>VLOOKUP($A108,'UN Treasury'!$A$1:$BQ$224,_xlfn.XMATCH(BJ$1,'UN Treasury'!$A$1:$BQ$1,-1,1),FALSE)</f>
        <v>3.6890000000000001</v>
      </c>
      <c r="BK108">
        <f>VLOOKUP($A108,'UN Treasury'!$A$1:$BQ$224,_xlfn.XMATCH(BK$1,'UN Treasury'!$A$1:$BQ$1,-1,1),FALSE)</f>
        <v>3.7</v>
      </c>
      <c r="BL108">
        <f>VLOOKUP($A108,'UN Treasury'!$A$1:$BQ$224,_xlfn.XMATCH(BL$1,'UN Treasury'!$A$1:$BQ$1,-1,1),FALSE)</f>
        <v>3.6829999999999998</v>
      </c>
      <c r="BM108">
        <f>VLOOKUP($A108,'UN Treasury'!$A$1:$BQ$224,_xlfn.XMATCH(BM$1,'UN Treasury'!$A$1:$BQ$1,-1,1),FALSE)</f>
        <v>3.6739999999999999</v>
      </c>
      <c r="BN108">
        <f>VLOOKUP($A108,'UN Treasury'!$A$1:$BQ$224,_xlfn.XMATCH(BN$1,'UN Treasury'!$A$1:$BQ$1,-1,1),FALSE)</f>
        <v>3.6739999999999999</v>
      </c>
      <c r="BO108">
        <f>VLOOKUP($A108,'UN Treasury'!$A$1:$BQ$224,_xlfn.XMATCH(BO$1,'UN Treasury'!$A$1:$BQ$1,-1,1),FALSE)</f>
        <v>3.67</v>
      </c>
      <c r="BP108">
        <f>VLOOKUP($A108,'UN Treasury'!$A$1:$BQ$224,_xlfn.XMATCH(BP$1,'UN Treasury'!$A$1:$BQ$1,-1,1),FALSE)</f>
        <v>3.653</v>
      </c>
      <c r="BQ108">
        <f>VLOOKUP($A108,'UN Treasury'!$A$1:$BQ$224,_xlfn.XMATCH(BQ$1,'UN Treasury'!$A$1:$BQ$1,-1,1),FALSE)</f>
        <v>3.6709999999999998</v>
      </c>
    </row>
    <row r="109" spans="1:69" x14ac:dyDescent="0.25">
      <c r="A109" t="s">
        <v>237</v>
      </c>
      <c r="B109">
        <f>VLOOKUP($A109,'UN Treasury'!$A$1:$BQ$224,_xlfn.XMATCH(B$1,'UN Treasury'!$A$1:$BQ$1,-1,1),FALSE)</f>
        <v>4.5430000000000001</v>
      </c>
      <c r="C109">
        <f>VLOOKUP($A109,'UN Treasury'!$A$1:$BQ$224,_xlfn.XMATCH(C$1,'UN Treasury'!$A$1:$BQ$1,-1,1),FALSE)</f>
        <v>4.5780000000000003</v>
      </c>
      <c r="D109">
        <f>VLOOKUP($A109,'UN Treasury'!$A$1:$BQ$224,_xlfn.XMATCH(D$1,'UN Treasury'!$A$1:$BQ$1,-1,1),FALSE)</f>
        <v>4.5460000000000003</v>
      </c>
      <c r="E109">
        <f>VLOOKUP($A109,'UN Treasury'!$A$1:$BQ$224,_xlfn.XMATCH(E$1,'UN Treasury'!$A$1:$BQ$1,-1,1),FALSE)</f>
        <v>4.4480000000000004</v>
      </c>
      <c r="F109">
        <f>VLOOKUP($A109,'UN Treasury'!$A$1:$BQ$224,_xlfn.XMATCH(F$1,'UN Treasury'!$A$1:$BQ$1,-1,1),FALSE)</f>
        <v>4.3479999999999999</v>
      </c>
      <c r="G109">
        <f>VLOOKUP($A109,'UN Treasury'!$A$1:$BQ$224,_xlfn.XMATCH(G$1,'UN Treasury'!$A$1:$BQ$1,-1,1),FALSE)</f>
        <v>4.4160000000000004</v>
      </c>
      <c r="H109">
        <f>VLOOKUP($A109,'UN Treasury'!$A$1:$BQ$224,_xlfn.XMATCH(H$1,'UN Treasury'!$A$1:$BQ$1,-1,1),FALSE)</f>
        <v>4.2830000000000004</v>
      </c>
      <c r="I109">
        <f>VLOOKUP($A109,'UN Treasury'!$A$1:$BQ$224,_xlfn.XMATCH(I$1,'UN Treasury'!$A$1:$BQ$1,-1,1),FALSE)</f>
        <v>4.3689999999999998</v>
      </c>
      <c r="J109">
        <f>VLOOKUP($A109,'UN Treasury'!$A$1:$BQ$224,_xlfn.XMATCH(J$1,'UN Treasury'!$A$1:$BQ$1,-1,1),FALSE)</f>
        <v>4.3330000000000002</v>
      </c>
      <c r="K109">
        <f>VLOOKUP($A109,'UN Treasury'!$A$1:$BQ$224,_xlfn.XMATCH(K$1,'UN Treasury'!$A$1:$BQ$1,-1,1),FALSE)</f>
        <v>4.3949999999999996</v>
      </c>
      <c r="L109">
        <f>VLOOKUP($A109,'UN Treasury'!$A$1:$BQ$224,_xlfn.XMATCH(L$1,'UN Treasury'!$A$1:$BQ$1,-1,1),FALSE)</f>
        <v>4.3959999999999999</v>
      </c>
      <c r="M109">
        <f>VLOOKUP($A109,'UN Treasury'!$A$1:$BQ$224,_xlfn.XMATCH(M$1,'UN Treasury'!$A$1:$BQ$1,-1,1),FALSE)</f>
        <v>4.3220000000000001</v>
      </c>
      <c r="N109">
        <f>VLOOKUP($A109,'UN Treasury'!$A$1:$BQ$224,_xlfn.XMATCH(N$1,'UN Treasury'!$A$1:$BQ$1,-1,1),FALSE)</f>
        <v>4.3239999999999998</v>
      </c>
      <c r="O109">
        <f>VLOOKUP($A109,'UN Treasury'!$A$1:$BQ$224,_xlfn.XMATCH(O$1,'UN Treasury'!$A$1:$BQ$1,-1,1),FALSE)</f>
        <v>4.3440000000000003</v>
      </c>
      <c r="P109">
        <f>VLOOKUP($A109,'UN Treasury'!$A$1:$BQ$224,_xlfn.XMATCH(P$1,'UN Treasury'!$A$1:$BQ$1,-1,1),FALSE)</f>
        <v>4.3819999999999997</v>
      </c>
      <c r="Q109">
        <f>VLOOKUP($A109,'UN Treasury'!$A$1:$BQ$224,_xlfn.XMATCH(Q$1,'UN Treasury'!$A$1:$BQ$1,-1,1),FALSE)</f>
        <v>4.5780000000000003</v>
      </c>
      <c r="R109">
        <f>VLOOKUP($A109,'UN Treasury'!$A$1:$BQ$224,_xlfn.XMATCH(R$1,'UN Treasury'!$A$1:$BQ$1,-1,1),FALSE)</f>
        <v>4.3789999999999996</v>
      </c>
      <c r="S109">
        <f>VLOOKUP($A109,'UN Treasury'!$A$1:$BQ$224,_xlfn.XMATCH(S$1,'UN Treasury'!$A$1:$BQ$1,-1,1),FALSE)</f>
        <v>4.569</v>
      </c>
      <c r="T109">
        <f>VLOOKUP($A109,'UN Treasury'!$A$1:$BQ$224,_xlfn.XMATCH(T$1,'UN Treasury'!$A$1:$BQ$1,-1,1),FALSE)</f>
        <v>4.8079999999999998</v>
      </c>
      <c r="U109">
        <f>VLOOKUP($A109,'UN Treasury'!$A$1:$BQ$224,_xlfn.XMATCH(U$1,'UN Treasury'!$A$1:$BQ$1,-1,1),FALSE)</f>
        <v>4.87</v>
      </c>
      <c r="V109">
        <f>VLOOKUP($A109,'UN Treasury'!$A$1:$BQ$224,_xlfn.XMATCH(V$1,'UN Treasury'!$A$1:$BQ$1,-1,1),FALSE)</f>
        <v>4.7300000000000004</v>
      </c>
      <c r="W109">
        <f>VLOOKUP($A109,'UN Treasury'!$A$1:$BQ$224,_xlfn.XMATCH(W$1,'UN Treasury'!$A$1:$BQ$1,-1,1),FALSE)</f>
        <v>4.6920000000000002</v>
      </c>
      <c r="X109">
        <f>VLOOKUP($A109,'UN Treasury'!$A$1:$BQ$224,_xlfn.XMATCH(X$1,'UN Treasury'!$A$1:$BQ$1,-1,1),FALSE)</f>
        <v>4.548</v>
      </c>
      <c r="Y109">
        <f>VLOOKUP($A109,'UN Treasury'!$A$1:$BQ$224,_xlfn.XMATCH(Y$1,'UN Treasury'!$A$1:$BQ$1,-1,1),FALSE)</f>
        <v>4.5119999999999996</v>
      </c>
      <c r="Z109">
        <f>VLOOKUP($A109,'UN Treasury'!$A$1:$BQ$224,_xlfn.XMATCH(Z$1,'UN Treasury'!$A$1:$BQ$1,-1,1),FALSE)</f>
        <v>4.54</v>
      </c>
      <c r="AA109">
        <f>VLOOKUP($A109,'UN Treasury'!$A$1:$BQ$224,_xlfn.XMATCH(AA$1,'UN Treasury'!$A$1:$BQ$1,-1,1),FALSE)</f>
        <v>4.5659999999999998</v>
      </c>
      <c r="AB109">
        <f>VLOOKUP($A109,'UN Treasury'!$A$1:$BQ$224,_xlfn.XMATCH(AB$1,'UN Treasury'!$A$1:$BQ$1,-1,1),FALSE)</f>
        <v>4.5919999999999996</v>
      </c>
      <c r="AC109">
        <f>VLOOKUP($A109,'UN Treasury'!$A$1:$BQ$224,_xlfn.XMATCH(AC$1,'UN Treasury'!$A$1:$BQ$1,-1,1),FALSE)</f>
        <v>4.6040000000000001</v>
      </c>
      <c r="AD109">
        <f>VLOOKUP($A109,'UN Treasury'!$A$1:$BQ$224,_xlfn.XMATCH(AD$1,'UN Treasury'!$A$1:$BQ$1,-1,1),FALSE)</f>
        <v>4.63</v>
      </c>
      <c r="AE109">
        <f>VLOOKUP($A109,'UN Treasury'!$A$1:$BQ$224,_xlfn.XMATCH(AE$1,'UN Treasury'!$A$1:$BQ$1,-1,1),FALSE)</f>
        <v>4.54</v>
      </c>
      <c r="AF109">
        <f>VLOOKUP($A109,'UN Treasury'!$A$1:$BQ$224,_xlfn.XMATCH(AF$1,'UN Treasury'!$A$1:$BQ$1,-1,1),FALSE)</f>
        <v>4.6390000000000002</v>
      </c>
      <c r="AG109">
        <f>VLOOKUP($A109,'UN Treasury'!$A$1:$BQ$224,_xlfn.XMATCH(AG$1,'UN Treasury'!$A$1:$BQ$1,-1,1),FALSE)</f>
        <v>4.5380000000000003</v>
      </c>
      <c r="AH109">
        <f>VLOOKUP($A109,'UN Treasury'!$A$1:$BQ$224,_xlfn.XMATCH(AH$1,'UN Treasury'!$A$1:$BQ$1,-1,1),FALSE)</f>
        <v>4.6070000000000002</v>
      </c>
      <c r="AI109">
        <f>VLOOKUP($A109,'UN Treasury'!$A$1:$BQ$224,_xlfn.XMATCH(AI$1,'UN Treasury'!$A$1:$BQ$1,-1,1),FALSE)</f>
        <v>4.657</v>
      </c>
      <c r="AJ109">
        <f>VLOOKUP($A109,'UN Treasury'!$A$1:$BQ$224,_xlfn.XMATCH(AJ$1,'UN Treasury'!$A$1:$BQ$1,-1,1),FALSE)</f>
        <v>4.6710000000000003</v>
      </c>
      <c r="AK109">
        <f>VLOOKUP($A109,'UN Treasury'!$A$1:$BQ$224,_xlfn.XMATCH(AK$1,'UN Treasury'!$A$1:$BQ$1,-1,1),FALSE)</f>
        <v>4.6230000000000002</v>
      </c>
      <c r="AL109">
        <f>VLOOKUP($A109,'UN Treasury'!$A$1:$BQ$224,_xlfn.XMATCH(AL$1,'UN Treasury'!$A$1:$BQ$1,-1,1),FALSE)</f>
        <v>4.5060000000000002</v>
      </c>
      <c r="AM109">
        <f>VLOOKUP($A109,'UN Treasury'!$A$1:$BQ$224,_xlfn.XMATCH(AM$1,'UN Treasury'!$A$1:$BQ$1,-1,1),FALSE)</f>
        <v>4.4610000000000003</v>
      </c>
      <c r="AN109">
        <f>VLOOKUP($A109,'UN Treasury'!$A$1:$BQ$224,_xlfn.XMATCH(AN$1,'UN Treasury'!$A$1:$BQ$1,-1,1),FALSE)</f>
        <v>4.5999999999999996</v>
      </c>
      <c r="AO109">
        <f>VLOOKUP($A109,'UN Treasury'!$A$1:$BQ$224,_xlfn.XMATCH(AO$1,'UN Treasury'!$A$1:$BQ$1,-1,1),FALSE)</f>
        <v>4.5190000000000001</v>
      </c>
      <c r="AP109">
        <f>VLOOKUP($A109,'UN Treasury'!$A$1:$BQ$224,_xlfn.XMATCH(AP$1,'UN Treasury'!$A$1:$BQ$1,-1,1),FALSE)</f>
        <v>4.4960000000000004</v>
      </c>
      <c r="AQ109">
        <f>VLOOKUP($A109,'UN Treasury'!$A$1:$BQ$224,_xlfn.XMATCH(AQ$1,'UN Treasury'!$A$1:$BQ$1,-1,1),FALSE)</f>
        <v>4.5890000000000004</v>
      </c>
      <c r="AR109">
        <f>VLOOKUP($A109,'UN Treasury'!$A$1:$BQ$224,_xlfn.XMATCH(AR$1,'UN Treasury'!$A$1:$BQ$1,-1,1),FALSE)</f>
        <v>4.5720000000000001</v>
      </c>
      <c r="AS109">
        <f>VLOOKUP($A109,'UN Treasury'!$A$1:$BQ$224,_xlfn.XMATCH(AS$1,'UN Treasury'!$A$1:$BQ$1,-1,1),FALSE)</f>
        <v>4.5819999999999999</v>
      </c>
      <c r="AT109">
        <f>VLOOKUP($A109,'UN Treasury'!$A$1:$BQ$224,_xlfn.XMATCH(AT$1,'UN Treasury'!$A$1:$BQ$1,-1,1),FALSE)</f>
        <v>4.6230000000000002</v>
      </c>
      <c r="AU109">
        <f>VLOOKUP($A109,'UN Treasury'!$A$1:$BQ$224,_xlfn.XMATCH(AU$1,'UN Treasury'!$A$1:$BQ$1,-1,1),FALSE)</f>
        <v>4.7530000000000001</v>
      </c>
      <c r="AV109">
        <f>VLOOKUP($A109,'UN Treasury'!$A$1:$BQ$224,_xlfn.XMATCH(AV$1,'UN Treasury'!$A$1:$BQ$1,-1,1),FALSE)</f>
        <v>5.0960000000000001</v>
      </c>
      <c r="AW109">
        <f>VLOOKUP($A109,'UN Treasury'!$A$1:$BQ$224,_xlfn.XMATCH(AW$1,'UN Treasury'!$A$1:$BQ$1,-1,1),FALSE)</f>
        <v>4.9020000000000001</v>
      </c>
      <c r="AX109">
        <f>VLOOKUP($A109,'UN Treasury'!$A$1:$BQ$224,_xlfn.XMATCH(AX$1,'UN Treasury'!$A$1:$BQ$1,-1,1),FALSE)</f>
        <v>4.7290000000000001</v>
      </c>
      <c r="AY109">
        <f>VLOOKUP($A109,'UN Treasury'!$A$1:$BQ$224,_xlfn.XMATCH(AY$1,'UN Treasury'!$A$1:$BQ$1,-1,1),FALSE)</f>
        <v>4.9189999999999996</v>
      </c>
      <c r="AZ109">
        <f>VLOOKUP($A109,'UN Treasury'!$A$1:$BQ$224,_xlfn.XMATCH(AZ$1,'UN Treasury'!$A$1:$BQ$1,-1,1),FALSE)</f>
        <v>4.7329999999999997</v>
      </c>
      <c r="BA109">
        <f>VLOOKUP($A109,'UN Treasury'!$A$1:$BQ$224,_xlfn.XMATCH(BA$1,'UN Treasury'!$A$1:$BQ$1,-1,1),FALSE)</f>
        <v>4.6849999999999996</v>
      </c>
      <c r="BB109">
        <f>VLOOKUP($A109,'UN Treasury'!$A$1:$BQ$224,_xlfn.XMATCH(BB$1,'UN Treasury'!$A$1:$BQ$1,-1,1),FALSE)</f>
        <v>4.5439999999999996</v>
      </c>
      <c r="BC109">
        <f>VLOOKUP($A109,'UN Treasury'!$A$1:$BQ$224,_xlfn.XMATCH(BC$1,'UN Treasury'!$A$1:$BQ$1,-1,1),FALSE)</f>
        <v>4.5140000000000002</v>
      </c>
      <c r="BD109">
        <f>VLOOKUP($A109,'UN Treasury'!$A$1:$BQ$224,_xlfn.XMATCH(BD$1,'UN Treasury'!$A$1:$BQ$1,-1,1),FALSE)</f>
        <v>4.34</v>
      </c>
      <c r="BE109">
        <f>VLOOKUP($A109,'UN Treasury'!$A$1:$BQ$224,_xlfn.XMATCH(BE$1,'UN Treasury'!$A$1:$BQ$1,-1,1),FALSE)</f>
        <v>4.3289999999999997</v>
      </c>
      <c r="BF109">
        <f>VLOOKUP($A109,'UN Treasury'!$A$1:$BQ$224,_xlfn.XMATCH(BF$1,'UN Treasury'!$A$1:$BQ$1,-1,1),FALSE)</f>
        <v>4.3920000000000003</v>
      </c>
      <c r="BG109">
        <f>VLOOKUP($A109,'UN Treasury'!$A$1:$BQ$224,_xlfn.XMATCH(BG$1,'UN Treasury'!$A$1:$BQ$1,-1,1),FALSE)</f>
        <v>4.2439999999999998</v>
      </c>
      <c r="BH109">
        <f>VLOOKUP($A109,'UN Treasury'!$A$1:$BQ$224,_xlfn.XMATCH(BH$1,'UN Treasury'!$A$1:$BQ$1,-1,1),FALSE)</f>
        <v>4.2510000000000003</v>
      </c>
      <c r="BI109">
        <f>VLOOKUP($A109,'UN Treasury'!$A$1:$BQ$224,_xlfn.XMATCH(BI$1,'UN Treasury'!$A$1:$BQ$1,-1,1),FALSE)</f>
        <v>4.1859999999999999</v>
      </c>
      <c r="BJ109">
        <f>VLOOKUP($A109,'UN Treasury'!$A$1:$BQ$224,_xlfn.XMATCH(BJ$1,'UN Treasury'!$A$1:$BQ$1,-1,1),FALSE)</f>
        <v>4.1369999999999996</v>
      </c>
      <c r="BK109">
        <f>VLOOKUP($A109,'UN Treasury'!$A$1:$BQ$224,_xlfn.XMATCH(BK$1,'UN Treasury'!$A$1:$BQ$1,-1,1),FALSE)</f>
        <v>4.1289999999999996</v>
      </c>
      <c r="BL109">
        <f>VLOOKUP($A109,'UN Treasury'!$A$1:$BQ$224,_xlfn.XMATCH(BL$1,'UN Treasury'!$A$1:$BQ$1,-1,1),FALSE)</f>
        <v>4.0279999999999996</v>
      </c>
      <c r="BM109">
        <f>VLOOKUP($A109,'UN Treasury'!$A$1:$BQ$224,_xlfn.XMATCH(BM$1,'UN Treasury'!$A$1:$BQ$1,-1,1),FALSE)</f>
        <v>4.0670000000000002</v>
      </c>
      <c r="BN109">
        <f>VLOOKUP($A109,'UN Treasury'!$A$1:$BQ$224,_xlfn.XMATCH(BN$1,'UN Treasury'!$A$1:$BQ$1,-1,1),FALSE)</f>
        <v>4.1980000000000004</v>
      </c>
      <c r="BO109">
        <f>VLOOKUP($A109,'UN Treasury'!$A$1:$BQ$224,_xlfn.XMATCH(BO$1,'UN Treasury'!$A$1:$BQ$1,-1,1),FALSE)</f>
        <v>3.9809999999999999</v>
      </c>
      <c r="BP109">
        <f>VLOOKUP($A109,'UN Treasury'!$A$1:$BQ$224,_xlfn.XMATCH(BP$1,'UN Treasury'!$A$1:$BQ$1,-1,1),FALSE)</f>
        <v>4.0179999999999998</v>
      </c>
      <c r="BQ109">
        <f>VLOOKUP($A109,'UN Treasury'!$A$1:$BQ$224,_xlfn.XMATCH(BQ$1,'UN Treasury'!$A$1:$BQ$1,-1,1),FALSE)</f>
        <v>3.9710000000000001</v>
      </c>
    </row>
    <row r="110" spans="1:69" x14ac:dyDescent="0.25">
      <c r="A110" t="s">
        <v>239</v>
      </c>
      <c r="B110">
        <f>VLOOKUP($A110,'UN Treasury'!$A$1:$BQ$224,_xlfn.XMATCH(B$1,'UN Treasury'!$A$1:$BQ$1,-1,1),FALSE)</f>
        <v>101.59</v>
      </c>
      <c r="C110">
        <f>VLOOKUP($A110,'UN Treasury'!$A$1:$BQ$224,_xlfn.XMATCH(C$1,'UN Treasury'!$A$1:$BQ$1,-1,1),FALSE)</f>
        <v>102.611</v>
      </c>
      <c r="D110">
        <f>VLOOKUP($A110,'UN Treasury'!$A$1:$BQ$224,_xlfn.XMATCH(D$1,'UN Treasury'!$A$1:$BQ$1,-1,1),FALSE)</f>
        <v>101.785</v>
      </c>
      <c r="E110">
        <f>VLOOKUP($A110,'UN Treasury'!$A$1:$BQ$224,_xlfn.XMATCH(E$1,'UN Treasury'!$A$1:$BQ$1,-1,1),FALSE)</f>
        <v>100.21</v>
      </c>
      <c r="F110">
        <f>VLOOKUP($A110,'UN Treasury'!$A$1:$BQ$224,_xlfn.XMATCH(F$1,'UN Treasury'!$A$1:$BQ$1,-1,1),FALSE)</f>
        <v>100.095</v>
      </c>
      <c r="G110">
        <f>VLOOKUP($A110,'UN Treasury'!$A$1:$BQ$224,_xlfn.XMATCH(G$1,'UN Treasury'!$A$1:$BQ$1,-1,1),FALSE)</f>
        <v>101.75</v>
      </c>
      <c r="H110">
        <f>VLOOKUP($A110,'UN Treasury'!$A$1:$BQ$224,_xlfn.XMATCH(H$1,'UN Treasury'!$A$1:$BQ$1,-1,1),FALSE)</f>
        <v>98.710999999999999</v>
      </c>
      <c r="I110">
        <f>VLOOKUP($A110,'UN Treasury'!$A$1:$BQ$224,_xlfn.XMATCH(I$1,'UN Treasury'!$A$1:$BQ$1,-1,1),FALSE)</f>
        <v>100.616</v>
      </c>
      <c r="J110">
        <f>VLOOKUP($A110,'UN Treasury'!$A$1:$BQ$224,_xlfn.XMATCH(J$1,'UN Treasury'!$A$1:$BQ$1,-1,1),FALSE)</f>
        <v>100.152</v>
      </c>
      <c r="K110">
        <f>VLOOKUP($A110,'UN Treasury'!$A$1:$BQ$224,_xlfn.XMATCH(K$1,'UN Treasury'!$A$1:$BQ$1,-1,1),FALSE)</f>
        <v>101.32</v>
      </c>
      <c r="L110">
        <f>VLOOKUP($A110,'UN Treasury'!$A$1:$BQ$224,_xlfn.XMATCH(L$1,'UN Treasury'!$A$1:$BQ$1,-1,1),FALSE)</f>
        <v>101.226</v>
      </c>
      <c r="M110">
        <f>VLOOKUP($A110,'UN Treasury'!$A$1:$BQ$224,_xlfn.XMATCH(M$1,'UN Treasury'!$A$1:$BQ$1,-1,1),FALSE)</f>
        <v>99.813000000000002</v>
      </c>
      <c r="N110">
        <f>VLOOKUP($A110,'UN Treasury'!$A$1:$BQ$224,_xlfn.XMATCH(N$1,'UN Treasury'!$A$1:$BQ$1,-1,1),FALSE)</f>
        <v>100.04900000000001</v>
      </c>
      <c r="O110">
        <f>VLOOKUP($A110,'UN Treasury'!$A$1:$BQ$224,_xlfn.XMATCH(O$1,'UN Treasury'!$A$1:$BQ$1,-1,1),FALSE)</f>
        <v>100.12</v>
      </c>
      <c r="P110">
        <f>VLOOKUP($A110,'UN Treasury'!$A$1:$BQ$224,_xlfn.XMATCH(P$1,'UN Treasury'!$A$1:$BQ$1,-1,1),FALSE)</f>
        <v>102.087</v>
      </c>
      <c r="Q110">
        <f>VLOOKUP($A110,'UN Treasury'!$A$1:$BQ$224,_xlfn.XMATCH(Q$1,'UN Treasury'!$A$1:$BQ$1,-1,1),FALSE)</f>
        <v>105.102</v>
      </c>
      <c r="R110">
        <f>VLOOKUP($A110,'UN Treasury'!$A$1:$BQ$224,_xlfn.XMATCH(R$1,'UN Treasury'!$A$1:$BQ$1,-1,1),FALSE)</f>
        <v>103.032</v>
      </c>
      <c r="S110">
        <f>VLOOKUP($A110,'UN Treasury'!$A$1:$BQ$224,_xlfn.XMATCH(S$1,'UN Treasury'!$A$1:$BQ$1,-1,1),FALSE)</f>
        <v>107.456</v>
      </c>
      <c r="T110">
        <f>VLOOKUP($A110,'UN Treasury'!$A$1:$BQ$224,_xlfn.XMATCH(T$1,'UN Treasury'!$A$1:$BQ$1,-1,1),FALSE)</f>
        <v>113.09399999999999</v>
      </c>
      <c r="U110">
        <f>VLOOKUP($A110,'UN Treasury'!$A$1:$BQ$224,_xlfn.XMATCH(U$1,'UN Treasury'!$A$1:$BQ$1,-1,1),FALSE)</f>
        <v>114.723</v>
      </c>
      <c r="V110">
        <f>VLOOKUP($A110,'UN Treasury'!$A$1:$BQ$224,_xlfn.XMATCH(V$1,'UN Treasury'!$A$1:$BQ$1,-1,1),FALSE)</f>
        <v>111.361</v>
      </c>
      <c r="W110">
        <f>VLOOKUP($A110,'UN Treasury'!$A$1:$BQ$224,_xlfn.XMATCH(W$1,'UN Treasury'!$A$1:$BQ$1,-1,1),FALSE)</f>
        <v>110.29</v>
      </c>
      <c r="X110">
        <f>VLOOKUP($A110,'UN Treasury'!$A$1:$BQ$224,_xlfn.XMATCH(X$1,'UN Treasury'!$A$1:$BQ$1,-1,1),FALSE)</f>
        <v>106.92</v>
      </c>
      <c r="Y110">
        <f>VLOOKUP($A110,'UN Treasury'!$A$1:$BQ$224,_xlfn.XMATCH(Y$1,'UN Treasury'!$A$1:$BQ$1,-1,1),FALSE)</f>
        <v>106.18</v>
      </c>
      <c r="Z110">
        <f>VLOOKUP($A110,'UN Treasury'!$A$1:$BQ$224,_xlfn.XMATCH(Z$1,'UN Treasury'!$A$1:$BQ$1,-1,1),FALSE)</f>
        <v>106.785</v>
      </c>
      <c r="AA110">
        <f>VLOOKUP($A110,'UN Treasury'!$A$1:$BQ$224,_xlfn.XMATCH(AA$1,'UN Treasury'!$A$1:$BQ$1,-1,1),FALSE)</f>
        <v>107.446</v>
      </c>
      <c r="AB110">
        <f>VLOOKUP($A110,'UN Treasury'!$A$1:$BQ$224,_xlfn.XMATCH(AB$1,'UN Treasury'!$A$1:$BQ$1,-1,1),FALSE)</f>
        <v>107.996</v>
      </c>
      <c r="AC110">
        <f>VLOOKUP($A110,'UN Treasury'!$A$1:$BQ$224,_xlfn.XMATCH(AC$1,'UN Treasury'!$A$1:$BQ$1,-1,1),FALSE)</f>
        <v>108.36799999999999</v>
      </c>
      <c r="AD110">
        <f>VLOOKUP($A110,'UN Treasury'!$A$1:$BQ$224,_xlfn.XMATCH(AD$1,'UN Treasury'!$A$1:$BQ$1,-1,1),FALSE)</f>
        <v>109.086</v>
      </c>
      <c r="AE110">
        <f>VLOOKUP($A110,'UN Treasury'!$A$1:$BQ$224,_xlfn.XMATCH(AE$1,'UN Treasury'!$A$1:$BQ$1,-1,1),FALSE)</f>
        <v>107.101</v>
      </c>
      <c r="AF110">
        <f>VLOOKUP($A110,'UN Treasury'!$A$1:$BQ$224,_xlfn.XMATCH(AF$1,'UN Treasury'!$A$1:$BQ$1,-1,1),FALSE)</f>
        <v>109.23</v>
      </c>
      <c r="AG110">
        <f>VLOOKUP($A110,'UN Treasury'!$A$1:$BQ$224,_xlfn.XMATCH(AG$1,'UN Treasury'!$A$1:$BQ$1,-1,1),FALSE)</f>
        <v>107.01</v>
      </c>
      <c r="AH110">
        <f>VLOOKUP($A110,'UN Treasury'!$A$1:$BQ$224,_xlfn.XMATCH(AH$1,'UN Treasury'!$A$1:$BQ$1,-1,1),FALSE)</f>
        <v>108.589</v>
      </c>
      <c r="AI110">
        <f>VLOOKUP($A110,'UN Treasury'!$A$1:$BQ$224,_xlfn.XMATCH(AI$1,'UN Treasury'!$A$1:$BQ$1,-1,1),FALSE)</f>
        <v>109.782</v>
      </c>
      <c r="AJ110">
        <f>VLOOKUP($A110,'UN Treasury'!$A$1:$BQ$224,_xlfn.XMATCH(AJ$1,'UN Treasury'!$A$1:$BQ$1,-1,1),FALSE)</f>
        <v>110.21</v>
      </c>
      <c r="AK110">
        <f>VLOOKUP($A110,'UN Treasury'!$A$1:$BQ$224,_xlfn.XMATCH(AK$1,'UN Treasury'!$A$1:$BQ$1,-1,1),FALSE)</f>
        <v>109.044</v>
      </c>
      <c r="AL110">
        <f>VLOOKUP($A110,'UN Treasury'!$A$1:$BQ$224,_xlfn.XMATCH(AL$1,'UN Treasury'!$A$1:$BQ$1,-1,1),FALSE)</f>
        <v>106.867</v>
      </c>
      <c r="AM110">
        <f>VLOOKUP($A110,'UN Treasury'!$A$1:$BQ$224,_xlfn.XMATCH(AM$1,'UN Treasury'!$A$1:$BQ$1,-1,1),FALSE)</f>
        <v>105.672</v>
      </c>
      <c r="AN110">
        <f>VLOOKUP($A110,'UN Treasury'!$A$1:$BQ$224,_xlfn.XMATCH(AN$1,'UN Treasury'!$A$1:$BQ$1,-1,1),FALSE)</f>
        <v>108.664</v>
      </c>
      <c r="AO110">
        <f>VLOOKUP($A110,'UN Treasury'!$A$1:$BQ$224,_xlfn.XMATCH(AO$1,'UN Treasury'!$A$1:$BQ$1,-1,1),FALSE)</f>
        <v>107.462</v>
      </c>
      <c r="AP110">
        <f>VLOOKUP($A110,'UN Treasury'!$A$1:$BQ$224,_xlfn.XMATCH(AP$1,'UN Treasury'!$A$1:$BQ$1,-1,1),FALSE)</f>
        <v>106.756</v>
      </c>
      <c r="AQ110">
        <f>VLOOKUP($A110,'UN Treasury'!$A$1:$BQ$224,_xlfn.XMATCH(AQ$1,'UN Treasury'!$A$1:$BQ$1,-1,1),FALSE)</f>
        <v>109.476</v>
      </c>
      <c r="AR110">
        <f>VLOOKUP($A110,'UN Treasury'!$A$1:$BQ$224,_xlfn.XMATCH(AR$1,'UN Treasury'!$A$1:$BQ$1,-1,1),FALSE)</f>
        <v>109.417</v>
      </c>
      <c r="AS110">
        <f>VLOOKUP($A110,'UN Treasury'!$A$1:$BQ$224,_xlfn.XMATCH(AS$1,'UN Treasury'!$A$1:$BQ$1,-1,1),FALSE)</f>
        <v>108.97499999999999</v>
      </c>
      <c r="AT110">
        <f>VLOOKUP($A110,'UN Treasury'!$A$1:$BQ$224,_xlfn.XMATCH(AT$1,'UN Treasury'!$A$1:$BQ$1,-1,1),FALSE)</f>
        <v>110.027</v>
      </c>
      <c r="AU110">
        <f>VLOOKUP($A110,'UN Treasury'!$A$1:$BQ$224,_xlfn.XMATCH(AU$1,'UN Treasury'!$A$1:$BQ$1,-1,1),FALSE)</f>
        <v>113.87</v>
      </c>
      <c r="AV110">
        <f>VLOOKUP($A110,'UN Treasury'!$A$1:$BQ$224,_xlfn.XMATCH(AV$1,'UN Treasury'!$A$1:$BQ$1,-1,1),FALSE)</f>
        <v>120.95399999999999</v>
      </c>
      <c r="AW110">
        <f>VLOOKUP($A110,'UN Treasury'!$A$1:$BQ$224,_xlfn.XMATCH(AW$1,'UN Treasury'!$A$1:$BQ$1,-1,1),FALSE)</f>
        <v>116.879</v>
      </c>
      <c r="AX110">
        <f>VLOOKUP($A110,'UN Treasury'!$A$1:$BQ$224,_xlfn.XMATCH(AX$1,'UN Treasury'!$A$1:$BQ$1,-1,1),FALSE)</f>
        <v>113.151</v>
      </c>
      <c r="AY110">
        <f>VLOOKUP($A110,'UN Treasury'!$A$1:$BQ$224,_xlfn.XMATCH(AY$1,'UN Treasury'!$A$1:$BQ$1,-1,1),FALSE)</f>
        <v>116.84</v>
      </c>
      <c r="AZ110">
        <f>VLOOKUP($A110,'UN Treasury'!$A$1:$BQ$224,_xlfn.XMATCH(AZ$1,'UN Treasury'!$A$1:$BQ$1,-1,1),FALSE)</f>
        <v>112.374</v>
      </c>
      <c r="BA110">
        <f>VLOOKUP($A110,'UN Treasury'!$A$1:$BQ$224,_xlfn.XMATCH(BA$1,'UN Treasury'!$A$1:$BQ$1,-1,1),FALSE)</f>
        <v>111.379</v>
      </c>
      <c r="BB110">
        <f>VLOOKUP($A110,'UN Treasury'!$A$1:$BQ$224,_xlfn.XMATCH(BB$1,'UN Treasury'!$A$1:$BQ$1,-1,1),FALSE)</f>
        <v>108.163</v>
      </c>
      <c r="BC110">
        <f>VLOOKUP($A110,'UN Treasury'!$A$1:$BQ$224,_xlfn.XMATCH(BC$1,'UN Treasury'!$A$1:$BQ$1,-1,1),FALSE)</f>
        <v>107.242</v>
      </c>
      <c r="BD110">
        <f>VLOOKUP($A110,'UN Treasury'!$A$1:$BQ$224,_xlfn.XMATCH(BD$1,'UN Treasury'!$A$1:$BQ$1,-1,1),FALSE)</f>
        <v>103.113</v>
      </c>
      <c r="BE110">
        <f>VLOOKUP($A110,'UN Treasury'!$A$1:$BQ$224,_xlfn.XMATCH(BE$1,'UN Treasury'!$A$1:$BQ$1,-1,1),FALSE)</f>
        <v>102.923</v>
      </c>
      <c r="BF110">
        <f>VLOOKUP($A110,'UN Treasury'!$A$1:$BQ$224,_xlfn.XMATCH(BF$1,'UN Treasury'!$A$1:$BQ$1,-1,1),FALSE)</f>
        <v>104.283</v>
      </c>
      <c r="BG110">
        <f>VLOOKUP($A110,'UN Treasury'!$A$1:$BQ$224,_xlfn.XMATCH(BG$1,'UN Treasury'!$A$1:$BQ$1,-1,1),FALSE)</f>
        <v>100.73</v>
      </c>
      <c r="BH110">
        <f>VLOOKUP($A110,'UN Treasury'!$A$1:$BQ$224,_xlfn.XMATCH(BH$1,'UN Treasury'!$A$1:$BQ$1,-1,1),FALSE)</f>
        <v>101.05</v>
      </c>
      <c r="BI110">
        <f>VLOOKUP($A110,'UN Treasury'!$A$1:$BQ$224,_xlfn.XMATCH(BI$1,'UN Treasury'!$A$1:$BQ$1,-1,1),FALSE)</f>
        <v>99.646000000000001</v>
      </c>
      <c r="BJ110">
        <f>VLOOKUP($A110,'UN Treasury'!$A$1:$BQ$224,_xlfn.XMATCH(BJ$1,'UN Treasury'!$A$1:$BQ$1,-1,1),FALSE)</f>
        <v>98.822999999999993</v>
      </c>
      <c r="BK110">
        <f>VLOOKUP($A110,'UN Treasury'!$A$1:$BQ$224,_xlfn.XMATCH(BK$1,'UN Treasury'!$A$1:$BQ$1,-1,1),FALSE)</f>
        <v>98.516000000000005</v>
      </c>
      <c r="BL110">
        <f>VLOOKUP($A110,'UN Treasury'!$A$1:$BQ$224,_xlfn.XMATCH(BL$1,'UN Treasury'!$A$1:$BQ$1,-1,1),FALSE)</f>
        <v>96.323999999999998</v>
      </c>
      <c r="BM110">
        <f>VLOOKUP($A110,'UN Treasury'!$A$1:$BQ$224,_xlfn.XMATCH(BM$1,'UN Treasury'!$A$1:$BQ$1,-1,1),FALSE)</f>
        <v>97.061000000000007</v>
      </c>
      <c r="BN110">
        <f>VLOOKUP($A110,'UN Treasury'!$A$1:$BQ$224,_xlfn.XMATCH(BN$1,'UN Treasury'!$A$1:$BQ$1,-1,1),FALSE)</f>
        <v>100.22799999999999</v>
      </c>
      <c r="BO110">
        <f>VLOOKUP($A110,'UN Treasury'!$A$1:$BQ$224,_xlfn.XMATCH(BO$1,'UN Treasury'!$A$1:$BQ$1,-1,1),FALSE)</f>
        <v>95.98</v>
      </c>
      <c r="BP110">
        <f>VLOOKUP($A110,'UN Treasury'!$A$1:$BQ$224,_xlfn.XMATCH(BP$1,'UN Treasury'!$A$1:$BQ$1,-1,1),FALSE)</f>
        <v>96.82</v>
      </c>
      <c r="BQ110">
        <f>VLOOKUP($A110,'UN Treasury'!$A$1:$BQ$224,_xlfn.XMATCH(BQ$1,'UN Treasury'!$A$1:$BQ$1,-1,1),FALSE)</f>
        <v>95.753</v>
      </c>
    </row>
    <row r="111" spans="1:69" x14ac:dyDescent="0.25">
      <c r="A111" t="s">
        <v>241</v>
      </c>
      <c r="B111">
        <f>VLOOKUP($A111,'UN Treasury'!$A$1:$BQ$224,_xlfn.XMATCH(B$1,'UN Treasury'!$A$1:$BQ$1,-1,1),FALSE)</f>
        <v>83.194000000000003</v>
      </c>
      <c r="C111">
        <f>VLOOKUP($A111,'UN Treasury'!$A$1:$BQ$224,_xlfn.XMATCH(C$1,'UN Treasury'!$A$1:$BQ$1,-1,1),FALSE)</f>
        <v>76.424999999999997</v>
      </c>
      <c r="D111">
        <f>VLOOKUP($A111,'UN Treasury'!$A$1:$BQ$224,_xlfn.XMATCH(D$1,'UN Treasury'!$A$1:$BQ$1,-1,1),FALSE)</f>
        <v>71.775000000000006</v>
      </c>
      <c r="E111">
        <f>VLOOKUP($A111,'UN Treasury'!$A$1:$BQ$224,_xlfn.XMATCH(E$1,'UN Treasury'!$A$1:$BQ$1,-1,1),FALSE)</f>
        <v>73.2</v>
      </c>
      <c r="F111">
        <f>VLOOKUP($A111,'UN Treasury'!$A$1:$BQ$224,_xlfn.XMATCH(F$1,'UN Treasury'!$A$1:$BQ$1,-1,1),FALSE)</f>
        <v>75.724999999999994</v>
      </c>
      <c r="G111">
        <f>VLOOKUP($A111,'UN Treasury'!$A$1:$BQ$224,_xlfn.XMATCH(G$1,'UN Treasury'!$A$1:$BQ$1,-1,1),FALSE)</f>
        <v>79.158000000000001</v>
      </c>
      <c r="H111">
        <f>VLOOKUP($A111,'UN Treasury'!$A$1:$BQ$224,_xlfn.XMATCH(H$1,'UN Treasury'!$A$1:$BQ$1,-1,1),FALSE)</f>
        <v>76.974999999999994</v>
      </c>
      <c r="I111">
        <f>VLOOKUP($A111,'UN Treasury'!$A$1:$BQ$224,_xlfn.XMATCH(I$1,'UN Treasury'!$A$1:$BQ$1,-1,1),FALSE)</f>
        <v>78.376999999999995</v>
      </c>
      <c r="J111">
        <f>VLOOKUP($A111,'UN Treasury'!$A$1:$BQ$224,_xlfn.XMATCH(J$1,'UN Treasury'!$A$1:$BQ$1,-1,1),FALSE)</f>
        <v>79.034999999999997</v>
      </c>
      <c r="K111">
        <f>VLOOKUP($A111,'UN Treasury'!$A$1:$BQ$224,_xlfn.XMATCH(K$1,'UN Treasury'!$A$1:$BQ$1,-1,1),FALSE)</f>
        <v>80.757999999999996</v>
      </c>
      <c r="L111">
        <f>VLOOKUP($A111,'UN Treasury'!$A$1:$BQ$224,_xlfn.XMATCH(L$1,'UN Treasury'!$A$1:$BQ$1,-1,1),FALSE)</f>
        <v>79.605999999999995</v>
      </c>
      <c r="M111">
        <f>VLOOKUP($A111,'UN Treasury'!$A$1:$BQ$224,_xlfn.XMATCH(M$1,'UN Treasury'!$A$1:$BQ$1,-1,1),FALSE)</f>
        <v>84.694999999999993</v>
      </c>
      <c r="N111">
        <f>VLOOKUP($A111,'UN Treasury'!$A$1:$BQ$224,_xlfn.XMATCH(N$1,'UN Treasury'!$A$1:$BQ$1,-1,1),FALSE)</f>
        <v>79.048000000000002</v>
      </c>
      <c r="O111">
        <f>VLOOKUP($A111,'UN Treasury'!$A$1:$BQ$224,_xlfn.XMATCH(O$1,'UN Treasury'!$A$1:$BQ$1,-1,1),FALSE)</f>
        <v>77.825000000000003</v>
      </c>
      <c r="P111">
        <f>VLOOKUP($A111,'UN Treasury'!$A$1:$BQ$224,_xlfn.XMATCH(P$1,'UN Treasury'!$A$1:$BQ$1,-1,1),FALSE)</f>
        <v>78.861999999999995</v>
      </c>
      <c r="Q111">
        <f>VLOOKUP($A111,'UN Treasury'!$A$1:$BQ$224,_xlfn.XMATCH(Q$1,'UN Treasury'!$A$1:$BQ$1,-1,1),FALSE)</f>
        <v>79.875</v>
      </c>
      <c r="R111">
        <f>VLOOKUP($A111,'UN Treasury'!$A$1:$BQ$224,_xlfn.XMATCH(R$1,'UN Treasury'!$A$1:$BQ$1,-1,1),FALSE)</f>
        <v>83.125</v>
      </c>
      <c r="S111">
        <f>VLOOKUP($A111,'UN Treasury'!$A$1:$BQ$224,_xlfn.XMATCH(S$1,'UN Treasury'!$A$1:$BQ$1,-1,1),FALSE)</f>
        <v>86.474999999999994</v>
      </c>
      <c r="T111">
        <f>VLOOKUP($A111,'UN Treasury'!$A$1:$BQ$224,_xlfn.XMATCH(T$1,'UN Treasury'!$A$1:$BQ$1,-1,1),FALSE)</f>
        <v>93.763999999999996</v>
      </c>
      <c r="U111">
        <f>VLOOKUP($A111,'UN Treasury'!$A$1:$BQ$224,_xlfn.XMATCH(U$1,'UN Treasury'!$A$1:$BQ$1,-1,1),FALSE)</f>
        <v>102.342</v>
      </c>
      <c r="V111">
        <f>VLOOKUP($A111,'UN Treasury'!$A$1:$BQ$224,_xlfn.XMATCH(V$1,'UN Treasury'!$A$1:$BQ$1,-1,1),FALSE)</f>
        <v>106.756</v>
      </c>
      <c r="W111">
        <f>VLOOKUP($A111,'UN Treasury'!$A$1:$BQ$224,_xlfn.XMATCH(W$1,'UN Treasury'!$A$1:$BQ$1,-1,1),FALSE)</f>
        <v>98.11</v>
      </c>
      <c r="X111">
        <f>VLOOKUP($A111,'UN Treasury'!$A$1:$BQ$224,_xlfn.XMATCH(X$1,'UN Treasury'!$A$1:$BQ$1,-1,1),FALSE)</f>
        <v>95.570999999999998</v>
      </c>
      <c r="Y111">
        <f>VLOOKUP($A111,'UN Treasury'!$A$1:$BQ$224,_xlfn.XMATCH(Y$1,'UN Treasury'!$A$1:$BQ$1,-1,1),FALSE)</f>
        <v>90.847999999999999</v>
      </c>
      <c r="Z111">
        <f>VLOOKUP($A111,'UN Treasury'!$A$1:$BQ$224,_xlfn.XMATCH(Z$1,'UN Treasury'!$A$1:$BQ$1,-1,1),FALSE)</f>
        <v>90.875</v>
      </c>
      <c r="AA111">
        <f>VLOOKUP($A111,'UN Treasury'!$A$1:$BQ$224,_xlfn.XMATCH(AA$1,'UN Treasury'!$A$1:$BQ$1,-1,1),FALSE)</f>
        <v>87.375</v>
      </c>
      <c r="AB111">
        <f>VLOOKUP($A111,'UN Treasury'!$A$1:$BQ$224,_xlfn.XMATCH(AB$1,'UN Treasury'!$A$1:$BQ$1,-1,1),FALSE)</f>
        <v>88.575000000000003</v>
      </c>
      <c r="AC111">
        <f>VLOOKUP($A111,'UN Treasury'!$A$1:$BQ$224,_xlfn.XMATCH(AC$1,'UN Treasury'!$A$1:$BQ$1,-1,1),FALSE)</f>
        <v>91.347999999999999</v>
      </c>
      <c r="AD111">
        <f>VLOOKUP($A111,'UN Treasury'!$A$1:$BQ$224,_xlfn.XMATCH(AD$1,'UN Treasury'!$A$1:$BQ$1,-1,1),FALSE)</f>
        <v>92.891999999999996</v>
      </c>
      <c r="AE111">
        <f>VLOOKUP($A111,'UN Treasury'!$A$1:$BQ$224,_xlfn.XMATCH(AE$1,'UN Treasury'!$A$1:$BQ$1,-1,1),FALSE)</f>
        <v>91.497</v>
      </c>
      <c r="AF111">
        <f>VLOOKUP($A111,'UN Treasury'!$A$1:$BQ$224,_xlfn.XMATCH(AF$1,'UN Treasury'!$A$1:$BQ$1,-1,1),FALSE)</f>
        <v>91.295000000000002</v>
      </c>
      <c r="AG111">
        <f>VLOOKUP($A111,'UN Treasury'!$A$1:$BQ$224,_xlfn.XMATCH(AG$1,'UN Treasury'!$A$1:$BQ$1,-1,1),FALSE)</f>
        <v>88.466999999999999</v>
      </c>
      <c r="AH111">
        <f>VLOOKUP($A111,'UN Treasury'!$A$1:$BQ$224,_xlfn.XMATCH(AH$1,'UN Treasury'!$A$1:$BQ$1,-1,1),FALSE)</f>
        <v>89.700999999999993</v>
      </c>
      <c r="AI111">
        <f>VLOOKUP($A111,'UN Treasury'!$A$1:$BQ$224,_xlfn.XMATCH(AI$1,'UN Treasury'!$A$1:$BQ$1,-1,1),FALSE)</f>
        <v>91.631</v>
      </c>
      <c r="AJ111">
        <f>VLOOKUP($A111,'UN Treasury'!$A$1:$BQ$224,_xlfn.XMATCH(AJ$1,'UN Treasury'!$A$1:$BQ$1,-1,1),FALSE)</f>
        <v>100.193</v>
      </c>
      <c r="AK111">
        <f>VLOOKUP($A111,'UN Treasury'!$A$1:$BQ$224,_xlfn.XMATCH(AK$1,'UN Treasury'!$A$1:$BQ$1,-1,1),FALSE)</f>
        <v>96.231999999999999</v>
      </c>
      <c r="AL111">
        <f>VLOOKUP($A111,'UN Treasury'!$A$1:$BQ$224,_xlfn.XMATCH(AL$1,'UN Treasury'!$A$1:$BQ$1,-1,1),FALSE)</f>
        <v>98.677000000000007</v>
      </c>
      <c r="AM111">
        <f>VLOOKUP($A111,'UN Treasury'!$A$1:$BQ$224,_xlfn.XMATCH(AM$1,'UN Treasury'!$A$1:$BQ$1,-1,1),FALSE)</f>
        <v>90.528999999999996</v>
      </c>
      <c r="AN111">
        <f>VLOOKUP($A111,'UN Treasury'!$A$1:$BQ$224,_xlfn.XMATCH(AN$1,'UN Treasury'!$A$1:$BQ$1,-1,1),FALSE)</f>
        <v>83.751000000000005</v>
      </c>
      <c r="AO111">
        <f>VLOOKUP($A111,'UN Treasury'!$A$1:$BQ$224,_xlfn.XMATCH(AO$1,'UN Treasury'!$A$1:$BQ$1,-1,1),FALSE)</f>
        <v>76.335999999999999</v>
      </c>
      <c r="AP111">
        <f>VLOOKUP($A111,'UN Treasury'!$A$1:$BQ$224,_xlfn.XMATCH(AP$1,'UN Treasury'!$A$1:$BQ$1,-1,1),FALSE)</f>
        <v>82.248999999999995</v>
      </c>
      <c r="AQ111">
        <f>VLOOKUP($A111,'UN Treasury'!$A$1:$BQ$224,_xlfn.XMATCH(AQ$1,'UN Treasury'!$A$1:$BQ$1,-1,1),FALSE)</f>
        <v>75.120999999999995</v>
      </c>
      <c r="AR111">
        <f>VLOOKUP($A111,'UN Treasury'!$A$1:$BQ$224,_xlfn.XMATCH(AR$1,'UN Treasury'!$A$1:$BQ$1,-1,1),FALSE)</f>
        <v>73.760999999999996</v>
      </c>
      <c r="AS111">
        <f>VLOOKUP($A111,'UN Treasury'!$A$1:$BQ$224,_xlfn.XMATCH(AS$1,'UN Treasury'!$A$1:$BQ$1,-1,1),FALSE)</f>
        <v>68.531999999999996</v>
      </c>
      <c r="AT111">
        <f>VLOOKUP($A111,'UN Treasury'!$A$1:$BQ$224,_xlfn.XMATCH(AT$1,'UN Treasury'!$A$1:$BQ$1,-1,1),FALSE)</f>
        <v>63.136000000000003</v>
      </c>
      <c r="AU111">
        <f>VLOOKUP($A111,'UN Treasury'!$A$1:$BQ$224,_xlfn.XMATCH(AU$1,'UN Treasury'!$A$1:$BQ$1,-1,1),FALSE)</f>
        <v>60.600999999999999</v>
      </c>
      <c r="AV111">
        <f>VLOOKUP($A111,'UN Treasury'!$A$1:$BQ$224,_xlfn.XMATCH(AV$1,'UN Treasury'!$A$1:$BQ$1,-1,1),FALSE)</f>
        <v>63.848999999999997</v>
      </c>
      <c r="AW111">
        <f>VLOOKUP($A111,'UN Treasury'!$A$1:$BQ$224,_xlfn.XMATCH(AW$1,'UN Treasury'!$A$1:$BQ$1,-1,1),FALSE)</f>
        <v>60.363999999999997</v>
      </c>
      <c r="AX111">
        <f>VLOOKUP($A111,'UN Treasury'!$A$1:$BQ$224,_xlfn.XMATCH(AX$1,'UN Treasury'!$A$1:$BQ$1,-1,1),FALSE)</f>
        <v>60.874000000000002</v>
      </c>
      <c r="AY111">
        <f>VLOOKUP($A111,'UN Treasury'!$A$1:$BQ$224,_xlfn.XMATCH(AY$1,'UN Treasury'!$A$1:$BQ$1,-1,1),FALSE)</f>
        <v>59.716999999999999</v>
      </c>
      <c r="AZ111">
        <f>VLOOKUP($A111,'UN Treasury'!$A$1:$BQ$224,_xlfn.XMATCH(AZ$1,'UN Treasury'!$A$1:$BQ$1,-1,1),FALSE)</f>
        <v>56.262999999999998</v>
      </c>
      <c r="BA111">
        <f>VLOOKUP($A111,'UN Treasury'!$A$1:$BQ$224,_xlfn.XMATCH(BA$1,'UN Treasury'!$A$1:$BQ$1,-1,1),FALSE)</f>
        <v>66.396000000000001</v>
      </c>
      <c r="BB111">
        <f>VLOOKUP($A111,'UN Treasury'!$A$1:$BQ$224,_xlfn.XMATCH(BB$1,'UN Treasury'!$A$1:$BQ$1,-1,1),FALSE)</f>
        <v>83.25</v>
      </c>
      <c r="BC111">
        <f>VLOOKUP($A111,'UN Treasury'!$A$1:$BQ$224,_xlfn.XMATCH(BC$1,'UN Treasury'!$A$1:$BQ$1,-1,1),FALSE)</f>
        <v>131.63399999999999</v>
      </c>
      <c r="BD111">
        <f>VLOOKUP($A111,'UN Treasury'!$A$1:$BQ$224,_xlfn.XMATCH(BD$1,'UN Treasury'!$A$1:$BQ$1,-1,1),FALSE)</f>
        <v>75.911000000000001</v>
      </c>
      <c r="BE111">
        <f>VLOOKUP($A111,'UN Treasury'!$A$1:$BQ$224,_xlfn.XMATCH(BE$1,'UN Treasury'!$A$1:$BQ$1,-1,1),FALSE)</f>
        <v>74.641999999999996</v>
      </c>
      <c r="BF111">
        <f>VLOOKUP($A111,'UN Treasury'!$A$1:$BQ$224,_xlfn.XMATCH(BF$1,'UN Treasury'!$A$1:$BQ$1,-1,1),FALSE)</f>
        <v>74.343000000000004</v>
      </c>
      <c r="BG111">
        <f>VLOOKUP($A111,'UN Treasury'!$A$1:$BQ$224,_xlfn.XMATCH(BG$1,'UN Treasury'!$A$1:$BQ$1,-1,1),FALSE)</f>
        <v>70.100999999999999</v>
      </c>
      <c r="BH111">
        <f>VLOOKUP($A111,'UN Treasury'!$A$1:$BQ$224,_xlfn.XMATCH(BH$1,'UN Treasury'!$A$1:$BQ$1,-1,1),FALSE)</f>
        <v>72.81</v>
      </c>
      <c r="BI111">
        <f>VLOOKUP($A111,'UN Treasury'!$A$1:$BQ$224,_xlfn.XMATCH(BI$1,'UN Treasury'!$A$1:$BQ$1,-1,1),FALSE)</f>
        <v>73.613</v>
      </c>
      <c r="BJ111">
        <f>VLOOKUP($A111,'UN Treasury'!$A$1:$BQ$224,_xlfn.XMATCH(BJ$1,'UN Treasury'!$A$1:$BQ$1,-1,1),FALSE)</f>
        <v>73.248999999999995</v>
      </c>
      <c r="BK111">
        <f>VLOOKUP($A111,'UN Treasury'!$A$1:$BQ$224,_xlfn.XMATCH(BK$1,'UN Treasury'!$A$1:$BQ$1,-1,1),FALSE)</f>
        <v>72.197999999999993</v>
      </c>
      <c r="BL111">
        <f>VLOOKUP($A111,'UN Treasury'!$A$1:$BQ$224,_xlfn.XMATCH(BL$1,'UN Treasury'!$A$1:$BQ$1,-1,1),FALSE)</f>
        <v>73.465000000000003</v>
      </c>
      <c r="BM111">
        <f>VLOOKUP($A111,'UN Treasury'!$A$1:$BQ$224,_xlfn.XMATCH(BM$1,'UN Treasury'!$A$1:$BQ$1,-1,1),FALSE)</f>
        <v>74.606999999999999</v>
      </c>
      <c r="BN111">
        <f>VLOOKUP($A111,'UN Treasury'!$A$1:$BQ$224,_xlfn.XMATCH(BN$1,'UN Treasury'!$A$1:$BQ$1,-1,1),FALSE)</f>
        <v>76.149000000000001</v>
      </c>
      <c r="BO111">
        <f>VLOOKUP($A111,'UN Treasury'!$A$1:$BQ$224,_xlfn.XMATCH(BO$1,'UN Treasury'!$A$1:$BQ$1,-1,1),FALSE)</f>
        <v>73.828000000000003</v>
      </c>
      <c r="BP111">
        <f>VLOOKUP($A111,'UN Treasury'!$A$1:$BQ$224,_xlfn.XMATCH(BP$1,'UN Treasury'!$A$1:$BQ$1,-1,1),FALSE)</f>
        <v>76.03</v>
      </c>
      <c r="BQ111">
        <f>VLOOKUP($A111,'UN Treasury'!$A$1:$BQ$224,_xlfn.XMATCH(BQ$1,'UN Treasury'!$A$1:$BQ$1,-1,1),FALSE)</f>
        <v>73.637</v>
      </c>
    </row>
    <row r="112" spans="1:69" x14ac:dyDescent="0.25">
      <c r="A112" t="s">
        <v>243</v>
      </c>
      <c r="B112">
        <f>VLOOKUP($A112,'UN Treasury'!$A$1:$BQ$224,_xlfn.XMATCH(B$1,'UN Treasury'!$A$1:$BQ$1,-1,1),FALSE)</f>
        <v>1464.7180000000001</v>
      </c>
      <c r="C112">
        <f>VLOOKUP($A112,'UN Treasury'!$A$1:$BQ$224,_xlfn.XMATCH(C$1,'UN Treasury'!$A$1:$BQ$1,-1,1),FALSE)</f>
        <v>1461.2729999999999</v>
      </c>
      <c r="D112">
        <f>VLOOKUP($A112,'UN Treasury'!$A$1:$BQ$224,_xlfn.XMATCH(D$1,'UN Treasury'!$A$1:$BQ$1,-1,1),FALSE)</f>
        <v>1459.5450000000001</v>
      </c>
      <c r="E112">
        <f>VLOOKUP($A112,'UN Treasury'!$A$1:$BQ$224,_xlfn.XMATCH(E$1,'UN Treasury'!$A$1:$BQ$1,-1,1),FALSE)</f>
        <v>1456</v>
      </c>
      <c r="F112">
        <f>VLOOKUP($A112,'UN Treasury'!$A$1:$BQ$224,_xlfn.XMATCH(F$1,'UN Treasury'!$A$1:$BQ$1,-1,1),FALSE)</f>
        <v>1456</v>
      </c>
      <c r="G112">
        <f>VLOOKUP($A112,'UN Treasury'!$A$1:$BQ$224,_xlfn.XMATCH(G$1,'UN Treasury'!$A$1:$BQ$1,-1,1),FALSE)</f>
        <v>1452</v>
      </c>
      <c r="H112">
        <f>VLOOKUP($A112,'UN Treasury'!$A$1:$BQ$224,_xlfn.XMATCH(H$1,'UN Treasury'!$A$1:$BQ$1,-1,1),FALSE)</f>
        <v>1448.5</v>
      </c>
      <c r="I112">
        <f>VLOOKUP($A112,'UN Treasury'!$A$1:$BQ$224,_xlfn.XMATCH(I$1,'UN Treasury'!$A$1:$BQ$1,-1,1),FALSE)</f>
        <v>1447</v>
      </c>
      <c r="J112">
        <f>VLOOKUP($A112,'UN Treasury'!$A$1:$BQ$224,_xlfn.XMATCH(J$1,'UN Treasury'!$A$1:$BQ$1,-1,1),FALSE)</f>
        <v>1444.25</v>
      </c>
      <c r="K112">
        <f>VLOOKUP($A112,'UN Treasury'!$A$1:$BQ$224,_xlfn.XMATCH(K$1,'UN Treasury'!$A$1:$BQ$1,-1,1),FALSE)</f>
        <v>1443</v>
      </c>
      <c r="L112">
        <f>VLOOKUP($A112,'UN Treasury'!$A$1:$BQ$224,_xlfn.XMATCH(L$1,'UN Treasury'!$A$1:$BQ$1,-1,1),FALSE)</f>
        <v>1441</v>
      </c>
      <c r="M112">
        <f>VLOOKUP($A112,'UN Treasury'!$A$1:$BQ$224,_xlfn.XMATCH(M$1,'UN Treasury'!$A$1:$BQ$1,-1,1),FALSE)</f>
        <v>1440.2449999999999</v>
      </c>
      <c r="N112">
        <f>VLOOKUP($A112,'UN Treasury'!$A$1:$BQ$224,_xlfn.XMATCH(N$1,'UN Treasury'!$A$1:$BQ$1,-1,1),FALSE)</f>
        <v>1437</v>
      </c>
      <c r="O112">
        <f>VLOOKUP($A112,'UN Treasury'!$A$1:$BQ$224,_xlfn.XMATCH(O$1,'UN Treasury'!$A$1:$BQ$1,-1,1),FALSE)</f>
        <v>1430.1690000000001</v>
      </c>
      <c r="P112">
        <f>VLOOKUP($A112,'UN Treasury'!$A$1:$BQ$224,_xlfn.XMATCH(P$1,'UN Treasury'!$A$1:$BQ$1,-1,1),FALSE)</f>
        <v>1408.1</v>
      </c>
      <c r="Q112">
        <f>VLOOKUP($A112,'UN Treasury'!$A$1:$BQ$224,_xlfn.XMATCH(Q$1,'UN Treasury'!$A$1:$BQ$1,-1,1),FALSE)</f>
        <v>1411.05</v>
      </c>
      <c r="R112">
        <f>VLOOKUP($A112,'UN Treasury'!$A$1:$BQ$224,_xlfn.XMATCH(R$1,'UN Treasury'!$A$1:$BQ$1,-1,1),FALSE)</f>
        <v>1409.3910000000001</v>
      </c>
      <c r="S112">
        <f>VLOOKUP($A112,'UN Treasury'!$A$1:$BQ$224,_xlfn.XMATCH(S$1,'UN Treasury'!$A$1:$BQ$1,-1,1),FALSE)</f>
        <v>1399.1130000000001</v>
      </c>
      <c r="T112">
        <f>VLOOKUP($A112,'UN Treasury'!$A$1:$BQ$224,_xlfn.XMATCH(T$1,'UN Treasury'!$A$1:$BQ$1,-1,1),FALSE)</f>
        <v>1395.1</v>
      </c>
      <c r="U112">
        <f>VLOOKUP($A112,'UN Treasury'!$A$1:$BQ$224,_xlfn.XMATCH(U$1,'UN Treasury'!$A$1:$BQ$1,-1,1),FALSE)</f>
        <v>1377.7049999999999</v>
      </c>
      <c r="V112">
        <f>VLOOKUP($A112,'UN Treasury'!$A$1:$BQ$224,_xlfn.XMATCH(V$1,'UN Treasury'!$A$1:$BQ$1,-1,1),FALSE)</f>
        <v>1371.4960000000001</v>
      </c>
      <c r="W112">
        <f>VLOOKUP($A112,'UN Treasury'!$A$1:$BQ$224,_xlfn.XMATCH(W$1,'UN Treasury'!$A$1:$BQ$1,-1,1),FALSE)</f>
        <v>1354.538</v>
      </c>
      <c r="X112">
        <f>VLOOKUP($A112,'UN Treasury'!$A$1:$BQ$224,_xlfn.XMATCH(X$1,'UN Treasury'!$A$1:$BQ$1,-1,1),FALSE)</f>
        <v>1339.4580000000001</v>
      </c>
      <c r="Y112">
        <f>VLOOKUP($A112,'UN Treasury'!$A$1:$BQ$224,_xlfn.XMATCH(Y$1,'UN Treasury'!$A$1:$BQ$1,-1,1),FALSE)</f>
        <v>1330.7460000000001</v>
      </c>
      <c r="Z112">
        <f>VLOOKUP($A112,'UN Treasury'!$A$1:$BQ$224,_xlfn.XMATCH(Z$1,'UN Treasury'!$A$1:$BQ$1,-1,1),FALSE)</f>
        <v>1310.221</v>
      </c>
      <c r="AA112">
        <f>VLOOKUP($A112,'UN Treasury'!$A$1:$BQ$224,_xlfn.XMATCH(AA$1,'UN Treasury'!$A$1:$BQ$1,-1,1),FALSE)</f>
        <v>1303.4359999999999</v>
      </c>
      <c r="AB112">
        <f>VLOOKUP($A112,'UN Treasury'!$A$1:$BQ$224,_xlfn.XMATCH(AB$1,'UN Treasury'!$A$1:$BQ$1,-1,1),FALSE)</f>
        <v>1293.662</v>
      </c>
      <c r="AC112">
        <f>VLOOKUP($A112,'UN Treasury'!$A$1:$BQ$224,_xlfn.XMATCH(AC$1,'UN Treasury'!$A$1:$BQ$1,-1,1),FALSE)</f>
        <v>1284.9110000000001</v>
      </c>
      <c r="AD112">
        <f>VLOOKUP($A112,'UN Treasury'!$A$1:$BQ$224,_xlfn.XMATCH(AD$1,'UN Treasury'!$A$1:$BQ$1,-1,1),FALSE)</f>
        <v>1277.625</v>
      </c>
      <c r="AE112">
        <f>VLOOKUP($A112,'UN Treasury'!$A$1:$BQ$224,_xlfn.XMATCH(AE$1,'UN Treasury'!$A$1:$BQ$1,-1,1),FALSE)</f>
        <v>1274.6489999999999</v>
      </c>
      <c r="AF112">
        <f>VLOOKUP($A112,'UN Treasury'!$A$1:$BQ$224,_xlfn.XMATCH(AF$1,'UN Treasury'!$A$1:$BQ$1,-1,1),FALSE)</f>
        <v>1262.124</v>
      </c>
      <c r="AG112">
        <f>VLOOKUP($A112,'UN Treasury'!$A$1:$BQ$224,_xlfn.XMATCH(AG$1,'UN Treasury'!$A$1:$BQ$1,-1,1),FALSE)</f>
        <v>1255.104</v>
      </c>
      <c r="AH112">
        <f>VLOOKUP($A112,'UN Treasury'!$A$1:$BQ$224,_xlfn.XMATCH(AH$1,'UN Treasury'!$A$1:$BQ$1,-1,1),FALSE)</f>
        <v>1237.481</v>
      </c>
      <c r="AI112">
        <f>VLOOKUP($A112,'UN Treasury'!$A$1:$BQ$224,_xlfn.XMATCH(AI$1,'UN Treasury'!$A$1:$BQ$1,-1,1),FALSE)</f>
        <v>1222.6759999999999</v>
      </c>
      <c r="AJ112">
        <f>VLOOKUP($A112,'UN Treasury'!$A$1:$BQ$224,_xlfn.XMATCH(AJ$1,'UN Treasury'!$A$1:$BQ$1,-1,1),FALSE)</f>
        <v>1209.914</v>
      </c>
      <c r="AK112">
        <f>VLOOKUP($A112,'UN Treasury'!$A$1:$BQ$224,_xlfn.XMATCH(AK$1,'UN Treasury'!$A$1:$BQ$1,-1,1),FALSE)</f>
        <v>1187.4190000000001</v>
      </c>
      <c r="AL112">
        <f>VLOOKUP($A112,'UN Treasury'!$A$1:$BQ$224,_xlfn.XMATCH(AL$1,'UN Treasury'!$A$1:$BQ$1,-1,1),FALSE)</f>
        <v>1170.3140000000001</v>
      </c>
      <c r="AM112">
        <f>VLOOKUP($A112,'UN Treasury'!$A$1:$BQ$224,_xlfn.XMATCH(AM$1,'UN Treasury'!$A$1:$BQ$1,-1,1),FALSE)</f>
        <v>1154.8720000000001</v>
      </c>
      <c r="AN112">
        <f>VLOOKUP($A112,'UN Treasury'!$A$1:$BQ$224,_xlfn.XMATCH(AN$1,'UN Treasury'!$A$1:$BQ$1,-1,1),FALSE)</f>
        <v>1124.4939999999999</v>
      </c>
      <c r="AO112">
        <f>VLOOKUP($A112,'UN Treasury'!$A$1:$BQ$224,_xlfn.XMATCH(AO$1,'UN Treasury'!$A$1:$BQ$1,-1,1),FALSE)</f>
        <v>1106.9100000000001</v>
      </c>
      <c r="AP112">
        <f>VLOOKUP($A112,'UN Treasury'!$A$1:$BQ$224,_xlfn.XMATCH(AP$1,'UN Treasury'!$A$1:$BQ$1,-1,1),FALSE)</f>
        <v>1092.0830000000001</v>
      </c>
      <c r="AQ112">
        <f>VLOOKUP($A112,'UN Treasury'!$A$1:$BQ$224,_xlfn.XMATCH(AQ$1,'UN Treasury'!$A$1:$BQ$1,-1,1),FALSE)</f>
        <v>1081.7429999999999</v>
      </c>
      <c r="AR112">
        <f>VLOOKUP($A112,'UN Treasury'!$A$1:$BQ$224,_xlfn.XMATCH(AR$1,'UN Treasury'!$A$1:$BQ$1,-1,1),FALSE)</f>
        <v>1075.1869999999999</v>
      </c>
      <c r="AS112">
        <f>VLOOKUP($A112,'UN Treasury'!$A$1:$BQ$224,_xlfn.XMATCH(AS$1,'UN Treasury'!$A$1:$BQ$1,-1,1),FALSE)</f>
        <v>1061.3109999999999</v>
      </c>
      <c r="AT112">
        <f>VLOOKUP($A112,'UN Treasury'!$A$1:$BQ$224,_xlfn.XMATCH(AT$1,'UN Treasury'!$A$1:$BQ$1,-1,1),FALSE)</f>
        <v>1051.221</v>
      </c>
      <c r="AU112">
        <f>VLOOKUP($A112,'UN Treasury'!$A$1:$BQ$224,_xlfn.XMATCH(AU$1,'UN Treasury'!$A$1:$BQ$1,-1,1),FALSE)</f>
        <v>1051.319</v>
      </c>
      <c r="AV112">
        <f>VLOOKUP($A112,'UN Treasury'!$A$1:$BQ$224,_xlfn.XMATCH(AV$1,'UN Treasury'!$A$1:$BQ$1,-1,1),FALSE)</f>
        <v>1039.5740000000001</v>
      </c>
      <c r="AW112">
        <f>VLOOKUP($A112,'UN Treasury'!$A$1:$BQ$224,_xlfn.XMATCH(AW$1,'UN Treasury'!$A$1:$BQ$1,-1,1),FALSE)</f>
        <v>1026.549</v>
      </c>
      <c r="AX112">
        <f>VLOOKUP($A112,'UN Treasury'!$A$1:$BQ$224,_xlfn.XMATCH(AX$1,'UN Treasury'!$A$1:$BQ$1,-1,1),FALSE)</f>
        <v>1023.48</v>
      </c>
      <c r="AY112">
        <f>VLOOKUP($A112,'UN Treasury'!$A$1:$BQ$224,_xlfn.XMATCH(AY$1,'UN Treasury'!$A$1:$BQ$1,-1,1),FALSE)</f>
        <v>1013.29</v>
      </c>
      <c r="AZ112">
        <f>VLOOKUP($A112,'UN Treasury'!$A$1:$BQ$224,_xlfn.XMATCH(AZ$1,'UN Treasury'!$A$1:$BQ$1,-1,1),FALSE)</f>
        <v>1015.218</v>
      </c>
      <c r="BA112">
        <f>VLOOKUP($A112,'UN Treasury'!$A$1:$BQ$224,_xlfn.XMATCH(BA$1,'UN Treasury'!$A$1:$BQ$1,-1,1),FALSE)</f>
        <v>1010.04</v>
      </c>
      <c r="BB112">
        <f>VLOOKUP($A112,'UN Treasury'!$A$1:$BQ$224,_xlfn.XMATCH(BB$1,'UN Treasury'!$A$1:$BQ$1,-1,1),FALSE)</f>
        <v>1008.995</v>
      </c>
      <c r="BC112">
        <f>VLOOKUP($A112,'UN Treasury'!$A$1:$BQ$224,_xlfn.XMATCH(BC$1,'UN Treasury'!$A$1:$BQ$1,-1,1),FALSE)</f>
        <v>1005.302</v>
      </c>
      <c r="BD112">
        <f>VLOOKUP($A112,'UN Treasury'!$A$1:$BQ$224,_xlfn.XMATCH(BD$1,'UN Treasury'!$A$1:$BQ$1,-1,1),FALSE)</f>
        <v>1018.2799</v>
      </c>
      <c r="BE112">
        <f>VLOOKUP($A112,'UN Treasury'!$A$1:$BQ$224,_xlfn.XMATCH(BE$1,'UN Treasury'!$A$1:$BQ$1,-1,1),FALSE)</f>
        <v>1009.4237000000001</v>
      </c>
      <c r="BF112">
        <f>VLOOKUP($A112,'UN Treasury'!$A$1:$BQ$224,_xlfn.XMATCH(BF$1,'UN Treasury'!$A$1:$BQ$1,-1,1),FALSE)</f>
        <v>1007.8365</v>
      </c>
      <c r="BG112">
        <f>VLOOKUP($A112,'UN Treasury'!$A$1:$BQ$224,_xlfn.XMATCH(BG$1,'UN Treasury'!$A$1:$BQ$1,-1,1),FALSE)</f>
        <v>1005.93</v>
      </c>
      <c r="BH112">
        <f>VLOOKUP($A112,'UN Treasury'!$A$1:$BQ$224,_xlfn.XMATCH(BH$1,'UN Treasury'!$A$1:$BQ$1,-1,1),FALSE)</f>
        <v>1000.77</v>
      </c>
      <c r="BI112">
        <f>VLOOKUP($A112,'UN Treasury'!$A$1:$BQ$224,_xlfn.XMATCH(BI$1,'UN Treasury'!$A$1:$BQ$1,-1,1),FALSE)</f>
        <v>998.53</v>
      </c>
      <c r="BJ112">
        <f>VLOOKUP($A112,'UN Treasury'!$A$1:$BQ$224,_xlfn.XMATCH(BJ$1,'UN Treasury'!$A$1:$BQ$1,-1,1),FALSE)</f>
        <v>992.97</v>
      </c>
      <c r="BK112">
        <f>VLOOKUP($A112,'UN Treasury'!$A$1:$BQ$224,_xlfn.XMATCH(BK$1,'UN Treasury'!$A$1:$BQ$1,-1,1),FALSE)</f>
        <v>990.91</v>
      </c>
      <c r="BL112">
        <f>VLOOKUP($A112,'UN Treasury'!$A$1:$BQ$224,_xlfn.XMATCH(BL$1,'UN Treasury'!$A$1:$BQ$1,-1,1),FALSE)</f>
        <v>993.38</v>
      </c>
      <c r="BM112">
        <f>VLOOKUP($A112,'UN Treasury'!$A$1:$BQ$224,_xlfn.XMATCH(BM$1,'UN Treasury'!$A$1:$BQ$1,-1,1),FALSE)</f>
        <v>989.45</v>
      </c>
      <c r="BN112">
        <f>VLOOKUP($A112,'UN Treasury'!$A$1:$BQ$224,_xlfn.XMATCH(BN$1,'UN Treasury'!$A$1:$BQ$1,-1,1),FALSE)</f>
        <v>986.77</v>
      </c>
      <c r="BO112">
        <f>VLOOKUP($A112,'UN Treasury'!$A$1:$BQ$224,_xlfn.XMATCH(BO$1,'UN Treasury'!$A$1:$BQ$1,-1,1),FALSE)</f>
        <v>975</v>
      </c>
      <c r="BP112">
        <f>VLOOKUP($A112,'UN Treasury'!$A$1:$BQ$224,_xlfn.XMATCH(BP$1,'UN Treasury'!$A$1:$BQ$1,-1,1),FALSE)</f>
        <v>985</v>
      </c>
      <c r="BQ112">
        <f>VLOOKUP($A112,'UN Treasury'!$A$1:$BQ$224,_xlfn.XMATCH(BQ$1,'UN Treasury'!$A$1:$BQ$1,-1,1),FALSE)</f>
        <v>983</v>
      </c>
    </row>
    <row r="113" spans="1:69" x14ac:dyDescent="0.25">
      <c r="A113" t="s">
        <v>245</v>
      </c>
      <c r="B113">
        <f>VLOOKUP($A113,'UN Treasury'!$A$1:$BQ$224,_xlfn.XMATCH(B$1,'UN Treasury'!$A$1:$BQ$1,-1,1),FALSE)</f>
        <v>3.754</v>
      </c>
      <c r="C113">
        <f>VLOOKUP($A113,'UN Treasury'!$A$1:$BQ$224,_xlfn.XMATCH(C$1,'UN Treasury'!$A$1:$BQ$1,-1,1),FALSE)</f>
        <v>3.7549999999999999</v>
      </c>
      <c r="D113">
        <f>VLOOKUP($A113,'UN Treasury'!$A$1:$BQ$224,_xlfn.XMATCH(D$1,'UN Treasury'!$A$1:$BQ$1,-1,1),FALSE)</f>
        <v>3.754</v>
      </c>
      <c r="E113">
        <f>VLOOKUP($A113,'UN Treasury'!$A$1:$BQ$224,_xlfn.XMATCH(E$1,'UN Treasury'!$A$1:$BQ$1,-1,1),FALSE)</f>
        <v>3.7519999999999998</v>
      </c>
      <c r="F113">
        <f>VLOOKUP($A113,'UN Treasury'!$A$1:$BQ$224,_xlfn.XMATCH(F$1,'UN Treasury'!$A$1:$BQ$1,-1,1),FALSE)</f>
        <v>3.7530000000000001</v>
      </c>
      <c r="G113">
        <f>VLOOKUP($A113,'UN Treasury'!$A$1:$BQ$224,_xlfn.XMATCH(G$1,'UN Treasury'!$A$1:$BQ$1,-1,1),FALSE)</f>
        <v>3.7509999999999999</v>
      </c>
      <c r="H113">
        <f>VLOOKUP($A113,'UN Treasury'!$A$1:$BQ$224,_xlfn.XMATCH(H$1,'UN Treasury'!$A$1:$BQ$1,-1,1),FALSE)</f>
        <v>3.75</v>
      </c>
      <c r="I113">
        <f>VLOOKUP($A113,'UN Treasury'!$A$1:$BQ$224,_xlfn.XMATCH(I$1,'UN Treasury'!$A$1:$BQ$1,-1,1),FALSE)</f>
        <v>3.75</v>
      </c>
      <c r="J113">
        <f>VLOOKUP($A113,'UN Treasury'!$A$1:$BQ$224,_xlfn.XMATCH(J$1,'UN Treasury'!$A$1:$BQ$1,-1,1),FALSE)</f>
        <v>3.7519999999999998</v>
      </c>
      <c r="K113">
        <f>VLOOKUP($A113,'UN Treasury'!$A$1:$BQ$224,_xlfn.XMATCH(K$1,'UN Treasury'!$A$1:$BQ$1,-1,1),FALSE)</f>
        <v>3.75</v>
      </c>
      <c r="L113">
        <f>VLOOKUP($A113,'UN Treasury'!$A$1:$BQ$224,_xlfn.XMATCH(L$1,'UN Treasury'!$A$1:$BQ$1,-1,1),FALSE)</f>
        <v>3.75</v>
      </c>
      <c r="M113">
        <f>VLOOKUP($A113,'UN Treasury'!$A$1:$BQ$224,_xlfn.XMATCH(M$1,'UN Treasury'!$A$1:$BQ$1,-1,1),FALSE)</f>
        <v>3.7519999999999998</v>
      </c>
      <c r="N113">
        <f>VLOOKUP($A113,'UN Treasury'!$A$1:$BQ$224,_xlfn.XMATCH(N$1,'UN Treasury'!$A$1:$BQ$1,-1,1),FALSE)</f>
        <v>3.7519999999999998</v>
      </c>
      <c r="O113">
        <f>VLOOKUP($A113,'UN Treasury'!$A$1:$BQ$224,_xlfn.XMATCH(O$1,'UN Treasury'!$A$1:$BQ$1,-1,1),FALSE)</f>
        <v>3.75</v>
      </c>
      <c r="P113">
        <f>VLOOKUP($A113,'UN Treasury'!$A$1:$BQ$224,_xlfn.XMATCH(P$1,'UN Treasury'!$A$1:$BQ$1,-1,1),FALSE)</f>
        <v>3.7509999999999999</v>
      </c>
      <c r="Q113">
        <f>VLOOKUP($A113,'UN Treasury'!$A$1:$BQ$224,_xlfn.XMATCH(Q$1,'UN Treasury'!$A$1:$BQ$1,-1,1),FALSE)</f>
        <v>3.7509999999999999</v>
      </c>
      <c r="R113">
        <f>VLOOKUP($A113,'UN Treasury'!$A$1:$BQ$224,_xlfn.XMATCH(R$1,'UN Treasury'!$A$1:$BQ$1,-1,1),FALSE)</f>
        <v>3.754</v>
      </c>
      <c r="S113">
        <f>VLOOKUP($A113,'UN Treasury'!$A$1:$BQ$224,_xlfn.XMATCH(S$1,'UN Treasury'!$A$1:$BQ$1,-1,1),FALSE)</f>
        <v>3.7509999999999999</v>
      </c>
      <c r="T113">
        <f>VLOOKUP($A113,'UN Treasury'!$A$1:$BQ$224,_xlfn.XMATCH(T$1,'UN Treasury'!$A$1:$BQ$1,-1,1),FALSE)</f>
        <v>3.7509999999999999</v>
      </c>
      <c r="U113">
        <f>VLOOKUP($A113,'UN Treasury'!$A$1:$BQ$224,_xlfn.XMATCH(U$1,'UN Treasury'!$A$1:$BQ$1,-1,1),FALSE)</f>
        <v>3.754</v>
      </c>
      <c r="V113">
        <f>VLOOKUP($A113,'UN Treasury'!$A$1:$BQ$224,_xlfn.XMATCH(V$1,'UN Treasury'!$A$1:$BQ$1,-1,1),FALSE)</f>
        <v>3.758</v>
      </c>
      <c r="W113">
        <f>VLOOKUP($A113,'UN Treasury'!$A$1:$BQ$224,_xlfn.XMATCH(W$1,'UN Treasury'!$A$1:$BQ$1,-1,1),FALSE)</f>
        <v>3.7570000000000001</v>
      </c>
      <c r="X113">
        <f>VLOOKUP($A113,'UN Treasury'!$A$1:$BQ$224,_xlfn.XMATCH(X$1,'UN Treasury'!$A$1:$BQ$1,-1,1),FALSE)</f>
        <v>3.7549999999999999</v>
      </c>
      <c r="Y113">
        <f>VLOOKUP($A113,'UN Treasury'!$A$1:$BQ$224,_xlfn.XMATCH(Y$1,'UN Treasury'!$A$1:$BQ$1,-1,1),FALSE)</f>
        <v>3.7530000000000001</v>
      </c>
      <c r="Z113">
        <f>VLOOKUP($A113,'UN Treasury'!$A$1:$BQ$224,_xlfn.XMATCH(Z$1,'UN Treasury'!$A$1:$BQ$1,-1,1),FALSE)</f>
        <v>3.754</v>
      </c>
      <c r="AA113">
        <f>VLOOKUP($A113,'UN Treasury'!$A$1:$BQ$224,_xlfn.XMATCH(AA$1,'UN Treasury'!$A$1:$BQ$1,-1,1),FALSE)</f>
        <v>3.7509999999999999</v>
      </c>
      <c r="AB113">
        <f>VLOOKUP($A113,'UN Treasury'!$A$1:$BQ$224,_xlfn.XMATCH(AB$1,'UN Treasury'!$A$1:$BQ$1,-1,1),FALSE)</f>
        <v>3.7509999999999999</v>
      </c>
      <c r="AC113">
        <f>VLOOKUP($A113,'UN Treasury'!$A$1:$BQ$224,_xlfn.XMATCH(AC$1,'UN Treasury'!$A$1:$BQ$1,-1,1),FALSE)</f>
        <v>3.75</v>
      </c>
      <c r="AD113">
        <f>VLOOKUP($A113,'UN Treasury'!$A$1:$BQ$224,_xlfn.XMATCH(AD$1,'UN Treasury'!$A$1:$BQ$1,-1,1),FALSE)</f>
        <v>3.7509999999999999</v>
      </c>
      <c r="AE113">
        <f>VLOOKUP($A113,'UN Treasury'!$A$1:$BQ$224,_xlfn.XMATCH(AE$1,'UN Treasury'!$A$1:$BQ$1,-1,1),FALSE)</f>
        <v>3.75</v>
      </c>
      <c r="AF113">
        <f>VLOOKUP($A113,'UN Treasury'!$A$1:$BQ$224,_xlfn.XMATCH(AF$1,'UN Treasury'!$A$1:$BQ$1,-1,1),FALSE)</f>
        <v>3.75</v>
      </c>
      <c r="AG113">
        <f>VLOOKUP($A113,'UN Treasury'!$A$1:$BQ$224,_xlfn.XMATCH(AG$1,'UN Treasury'!$A$1:$BQ$1,-1,1),FALSE)</f>
        <v>3.75</v>
      </c>
      <c r="AH113">
        <f>VLOOKUP($A113,'UN Treasury'!$A$1:$BQ$224,_xlfn.XMATCH(AH$1,'UN Treasury'!$A$1:$BQ$1,-1,1),FALSE)</f>
        <v>3.7509999999999999</v>
      </c>
      <c r="AI113">
        <f>VLOOKUP($A113,'UN Treasury'!$A$1:$BQ$224,_xlfn.XMATCH(AI$1,'UN Treasury'!$A$1:$BQ$1,-1,1),FALSE)</f>
        <v>3.75</v>
      </c>
      <c r="AJ113">
        <f>VLOOKUP($A113,'UN Treasury'!$A$1:$BQ$224,_xlfn.XMATCH(AJ$1,'UN Treasury'!$A$1:$BQ$1,-1,1),FALSE)</f>
        <v>3.7509999999999999</v>
      </c>
      <c r="AK113">
        <f>VLOOKUP($A113,'UN Treasury'!$A$1:$BQ$224,_xlfn.XMATCH(AK$1,'UN Treasury'!$A$1:$BQ$1,-1,1),FALSE)</f>
        <v>3.7509999999999999</v>
      </c>
      <c r="AL113">
        <f>VLOOKUP($A113,'UN Treasury'!$A$1:$BQ$224,_xlfn.XMATCH(AL$1,'UN Treasury'!$A$1:$BQ$1,-1,1),FALSE)</f>
        <v>3.7519999999999998</v>
      </c>
      <c r="AM113">
        <f>VLOOKUP($A113,'UN Treasury'!$A$1:$BQ$224,_xlfn.XMATCH(AM$1,'UN Treasury'!$A$1:$BQ$1,-1,1),FALSE)</f>
        <v>3.7509999999999999</v>
      </c>
      <c r="AN113">
        <f>VLOOKUP($A113,'UN Treasury'!$A$1:$BQ$224,_xlfn.XMATCH(AN$1,'UN Treasury'!$A$1:$BQ$1,-1,1),FALSE)</f>
        <v>3.75</v>
      </c>
      <c r="AO113">
        <f>VLOOKUP($A113,'UN Treasury'!$A$1:$BQ$224,_xlfn.XMATCH(AO$1,'UN Treasury'!$A$1:$BQ$1,-1,1),FALSE)</f>
        <v>3.75</v>
      </c>
      <c r="AP113">
        <f>VLOOKUP($A113,'UN Treasury'!$A$1:$BQ$224,_xlfn.XMATCH(AP$1,'UN Treasury'!$A$1:$BQ$1,-1,1),FALSE)</f>
        <v>3.7509999999999999</v>
      </c>
      <c r="AQ113">
        <f>VLOOKUP($A113,'UN Treasury'!$A$1:$BQ$224,_xlfn.XMATCH(AQ$1,'UN Treasury'!$A$1:$BQ$1,-1,1),FALSE)</f>
        <v>3.754</v>
      </c>
      <c r="AR113">
        <f>VLOOKUP($A113,'UN Treasury'!$A$1:$BQ$224,_xlfn.XMATCH(AR$1,'UN Treasury'!$A$1:$BQ$1,-1,1),FALSE)</f>
        <v>3.7519999999999998</v>
      </c>
      <c r="AS113">
        <f>VLOOKUP($A113,'UN Treasury'!$A$1:$BQ$224,_xlfn.XMATCH(AS$1,'UN Treasury'!$A$1:$BQ$1,-1,1),FALSE)</f>
        <v>3.7559999999999998</v>
      </c>
      <c r="AT113">
        <f>VLOOKUP($A113,'UN Treasury'!$A$1:$BQ$224,_xlfn.XMATCH(AT$1,'UN Treasury'!$A$1:$BQ$1,-1,1),FALSE)</f>
        <v>3.7589999999999999</v>
      </c>
      <c r="AU113">
        <f>VLOOKUP($A113,'UN Treasury'!$A$1:$BQ$224,_xlfn.XMATCH(AU$1,'UN Treasury'!$A$1:$BQ$1,-1,1),FALSE)</f>
        <v>3.7589999999999999</v>
      </c>
      <c r="AV113">
        <f>VLOOKUP($A113,'UN Treasury'!$A$1:$BQ$224,_xlfn.XMATCH(AV$1,'UN Treasury'!$A$1:$BQ$1,-1,1),FALSE)</f>
        <v>3.758</v>
      </c>
      <c r="AW113">
        <f>VLOOKUP($A113,'UN Treasury'!$A$1:$BQ$224,_xlfn.XMATCH(AW$1,'UN Treasury'!$A$1:$BQ$1,-1,1),FALSE)</f>
        <v>3.758</v>
      </c>
      <c r="AX113">
        <f>VLOOKUP($A113,'UN Treasury'!$A$1:$BQ$224,_xlfn.XMATCH(AX$1,'UN Treasury'!$A$1:$BQ$1,-1,1),FALSE)</f>
        <v>3.7559999999999998</v>
      </c>
      <c r="AY113">
        <f>VLOOKUP($A113,'UN Treasury'!$A$1:$BQ$224,_xlfn.XMATCH(AY$1,'UN Treasury'!$A$1:$BQ$1,-1,1),FALSE)</f>
        <v>3.754</v>
      </c>
      <c r="AZ113">
        <f>VLOOKUP($A113,'UN Treasury'!$A$1:$BQ$224,_xlfn.XMATCH(AZ$1,'UN Treasury'!$A$1:$BQ$1,-1,1),FALSE)</f>
        <v>3.7519999999999998</v>
      </c>
      <c r="BA113">
        <f>VLOOKUP($A113,'UN Treasury'!$A$1:$BQ$224,_xlfn.XMATCH(BA$1,'UN Treasury'!$A$1:$BQ$1,-1,1),FALSE)</f>
        <v>3.7509999999999999</v>
      </c>
      <c r="BB113">
        <f>VLOOKUP($A113,'UN Treasury'!$A$1:$BQ$224,_xlfn.XMATCH(BB$1,'UN Treasury'!$A$1:$BQ$1,-1,1),FALSE)</f>
        <v>3.75</v>
      </c>
      <c r="BC113">
        <f>VLOOKUP($A113,'UN Treasury'!$A$1:$BQ$224,_xlfn.XMATCH(BC$1,'UN Treasury'!$A$1:$BQ$1,-1,1),FALSE)</f>
        <v>3.7509999999999999</v>
      </c>
      <c r="BD113">
        <f>VLOOKUP($A113,'UN Treasury'!$A$1:$BQ$224,_xlfn.XMATCH(BD$1,'UN Treasury'!$A$1:$BQ$1,-1,1),FALSE)</f>
        <v>3.7519999999999998</v>
      </c>
      <c r="BE113">
        <f>VLOOKUP($A113,'UN Treasury'!$A$1:$BQ$224,_xlfn.XMATCH(BE$1,'UN Treasury'!$A$1:$BQ$1,-1,1),FALSE)</f>
        <v>3.7530000000000001</v>
      </c>
      <c r="BF113">
        <f>VLOOKUP($A113,'UN Treasury'!$A$1:$BQ$224,_xlfn.XMATCH(BF$1,'UN Treasury'!$A$1:$BQ$1,-1,1),FALSE)</f>
        <v>3.7519999999999998</v>
      </c>
      <c r="BG113">
        <f>VLOOKUP($A113,'UN Treasury'!$A$1:$BQ$224,_xlfn.XMATCH(BG$1,'UN Treasury'!$A$1:$BQ$1,-1,1),FALSE)</f>
        <v>3.7509999999999999</v>
      </c>
      <c r="BH113">
        <f>VLOOKUP($A113,'UN Treasury'!$A$1:$BQ$224,_xlfn.XMATCH(BH$1,'UN Treasury'!$A$1:$BQ$1,-1,1),FALSE)</f>
        <v>3.7509999999999999</v>
      </c>
      <c r="BI113">
        <f>VLOOKUP($A113,'UN Treasury'!$A$1:$BQ$224,_xlfn.XMATCH(BI$1,'UN Treasury'!$A$1:$BQ$1,-1,1),FALSE)</f>
        <v>3.7509999999999999</v>
      </c>
      <c r="BJ113">
        <f>VLOOKUP($A113,'UN Treasury'!$A$1:$BQ$224,_xlfn.XMATCH(BJ$1,'UN Treasury'!$A$1:$BQ$1,-1,1),FALSE)</f>
        <v>3.7509999999999999</v>
      </c>
      <c r="BK113">
        <f>VLOOKUP($A113,'UN Treasury'!$A$1:$BQ$224,_xlfn.XMATCH(BK$1,'UN Treasury'!$A$1:$BQ$1,-1,1),FALSE)</f>
        <v>3.75</v>
      </c>
      <c r="BL113">
        <f>VLOOKUP($A113,'UN Treasury'!$A$1:$BQ$224,_xlfn.XMATCH(BL$1,'UN Treasury'!$A$1:$BQ$1,-1,1),FALSE)</f>
        <v>3.75</v>
      </c>
      <c r="BM113">
        <f>VLOOKUP($A113,'UN Treasury'!$A$1:$BQ$224,_xlfn.XMATCH(BM$1,'UN Treasury'!$A$1:$BQ$1,-1,1),FALSE)</f>
        <v>3.75</v>
      </c>
      <c r="BN113">
        <f>VLOOKUP($A113,'UN Treasury'!$A$1:$BQ$224,_xlfn.XMATCH(BN$1,'UN Treasury'!$A$1:$BQ$1,-1,1),FALSE)</f>
        <v>3.75</v>
      </c>
      <c r="BO113">
        <f>VLOOKUP($A113,'UN Treasury'!$A$1:$BQ$224,_xlfn.XMATCH(BO$1,'UN Treasury'!$A$1:$BQ$1,-1,1),FALSE)</f>
        <v>3.75</v>
      </c>
      <c r="BP113">
        <f>VLOOKUP($A113,'UN Treasury'!$A$1:$BQ$224,_xlfn.XMATCH(BP$1,'UN Treasury'!$A$1:$BQ$1,-1,1),FALSE)</f>
        <v>3.7509999999999999</v>
      </c>
      <c r="BQ113">
        <f>VLOOKUP($A113,'UN Treasury'!$A$1:$BQ$224,_xlfn.XMATCH(BQ$1,'UN Treasury'!$A$1:$BQ$1,-1,1),FALSE)</f>
        <v>3.7530000000000001</v>
      </c>
    </row>
    <row r="114" spans="1:69" x14ac:dyDescent="0.25">
      <c r="A114" t="s">
        <v>248</v>
      </c>
      <c r="B114">
        <f>VLOOKUP($A114,'UN Treasury'!$A$1:$BQ$224,_xlfn.XMATCH(B$1,'UN Treasury'!$A$1:$BQ$1,-1,1),FALSE)</f>
        <v>7.9180000000000001</v>
      </c>
      <c r="C114">
        <f>VLOOKUP($A114,'UN Treasury'!$A$1:$BQ$224,_xlfn.XMATCH(C$1,'UN Treasury'!$A$1:$BQ$1,-1,1),FALSE)</f>
        <v>7.968</v>
      </c>
      <c r="D114">
        <f>VLOOKUP($A114,'UN Treasury'!$A$1:$BQ$224,_xlfn.XMATCH(D$1,'UN Treasury'!$A$1:$BQ$1,-1,1),FALSE)</f>
        <v>7.9489999999999998</v>
      </c>
      <c r="E114">
        <f>VLOOKUP($A114,'UN Treasury'!$A$1:$BQ$224,_xlfn.XMATCH(E$1,'UN Treasury'!$A$1:$BQ$1,-1,1),FALSE)</f>
        <v>7.899</v>
      </c>
      <c r="F114">
        <f>VLOOKUP($A114,'UN Treasury'!$A$1:$BQ$224,_xlfn.XMATCH(F$1,'UN Treasury'!$A$1:$BQ$1,-1,1),FALSE)</f>
        <v>7.9429999999999996</v>
      </c>
      <c r="G114">
        <f>VLOOKUP($A114,'UN Treasury'!$A$1:$BQ$224,_xlfn.XMATCH(G$1,'UN Treasury'!$A$1:$BQ$1,-1,1),FALSE)</f>
        <v>7.9180000000000001</v>
      </c>
      <c r="H114">
        <f>VLOOKUP($A114,'UN Treasury'!$A$1:$BQ$224,_xlfn.XMATCH(H$1,'UN Treasury'!$A$1:$BQ$1,-1,1),FALSE)</f>
        <v>7.9109999999999996</v>
      </c>
      <c r="I114">
        <f>VLOOKUP($A114,'UN Treasury'!$A$1:$BQ$224,_xlfn.XMATCH(I$1,'UN Treasury'!$A$1:$BQ$1,-1,1),FALSE)</f>
        <v>8.0060000000000002</v>
      </c>
      <c r="J114">
        <f>VLOOKUP($A114,'UN Treasury'!$A$1:$BQ$224,_xlfn.XMATCH(J$1,'UN Treasury'!$A$1:$BQ$1,-1,1),FALSE)</f>
        <v>8.0519999999999996</v>
      </c>
      <c r="K114">
        <f>VLOOKUP($A114,'UN Treasury'!$A$1:$BQ$224,_xlfn.XMATCH(K$1,'UN Treasury'!$A$1:$BQ$1,-1,1),FALSE)</f>
        <v>8.1170000000000009</v>
      </c>
      <c r="L114">
        <f>VLOOKUP($A114,'UN Treasury'!$A$1:$BQ$224,_xlfn.XMATCH(L$1,'UN Treasury'!$A$1:$BQ$1,-1,1),FALSE)</f>
        <v>8.1170000000000009</v>
      </c>
      <c r="M114">
        <f>VLOOKUP($A114,'UN Treasury'!$A$1:$BQ$224,_xlfn.XMATCH(M$1,'UN Treasury'!$A$1:$BQ$1,-1,1),FALSE)</f>
        <v>8.0909999999999993</v>
      </c>
      <c r="N114">
        <f>VLOOKUP($A114,'UN Treasury'!$A$1:$BQ$224,_xlfn.XMATCH(N$1,'UN Treasury'!$A$1:$BQ$1,-1,1),FALSE)</f>
        <v>8.11</v>
      </c>
      <c r="O114">
        <f>VLOOKUP($A114,'UN Treasury'!$A$1:$BQ$224,_xlfn.XMATCH(O$1,'UN Treasury'!$A$1:$BQ$1,-1,1),FALSE)</f>
        <v>8.2170000000000005</v>
      </c>
      <c r="P114">
        <f>VLOOKUP($A114,'UN Treasury'!$A$1:$BQ$224,_xlfn.XMATCH(P$1,'UN Treasury'!$A$1:$BQ$1,-1,1),FALSE)</f>
        <v>8.2170000000000005</v>
      </c>
      <c r="Q114">
        <f>VLOOKUP($A114,'UN Treasury'!$A$1:$BQ$224,_xlfn.XMATCH(Q$1,'UN Treasury'!$A$1:$BQ$1,-1,1),FALSE)</f>
        <v>8.2170000000000005</v>
      </c>
      <c r="R114">
        <f>VLOOKUP($A114,'UN Treasury'!$A$1:$BQ$224,_xlfn.XMATCH(R$1,'UN Treasury'!$A$1:$BQ$1,-1,1),FALSE)</f>
        <v>8.2170000000000005</v>
      </c>
      <c r="S114">
        <f>VLOOKUP($A114,'UN Treasury'!$A$1:$BQ$224,_xlfn.XMATCH(S$1,'UN Treasury'!$A$1:$BQ$1,-1,1),FALSE)</f>
        <v>8.3260000000000005</v>
      </c>
      <c r="T114">
        <f>VLOOKUP($A114,'UN Treasury'!$A$1:$BQ$224,_xlfn.XMATCH(T$1,'UN Treasury'!$A$1:$BQ$1,-1,1),FALSE)</f>
        <v>8.3330000000000002</v>
      </c>
      <c r="U114">
        <f>VLOOKUP($A114,'UN Treasury'!$A$1:$BQ$224,_xlfn.XMATCH(U$1,'UN Treasury'!$A$1:$BQ$1,-1,1),FALSE)</f>
        <v>8.375</v>
      </c>
      <c r="V114">
        <f>VLOOKUP($A114,'UN Treasury'!$A$1:$BQ$224,_xlfn.XMATCH(V$1,'UN Treasury'!$A$1:$BQ$1,-1,1),FALSE)</f>
        <v>8.2989999999999995</v>
      </c>
      <c r="W114">
        <f>VLOOKUP($A114,'UN Treasury'!$A$1:$BQ$224,_xlfn.XMATCH(W$1,'UN Treasury'!$A$1:$BQ$1,-1,1),FALSE)</f>
        <v>8.2439999999999998</v>
      </c>
      <c r="X114">
        <f>VLOOKUP($A114,'UN Treasury'!$A$1:$BQ$224,_xlfn.XMATCH(X$1,'UN Treasury'!$A$1:$BQ$1,-1,1),FALSE)</f>
        <v>8.2029999999999994</v>
      </c>
      <c r="Y114">
        <f>VLOOKUP($A114,'UN Treasury'!$A$1:$BQ$224,_xlfn.XMATCH(Y$1,'UN Treasury'!$A$1:$BQ$1,-1,1),FALSE)</f>
        <v>8.2439999999999998</v>
      </c>
      <c r="Z114">
        <f>VLOOKUP($A114,'UN Treasury'!$A$1:$BQ$224,_xlfn.XMATCH(Z$1,'UN Treasury'!$A$1:$BQ$1,-1,1),FALSE)</f>
        <v>8.3469999999999995</v>
      </c>
      <c r="AA114">
        <f>VLOOKUP($A114,'UN Treasury'!$A$1:$BQ$224,_xlfn.XMATCH(AA$1,'UN Treasury'!$A$1:$BQ$1,-1,1),FALSE)</f>
        <v>8.3059999999999992</v>
      </c>
      <c r="AB114">
        <f>VLOOKUP($A114,'UN Treasury'!$A$1:$BQ$224,_xlfn.XMATCH(AB$1,'UN Treasury'!$A$1:$BQ$1,-1,1),FALSE)</f>
        <v>8.3330000000000002</v>
      </c>
      <c r="AC114">
        <f>VLOOKUP($A114,'UN Treasury'!$A$1:$BQ$224,_xlfn.XMATCH(AC$1,'UN Treasury'!$A$1:$BQ$1,-1,1),FALSE)</f>
        <v>8.3469999999999995</v>
      </c>
      <c r="AD114">
        <f>VLOOKUP($A114,'UN Treasury'!$A$1:$BQ$224,_xlfn.XMATCH(AD$1,'UN Treasury'!$A$1:$BQ$1,-1,1),FALSE)</f>
        <v>8.1769999999999996</v>
      </c>
      <c r="AE114">
        <f>VLOOKUP($A114,'UN Treasury'!$A$1:$BQ$224,_xlfn.XMATCH(AE$1,'UN Treasury'!$A$1:$BQ$1,-1,1),FALSE)</f>
        <v>8.1769999999999996</v>
      </c>
      <c r="AF114">
        <f>VLOOKUP($A114,'UN Treasury'!$A$1:$BQ$224,_xlfn.XMATCH(AF$1,'UN Treasury'!$A$1:$BQ$1,-1,1),FALSE)</f>
        <v>8.1769999999999996</v>
      </c>
      <c r="AG114">
        <f>VLOOKUP($A114,'UN Treasury'!$A$1:$BQ$224,_xlfn.XMATCH(AG$1,'UN Treasury'!$A$1:$BQ$1,-1,1),FALSE)</f>
        <v>8.1769999999999996</v>
      </c>
      <c r="AH114">
        <f>VLOOKUP($A114,'UN Treasury'!$A$1:$BQ$224,_xlfn.XMATCH(AH$1,'UN Treasury'!$A$1:$BQ$1,-1,1),FALSE)</f>
        <v>8.1769999999999996</v>
      </c>
      <c r="AI114">
        <f>VLOOKUP($A114,'UN Treasury'!$A$1:$BQ$224,_xlfn.XMATCH(AI$1,'UN Treasury'!$A$1:$BQ$1,-1,1),FALSE)</f>
        <v>8.1769999999999996</v>
      </c>
      <c r="AJ114">
        <f>VLOOKUP($A114,'UN Treasury'!$A$1:$BQ$224,_xlfn.XMATCH(AJ$1,'UN Treasury'!$A$1:$BQ$1,-1,1),FALSE)</f>
        <v>8.17</v>
      </c>
      <c r="AK114">
        <f>VLOOKUP($A114,'UN Treasury'!$A$1:$BQ$224,_xlfn.XMATCH(AK$1,'UN Treasury'!$A$1:$BQ$1,-1,1),FALSE)</f>
        <v>8.1630000000000003</v>
      </c>
      <c r="AL114">
        <f>VLOOKUP($A114,'UN Treasury'!$A$1:$BQ$224,_xlfn.XMATCH(AL$1,'UN Treasury'!$A$1:$BQ$1,-1,1),FALSE)</f>
        <v>8.1630000000000003</v>
      </c>
      <c r="AM114">
        <f>VLOOKUP($A114,'UN Treasury'!$A$1:$BQ$224,_xlfn.XMATCH(AM$1,'UN Treasury'!$A$1:$BQ$1,-1,1),FALSE)</f>
        <v>8.15</v>
      </c>
      <c r="AN114">
        <f>VLOOKUP($A114,'UN Treasury'!$A$1:$BQ$224,_xlfn.XMATCH(AN$1,'UN Treasury'!$A$1:$BQ$1,-1,1),FALSE)</f>
        <v>8.157</v>
      </c>
      <c r="AO114">
        <f>VLOOKUP($A114,'UN Treasury'!$A$1:$BQ$224,_xlfn.XMATCH(AO$1,'UN Treasury'!$A$1:$BQ$1,-1,1),FALSE)</f>
        <v>8.2370000000000001</v>
      </c>
      <c r="AP114">
        <f>VLOOKUP($A114,'UN Treasury'!$A$1:$BQ$224,_xlfn.XMATCH(AP$1,'UN Treasury'!$A$1:$BQ$1,-1,1),FALSE)</f>
        <v>8.19</v>
      </c>
      <c r="AQ114">
        <f>VLOOKUP($A114,'UN Treasury'!$A$1:$BQ$224,_xlfn.XMATCH(AQ$1,'UN Treasury'!$A$1:$BQ$1,-1,1),FALSE)</f>
        <v>8.1170000000000009</v>
      </c>
      <c r="AR114">
        <f>VLOOKUP($A114,'UN Treasury'!$A$1:$BQ$224,_xlfn.XMATCH(AR$1,'UN Treasury'!$A$1:$BQ$1,-1,1),FALSE)</f>
        <v>8.1300000000000008</v>
      </c>
      <c r="AS114">
        <f>VLOOKUP($A114,'UN Treasury'!$A$1:$BQ$224,_xlfn.XMATCH(AS$1,'UN Treasury'!$A$1:$BQ$1,-1,1),FALSE)</f>
        <v>8.1370000000000005</v>
      </c>
      <c r="AT114">
        <f>VLOOKUP($A114,'UN Treasury'!$A$1:$BQ$224,_xlfn.XMATCH(AT$1,'UN Treasury'!$A$1:$BQ$1,-1,1),FALSE)</f>
        <v>8.157</v>
      </c>
      <c r="AU114">
        <f>VLOOKUP($A114,'UN Treasury'!$A$1:$BQ$224,_xlfn.XMATCH(AU$1,'UN Treasury'!$A$1:$BQ$1,-1,1),FALSE)</f>
        <v>8.0969999999999995</v>
      </c>
      <c r="AV114">
        <f>VLOOKUP($A114,'UN Treasury'!$A$1:$BQ$224,_xlfn.XMATCH(AV$1,'UN Treasury'!$A$1:$BQ$1,-1,1),FALSE)</f>
        <v>8.0649999999999995</v>
      </c>
      <c r="AW114">
        <f>VLOOKUP($A114,'UN Treasury'!$A$1:$BQ$224,_xlfn.XMATCH(AW$1,'UN Treasury'!$A$1:$BQ$1,-1,1),FALSE)</f>
        <v>8.0190000000000001</v>
      </c>
      <c r="AX114">
        <f>VLOOKUP($A114,'UN Treasury'!$A$1:$BQ$224,_xlfn.XMATCH(AX$1,'UN Treasury'!$A$1:$BQ$1,-1,1),FALSE)</f>
        <v>8.0969999999999995</v>
      </c>
      <c r="AY114">
        <f>VLOOKUP($A114,'UN Treasury'!$A$1:$BQ$224,_xlfn.XMATCH(AY$1,'UN Treasury'!$A$1:$BQ$1,-1,1),FALSE)</f>
        <v>8.0969999999999995</v>
      </c>
      <c r="AZ114">
        <f>VLOOKUP($A114,'UN Treasury'!$A$1:$BQ$224,_xlfn.XMATCH(AZ$1,'UN Treasury'!$A$1:$BQ$1,-1,1),FALSE)</f>
        <v>7.9939999999999998</v>
      </c>
      <c r="BA114">
        <f>VLOOKUP($A114,'UN Treasury'!$A$1:$BQ$224,_xlfn.XMATCH(BA$1,'UN Treasury'!$A$1:$BQ$1,-1,1),FALSE)</f>
        <v>7.9550000000000001</v>
      </c>
      <c r="BB114">
        <f>VLOOKUP($A114,'UN Treasury'!$A$1:$BQ$224,_xlfn.XMATCH(BB$1,'UN Treasury'!$A$1:$BQ$1,-1,1),FALSE)</f>
        <v>7.93</v>
      </c>
      <c r="BC114">
        <f>VLOOKUP($A114,'UN Treasury'!$A$1:$BQ$224,_xlfn.XMATCH(BC$1,'UN Treasury'!$A$1:$BQ$1,-1,1),FALSE)</f>
        <v>7.9489999999999998</v>
      </c>
      <c r="BD114">
        <f>VLOOKUP($A114,'UN Treasury'!$A$1:$BQ$224,_xlfn.XMATCH(BD$1,'UN Treasury'!$A$1:$BQ$1,-1,1),FALSE)</f>
        <v>7.968</v>
      </c>
      <c r="BE114">
        <f>VLOOKUP($A114,'UN Treasury'!$A$1:$BQ$224,_xlfn.XMATCH(BE$1,'UN Treasury'!$A$1:$BQ$1,-1,1),FALSE)</f>
        <v>7.9489999999999998</v>
      </c>
      <c r="BF114">
        <f>VLOOKUP($A114,'UN Treasury'!$A$1:$BQ$224,_xlfn.XMATCH(BF$1,'UN Treasury'!$A$1:$BQ$1,-1,1),FALSE)</f>
        <v>7.9240000000000004</v>
      </c>
      <c r="BG114">
        <f>VLOOKUP($A114,'UN Treasury'!$A$1:$BQ$224,_xlfn.XMATCH(BG$1,'UN Treasury'!$A$1:$BQ$1,-1,1),FALSE)</f>
        <v>7.899</v>
      </c>
      <c r="BH114">
        <f>VLOOKUP($A114,'UN Treasury'!$A$1:$BQ$224,_xlfn.XMATCH(BH$1,'UN Treasury'!$A$1:$BQ$1,-1,1),FALSE)</f>
        <v>7.9180000000000001</v>
      </c>
      <c r="BI114">
        <f>VLOOKUP($A114,'UN Treasury'!$A$1:$BQ$224,_xlfn.XMATCH(BI$1,'UN Treasury'!$A$1:$BQ$1,-1,1),FALSE)</f>
        <v>7.9180000000000001</v>
      </c>
      <c r="BJ114">
        <f>VLOOKUP($A114,'UN Treasury'!$A$1:$BQ$224,_xlfn.XMATCH(BJ$1,'UN Treasury'!$A$1:$BQ$1,-1,1),FALSE)</f>
        <v>7.8929999999999998</v>
      </c>
      <c r="BK114">
        <f>VLOOKUP($A114,'UN Treasury'!$A$1:$BQ$224,_xlfn.XMATCH(BK$1,'UN Treasury'!$A$1:$BQ$1,-1,1),FALSE)</f>
        <v>7.8929999999999998</v>
      </c>
      <c r="BL114">
        <f>VLOOKUP($A114,'UN Treasury'!$A$1:$BQ$224,_xlfn.XMATCH(BL$1,'UN Treasury'!$A$1:$BQ$1,-1,1),FALSE)</f>
        <v>7.8250000000000002</v>
      </c>
      <c r="BM114">
        <f>VLOOKUP($A114,'UN Treasury'!$A$1:$BQ$224,_xlfn.XMATCH(BM$1,'UN Treasury'!$A$1:$BQ$1,-1,1),FALSE)</f>
        <v>7.8929999999999998</v>
      </c>
      <c r="BN114">
        <f>VLOOKUP($A114,'UN Treasury'!$A$1:$BQ$224,_xlfn.XMATCH(BN$1,'UN Treasury'!$A$1:$BQ$1,-1,1),FALSE)</f>
        <v>7.8860000000000001</v>
      </c>
      <c r="BO114">
        <f>VLOOKUP($A114,'UN Treasury'!$A$1:$BQ$224,_xlfn.XMATCH(BO$1,'UN Treasury'!$A$1:$BQ$1,-1,1),FALSE)</f>
        <v>8.0060000000000002</v>
      </c>
      <c r="BP114">
        <f>VLOOKUP($A114,'UN Treasury'!$A$1:$BQ$224,_xlfn.XMATCH(BP$1,'UN Treasury'!$A$1:$BQ$1,-1,1),FALSE)</f>
        <v>7.8310000000000004</v>
      </c>
      <c r="BQ114">
        <f>VLOOKUP($A114,'UN Treasury'!$A$1:$BQ$224,_xlfn.XMATCH(BQ$1,'UN Treasury'!$A$1:$BQ$1,-1,1),FALSE)</f>
        <v>7.8620000000000001</v>
      </c>
    </row>
    <row r="115" spans="1:69" x14ac:dyDescent="0.25">
      <c r="A115" t="s">
        <v>250</v>
      </c>
      <c r="B115">
        <f>VLOOKUP($A115,'UN Treasury'!$A$1:$BQ$224,_xlfn.XMATCH(B$1,'UN Treasury'!$A$1:$BQ$1,-1,1),FALSE)</f>
        <v>13.714</v>
      </c>
      <c r="C115">
        <f>VLOOKUP($A115,'UN Treasury'!$A$1:$BQ$224,_xlfn.XMATCH(C$1,'UN Treasury'!$A$1:$BQ$1,-1,1),FALSE)</f>
        <v>13.397</v>
      </c>
      <c r="D115">
        <f>VLOOKUP($A115,'UN Treasury'!$A$1:$BQ$224,_xlfn.XMATCH(D$1,'UN Treasury'!$A$1:$BQ$1,-1,1),FALSE)</f>
        <v>13.358000000000001</v>
      </c>
      <c r="E115">
        <f>VLOOKUP($A115,'UN Treasury'!$A$1:$BQ$224,_xlfn.XMATCH(E$1,'UN Treasury'!$A$1:$BQ$1,-1,1),FALSE)</f>
        <v>13.946999999999999</v>
      </c>
      <c r="F115">
        <f>VLOOKUP($A115,'UN Treasury'!$A$1:$BQ$224,_xlfn.XMATCH(F$1,'UN Treasury'!$A$1:$BQ$1,-1,1),FALSE)</f>
        <v>14.06</v>
      </c>
      <c r="G115">
        <f>VLOOKUP($A115,'UN Treasury'!$A$1:$BQ$224,_xlfn.XMATCH(G$1,'UN Treasury'!$A$1:$BQ$1,-1,1),FALSE)</f>
        <v>13.304</v>
      </c>
      <c r="H115">
        <f>VLOOKUP($A115,'UN Treasury'!$A$1:$BQ$224,_xlfn.XMATCH(H$1,'UN Treasury'!$A$1:$BQ$1,-1,1),FALSE)</f>
        <v>13.51</v>
      </c>
      <c r="I115">
        <f>VLOOKUP($A115,'UN Treasury'!$A$1:$BQ$224,_xlfn.XMATCH(I$1,'UN Treasury'!$A$1:$BQ$1,-1,1),FALSE)</f>
        <v>13.757999999999999</v>
      </c>
      <c r="J115">
        <f>VLOOKUP($A115,'UN Treasury'!$A$1:$BQ$224,_xlfn.XMATCH(J$1,'UN Treasury'!$A$1:$BQ$1,-1,1),FALSE)</f>
        <v>14.045999999999999</v>
      </c>
      <c r="K115">
        <f>VLOOKUP($A115,'UN Treasury'!$A$1:$BQ$224,_xlfn.XMATCH(K$1,'UN Treasury'!$A$1:$BQ$1,-1,1),FALSE)</f>
        <v>13.66</v>
      </c>
      <c r="L115">
        <f>VLOOKUP($A115,'UN Treasury'!$A$1:$BQ$224,_xlfn.XMATCH(L$1,'UN Treasury'!$A$1:$BQ$1,-1,1),FALSE)</f>
        <v>14.252000000000001</v>
      </c>
      <c r="M115">
        <f>VLOOKUP($A115,'UN Treasury'!$A$1:$BQ$224,_xlfn.XMATCH(M$1,'UN Treasury'!$A$1:$BQ$1,-1,1),FALSE)</f>
        <v>14.252000000000001</v>
      </c>
      <c r="N115">
        <f>VLOOKUP($A115,'UN Treasury'!$A$1:$BQ$224,_xlfn.XMATCH(N$1,'UN Treasury'!$A$1:$BQ$1,-1,1),FALSE)</f>
        <v>14.145</v>
      </c>
      <c r="O115">
        <f>VLOOKUP($A115,'UN Treasury'!$A$1:$BQ$224,_xlfn.XMATCH(O$1,'UN Treasury'!$A$1:$BQ$1,-1,1),FALSE)</f>
        <v>14.145</v>
      </c>
      <c r="P115">
        <f>VLOOKUP($A115,'UN Treasury'!$A$1:$BQ$224,_xlfn.XMATCH(P$1,'UN Treasury'!$A$1:$BQ$1,-1,1),FALSE)</f>
        <v>14.217000000000001</v>
      </c>
      <c r="Q115">
        <f>VLOOKUP($A115,'UN Treasury'!$A$1:$BQ$224,_xlfn.XMATCH(Q$1,'UN Treasury'!$A$1:$BQ$1,-1,1),FALSE)</f>
        <v>14.217000000000001</v>
      </c>
      <c r="R115">
        <f>VLOOKUP($A115,'UN Treasury'!$A$1:$BQ$224,_xlfn.XMATCH(R$1,'UN Treasury'!$A$1:$BQ$1,-1,1),FALSE)</f>
        <v>14.351000000000001</v>
      </c>
      <c r="S115">
        <f>VLOOKUP($A115,'UN Treasury'!$A$1:$BQ$224,_xlfn.XMATCH(S$1,'UN Treasury'!$A$1:$BQ$1,-1,1),FALSE)</f>
        <v>14.374000000000001</v>
      </c>
      <c r="T115">
        <f>VLOOKUP($A115,'UN Treasury'!$A$1:$BQ$224,_xlfn.XMATCH(T$1,'UN Treasury'!$A$1:$BQ$1,-1,1),FALSE)</f>
        <v>14.39</v>
      </c>
      <c r="U115">
        <f>VLOOKUP($A115,'UN Treasury'!$A$1:$BQ$224,_xlfn.XMATCH(U$1,'UN Treasury'!$A$1:$BQ$1,-1,1),FALSE)</f>
        <v>14.266999999999999</v>
      </c>
      <c r="V115">
        <f>VLOOKUP($A115,'UN Treasury'!$A$1:$BQ$224,_xlfn.XMATCH(V$1,'UN Treasury'!$A$1:$BQ$1,-1,1),FALSE)</f>
        <v>13.945</v>
      </c>
      <c r="W115">
        <f>VLOOKUP($A115,'UN Treasury'!$A$1:$BQ$224,_xlfn.XMATCH(W$1,'UN Treasury'!$A$1:$BQ$1,-1,1),FALSE)</f>
        <v>13.593</v>
      </c>
      <c r="X115">
        <f>VLOOKUP($A115,'UN Treasury'!$A$1:$BQ$224,_xlfn.XMATCH(X$1,'UN Treasury'!$A$1:$BQ$1,-1,1),FALSE)</f>
        <v>13.252000000000001</v>
      </c>
      <c r="Y115">
        <f>VLOOKUP($A115,'UN Treasury'!$A$1:$BQ$224,_xlfn.XMATCH(Y$1,'UN Treasury'!$A$1:$BQ$1,-1,1),FALSE)</f>
        <v>13.295999999999999</v>
      </c>
      <c r="Z115">
        <f>VLOOKUP($A115,'UN Treasury'!$A$1:$BQ$224,_xlfn.XMATCH(Z$1,'UN Treasury'!$A$1:$BQ$1,-1,1),FALSE)</f>
        <v>13.436</v>
      </c>
      <c r="AA115">
        <f>VLOOKUP($A115,'UN Treasury'!$A$1:$BQ$224,_xlfn.XMATCH(AA$1,'UN Treasury'!$A$1:$BQ$1,-1,1),FALSE)</f>
        <v>13.776</v>
      </c>
      <c r="AB115">
        <f>VLOOKUP($A115,'UN Treasury'!$A$1:$BQ$224,_xlfn.XMATCH(AB$1,'UN Treasury'!$A$1:$BQ$1,-1,1),FALSE)</f>
        <v>13.765000000000001</v>
      </c>
      <c r="AC115">
        <f>VLOOKUP($A115,'UN Treasury'!$A$1:$BQ$224,_xlfn.XMATCH(AC$1,'UN Treasury'!$A$1:$BQ$1,-1,1),FALSE)</f>
        <v>13.698</v>
      </c>
      <c r="AD115">
        <f>VLOOKUP($A115,'UN Treasury'!$A$1:$BQ$224,_xlfn.XMATCH(AD$1,'UN Treasury'!$A$1:$BQ$1,-1,1),FALSE)</f>
        <v>13.656000000000001</v>
      </c>
      <c r="AE115">
        <f>VLOOKUP($A115,'UN Treasury'!$A$1:$BQ$224,_xlfn.XMATCH(AE$1,'UN Treasury'!$A$1:$BQ$1,-1,1),FALSE)</f>
        <v>13.565</v>
      </c>
      <c r="AF115">
        <f>VLOOKUP($A115,'UN Treasury'!$A$1:$BQ$224,_xlfn.XMATCH(AF$1,'UN Treasury'!$A$1:$BQ$1,-1,1),FALSE)</f>
        <v>13.385999999999999</v>
      </c>
      <c r="AG115">
        <f>VLOOKUP($A115,'UN Treasury'!$A$1:$BQ$224,_xlfn.XMATCH(AG$1,'UN Treasury'!$A$1:$BQ$1,-1,1),FALSE)</f>
        <v>13.438000000000001</v>
      </c>
      <c r="AH115">
        <f>VLOOKUP($A115,'UN Treasury'!$A$1:$BQ$224,_xlfn.XMATCH(AH$1,'UN Treasury'!$A$1:$BQ$1,-1,1),FALSE)</f>
        <v>13.416</v>
      </c>
      <c r="AI115">
        <f>VLOOKUP($A115,'UN Treasury'!$A$1:$BQ$224,_xlfn.XMATCH(AI$1,'UN Treasury'!$A$1:$BQ$1,-1,1),FALSE)</f>
        <v>13.138999999999999</v>
      </c>
      <c r="AJ115">
        <f>VLOOKUP($A115,'UN Treasury'!$A$1:$BQ$224,_xlfn.XMATCH(AJ$1,'UN Treasury'!$A$1:$BQ$1,-1,1),FALSE)</f>
        <v>13.097</v>
      </c>
      <c r="AK115">
        <f>VLOOKUP($A115,'UN Treasury'!$A$1:$BQ$224,_xlfn.XMATCH(AK$1,'UN Treasury'!$A$1:$BQ$1,-1,1),FALSE)</f>
        <v>12.872999999999999</v>
      </c>
      <c r="AL115">
        <f>VLOOKUP($A115,'UN Treasury'!$A$1:$BQ$224,_xlfn.XMATCH(AL$1,'UN Treasury'!$A$1:$BQ$1,-1,1),FALSE)</f>
        <v>13.436</v>
      </c>
      <c r="AM115">
        <f>VLOOKUP($A115,'UN Treasury'!$A$1:$BQ$224,_xlfn.XMATCH(AM$1,'UN Treasury'!$A$1:$BQ$1,-1,1),FALSE)</f>
        <v>13.311999999999999</v>
      </c>
      <c r="AN115">
        <f>VLOOKUP($A115,'UN Treasury'!$A$1:$BQ$224,_xlfn.XMATCH(AN$1,'UN Treasury'!$A$1:$BQ$1,-1,1),FALSE)</f>
        <v>13.215</v>
      </c>
      <c r="AO115">
        <f>VLOOKUP($A115,'UN Treasury'!$A$1:$BQ$224,_xlfn.XMATCH(AO$1,'UN Treasury'!$A$1:$BQ$1,-1,1),FALSE)</f>
        <v>13.105</v>
      </c>
      <c r="AP115">
        <f>VLOOKUP($A115,'UN Treasury'!$A$1:$BQ$224,_xlfn.XMATCH(AP$1,'UN Treasury'!$A$1:$BQ$1,-1,1),FALSE)</f>
        <v>13.461</v>
      </c>
      <c r="AQ115">
        <f>VLOOKUP($A115,'UN Treasury'!$A$1:$BQ$224,_xlfn.XMATCH(AQ$1,'UN Treasury'!$A$1:$BQ$1,-1,1),FALSE)</f>
        <v>13.058</v>
      </c>
      <c r="AR115">
        <f>VLOOKUP($A115,'UN Treasury'!$A$1:$BQ$224,_xlfn.XMATCH(AR$1,'UN Treasury'!$A$1:$BQ$1,-1,1),FALSE)</f>
        <v>13.266999999999999</v>
      </c>
      <c r="AS115">
        <f>VLOOKUP($A115,'UN Treasury'!$A$1:$BQ$224,_xlfn.XMATCH(AS$1,'UN Treasury'!$A$1:$BQ$1,-1,1),FALSE)</f>
        <v>13.454000000000001</v>
      </c>
      <c r="AT115">
        <f>VLOOKUP($A115,'UN Treasury'!$A$1:$BQ$224,_xlfn.XMATCH(AT$1,'UN Treasury'!$A$1:$BQ$1,-1,1),FALSE)</f>
        <v>13.175000000000001</v>
      </c>
      <c r="AU115">
        <f>VLOOKUP($A115,'UN Treasury'!$A$1:$BQ$224,_xlfn.XMATCH(AU$1,'UN Treasury'!$A$1:$BQ$1,-1,1),FALSE)</f>
        <v>13.189</v>
      </c>
      <c r="AV115">
        <f>VLOOKUP($A115,'UN Treasury'!$A$1:$BQ$224,_xlfn.XMATCH(AV$1,'UN Treasury'!$A$1:$BQ$1,-1,1),FALSE)</f>
        <v>12.930999999999999</v>
      </c>
      <c r="AW115">
        <f>VLOOKUP($A115,'UN Treasury'!$A$1:$BQ$224,_xlfn.XMATCH(AW$1,'UN Treasury'!$A$1:$BQ$1,-1,1),FALSE)</f>
        <v>12.971</v>
      </c>
      <c r="AX115">
        <f>VLOOKUP($A115,'UN Treasury'!$A$1:$BQ$224,_xlfn.XMATCH(AX$1,'UN Treasury'!$A$1:$BQ$1,-1,1),FALSE)</f>
        <v>12.779</v>
      </c>
      <c r="AY115">
        <f>VLOOKUP($A115,'UN Treasury'!$A$1:$BQ$224,_xlfn.XMATCH(AY$1,'UN Treasury'!$A$1:$BQ$1,-1,1),FALSE)</f>
        <v>13.287000000000001</v>
      </c>
      <c r="AZ115">
        <f>VLOOKUP($A115,'UN Treasury'!$A$1:$BQ$224,_xlfn.XMATCH(AZ$1,'UN Treasury'!$A$1:$BQ$1,-1,1),FALSE)</f>
        <v>13.063000000000001</v>
      </c>
      <c r="BA115">
        <f>VLOOKUP($A115,'UN Treasury'!$A$1:$BQ$224,_xlfn.XMATCH(BA$1,'UN Treasury'!$A$1:$BQ$1,-1,1),FALSE)</f>
        <v>13.048</v>
      </c>
      <c r="BB115">
        <f>VLOOKUP($A115,'UN Treasury'!$A$1:$BQ$224,_xlfn.XMATCH(BB$1,'UN Treasury'!$A$1:$BQ$1,-1,1),FALSE)</f>
        <v>13.731</v>
      </c>
      <c r="BC115">
        <f>VLOOKUP($A115,'UN Treasury'!$A$1:$BQ$224,_xlfn.XMATCH(BC$1,'UN Treasury'!$A$1:$BQ$1,-1,1),FALSE)</f>
        <v>13.768000000000001</v>
      </c>
      <c r="BD115">
        <f>VLOOKUP($A115,'UN Treasury'!$A$1:$BQ$224,_xlfn.XMATCH(BD$1,'UN Treasury'!$A$1:$BQ$1,-1,1),FALSE)</f>
        <v>13.266999999999999</v>
      </c>
      <c r="BE115">
        <f>VLOOKUP($A115,'UN Treasury'!$A$1:$BQ$224,_xlfn.XMATCH(BE$1,'UN Treasury'!$A$1:$BQ$1,-1,1),FALSE)</f>
        <v>13.939</v>
      </c>
      <c r="BF115">
        <f>VLOOKUP($A115,'UN Treasury'!$A$1:$BQ$224,_xlfn.XMATCH(BF$1,'UN Treasury'!$A$1:$BQ$1,-1,1),FALSE)</f>
        <v>13.54</v>
      </c>
      <c r="BG115">
        <f>VLOOKUP($A115,'UN Treasury'!$A$1:$BQ$224,_xlfn.XMATCH(BG$1,'UN Treasury'!$A$1:$BQ$1,-1,1),FALSE)</f>
        <v>13.340999999999999</v>
      </c>
      <c r="BH115">
        <f>VLOOKUP($A115,'UN Treasury'!$A$1:$BQ$224,_xlfn.XMATCH(BH$1,'UN Treasury'!$A$1:$BQ$1,-1,1),FALSE)</f>
        <v>13.625999999999999</v>
      </c>
      <c r="BI115">
        <f>VLOOKUP($A115,'UN Treasury'!$A$1:$BQ$224,_xlfn.XMATCH(BI$1,'UN Treasury'!$A$1:$BQ$1,-1,1),FALSE)</f>
        <v>13.081</v>
      </c>
      <c r="BJ115">
        <f>VLOOKUP($A115,'UN Treasury'!$A$1:$BQ$224,_xlfn.XMATCH(BJ$1,'UN Treasury'!$A$1:$BQ$1,-1,1),FALSE)</f>
        <v>13.922000000000001</v>
      </c>
      <c r="BK115">
        <f>VLOOKUP($A115,'UN Treasury'!$A$1:$BQ$224,_xlfn.XMATCH(BK$1,'UN Treasury'!$A$1:$BQ$1,-1,1),FALSE)</f>
        <v>15.23</v>
      </c>
      <c r="BL115">
        <f>VLOOKUP($A115,'UN Treasury'!$A$1:$BQ$224,_xlfn.XMATCH(BL$1,'UN Treasury'!$A$1:$BQ$1,-1,1),FALSE)</f>
        <v>15.94</v>
      </c>
      <c r="BM115">
        <f>VLOOKUP($A115,'UN Treasury'!$A$1:$BQ$224,_xlfn.XMATCH(BM$1,'UN Treasury'!$A$1:$BQ$1,-1,1),FALSE)</f>
        <v>14.204000000000001</v>
      </c>
      <c r="BN115">
        <f>VLOOKUP($A115,'UN Treasury'!$A$1:$BQ$224,_xlfn.XMATCH(BN$1,'UN Treasury'!$A$1:$BQ$1,-1,1),FALSE)</f>
        <v>18.2</v>
      </c>
      <c r="BO115">
        <f>VLOOKUP($A115,'UN Treasury'!$A$1:$BQ$224,_xlfn.XMATCH(BO$1,'UN Treasury'!$A$1:$BQ$1,-1,1),FALSE)</f>
        <v>20.920999999999999</v>
      </c>
      <c r="BP115">
        <f>VLOOKUP($A115,'UN Treasury'!$A$1:$BQ$224,_xlfn.XMATCH(BP$1,'UN Treasury'!$A$1:$BQ$1,-1,1),FALSE)</f>
        <v>20.597999999999999</v>
      </c>
      <c r="BQ115">
        <f>VLOOKUP($A115,'UN Treasury'!$A$1:$BQ$224,_xlfn.XMATCH(BQ$1,'UN Treasury'!$A$1:$BQ$1,-1,1),FALSE)</f>
        <v>20.724</v>
      </c>
    </row>
    <row r="116" spans="1:69" x14ac:dyDescent="0.25">
      <c r="A116" t="s">
        <v>252</v>
      </c>
      <c r="B116">
        <f>VLOOKUP($A116,'UN Treasury'!$A$1:$BQ$224,_xlfn.XMATCH(B$1,'UN Treasury'!$A$1:$BQ$1,-1,1),FALSE)</f>
        <v>4300</v>
      </c>
      <c r="C116">
        <f>VLOOKUP($A116,'UN Treasury'!$A$1:$BQ$224,_xlfn.XMATCH(C$1,'UN Treasury'!$A$1:$BQ$1,-1,1),FALSE)</f>
        <v>4300</v>
      </c>
      <c r="D116">
        <f>VLOOKUP($A116,'UN Treasury'!$A$1:$BQ$224,_xlfn.XMATCH(D$1,'UN Treasury'!$A$1:$BQ$1,-1,1),FALSE)</f>
        <v>3800</v>
      </c>
      <c r="E116">
        <f>VLOOKUP($A116,'UN Treasury'!$A$1:$BQ$224,_xlfn.XMATCH(E$1,'UN Treasury'!$A$1:$BQ$1,-1,1),FALSE)</f>
        <v>3800</v>
      </c>
      <c r="F116">
        <f>VLOOKUP($A116,'UN Treasury'!$A$1:$BQ$224,_xlfn.XMATCH(F$1,'UN Treasury'!$A$1:$BQ$1,-1,1),FALSE)</f>
        <v>3450</v>
      </c>
      <c r="G116">
        <f>VLOOKUP($A116,'UN Treasury'!$A$1:$BQ$224,_xlfn.XMATCH(G$1,'UN Treasury'!$A$1:$BQ$1,-1,1),FALSE)</f>
        <v>3350</v>
      </c>
      <c r="H116">
        <f>VLOOKUP($A116,'UN Treasury'!$A$1:$BQ$224,_xlfn.XMATCH(H$1,'UN Treasury'!$A$1:$BQ$1,-1,1),FALSE)</f>
        <v>3349.9989999999998</v>
      </c>
      <c r="I116">
        <f>VLOOKUP($A116,'UN Treasury'!$A$1:$BQ$224,_xlfn.XMATCH(I$1,'UN Treasury'!$A$1:$BQ$1,-1,1),FALSE)</f>
        <v>2400</v>
      </c>
      <c r="J116">
        <f>VLOOKUP($A116,'UN Treasury'!$A$1:$BQ$224,_xlfn.XMATCH(J$1,'UN Treasury'!$A$1:$BQ$1,-1,1),FALSE)</f>
        <v>2400</v>
      </c>
      <c r="K116">
        <f>VLOOKUP($A116,'UN Treasury'!$A$1:$BQ$224,_xlfn.XMATCH(K$1,'UN Treasury'!$A$1:$BQ$1,-1,1),FALSE)</f>
        <v>2400</v>
      </c>
      <c r="L116">
        <f>VLOOKUP($A116,'UN Treasury'!$A$1:$BQ$224,_xlfn.XMATCH(L$1,'UN Treasury'!$A$1:$BQ$1,-1,1),FALSE)</f>
        <v>2400</v>
      </c>
      <c r="M116">
        <f>VLOOKUP($A116,'UN Treasury'!$A$1:$BQ$224,_xlfn.XMATCH(M$1,'UN Treasury'!$A$1:$BQ$1,-1,1),FALSE)</f>
        <v>2400</v>
      </c>
      <c r="N116">
        <f>VLOOKUP($A116,'UN Treasury'!$A$1:$BQ$224,_xlfn.XMATCH(N$1,'UN Treasury'!$A$1:$BQ$1,-1,1),FALSE)</f>
        <v>2400</v>
      </c>
      <c r="O116">
        <f>VLOOKUP($A116,'UN Treasury'!$A$1:$BQ$224,_xlfn.XMATCH(O$1,'UN Treasury'!$A$1:$BQ$1,-1,1),FALSE)</f>
        <v>2140</v>
      </c>
      <c r="P116">
        <f>VLOOKUP($A116,'UN Treasury'!$A$1:$BQ$224,_xlfn.XMATCH(P$1,'UN Treasury'!$A$1:$BQ$1,-1,1),FALSE)</f>
        <v>2140</v>
      </c>
      <c r="Q116">
        <f>VLOOKUP($A116,'UN Treasury'!$A$1:$BQ$224,_xlfn.XMATCH(Q$1,'UN Treasury'!$A$1:$BQ$1,-1,1),FALSE)</f>
        <v>2020</v>
      </c>
      <c r="R116">
        <f>VLOOKUP($A116,'UN Treasury'!$A$1:$BQ$224,_xlfn.XMATCH(R$1,'UN Treasury'!$A$1:$BQ$1,-1,1),FALSE)</f>
        <v>2020</v>
      </c>
      <c r="S116">
        <f>VLOOKUP($A116,'UN Treasury'!$A$1:$BQ$224,_xlfn.XMATCH(S$1,'UN Treasury'!$A$1:$BQ$1,-1,1),FALSE)</f>
        <v>2020</v>
      </c>
      <c r="T116">
        <f>VLOOKUP($A116,'UN Treasury'!$A$1:$BQ$224,_xlfn.XMATCH(T$1,'UN Treasury'!$A$1:$BQ$1,-1,1),FALSE)</f>
        <v>1990</v>
      </c>
      <c r="U116">
        <f>VLOOKUP($A116,'UN Treasury'!$A$1:$BQ$224,_xlfn.XMATCH(U$1,'UN Treasury'!$A$1:$BQ$1,-1,1),FALSE)</f>
        <v>1987</v>
      </c>
      <c r="V116">
        <f>VLOOKUP($A116,'UN Treasury'!$A$1:$BQ$224,_xlfn.XMATCH(V$1,'UN Treasury'!$A$1:$BQ$1,-1,1),FALSE)</f>
        <v>1987</v>
      </c>
      <c r="W116">
        <f>VLOOKUP($A116,'UN Treasury'!$A$1:$BQ$224,_xlfn.XMATCH(W$1,'UN Treasury'!$A$1:$BQ$1,-1,1),FALSE)</f>
        <v>1987</v>
      </c>
      <c r="X116">
        <f>VLOOKUP($A116,'UN Treasury'!$A$1:$BQ$224,_xlfn.XMATCH(X$1,'UN Treasury'!$A$1:$BQ$1,-1,1),FALSE)</f>
        <v>1982</v>
      </c>
      <c r="Y116">
        <f>VLOOKUP($A116,'UN Treasury'!$A$1:$BQ$224,_xlfn.XMATCH(Y$1,'UN Treasury'!$A$1:$BQ$1,-1,1),FALSE)</f>
        <v>1950</v>
      </c>
      <c r="Z116">
        <f>VLOOKUP($A116,'UN Treasury'!$A$1:$BQ$224,_xlfn.XMATCH(Z$1,'UN Treasury'!$A$1:$BQ$1,-1,1),FALSE)</f>
        <v>1850</v>
      </c>
      <c r="AA116">
        <f>VLOOKUP($A116,'UN Treasury'!$A$1:$BQ$224,_xlfn.XMATCH(AA$1,'UN Treasury'!$A$1:$BQ$1,-1,1),FALSE)</f>
        <v>1840</v>
      </c>
      <c r="AB116">
        <f>VLOOKUP($A116,'UN Treasury'!$A$1:$BQ$224,_xlfn.XMATCH(AB$1,'UN Treasury'!$A$1:$BQ$1,-1,1),FALSE)</f>
        <v>1650</v>
      </c>
      <c r="AC116">
        <f>VLOOKUP($A116,'UN Treasury'!$A$1:$BQ$224,_xlfn.XMATCH(AC$1,'UN Treasury'!$A$1:$BQ$1,-1,1),FALSE)</f>
        <v>1255</v>
      </c>
      <c r="AD116">
        <f>VLOOKUP($A116,'UN Treasury'!$A$1:$BQ$224,_xlfn.XMATCH(AD$1,'UN Treasury'!$A$1:$BQ$1,-1,1),FALSE)</f>
        <v>1090</v>
      </c>
      <c r="AE116">
        <f>VLOOKUP($A116,'UN Treasury'!$A$1:$BQ$224,_xlfn.XMATCH(AE$1,'UN Treasury'!$A$1:$BQ$1,-1,1),FALSE)</f>
        <v>1075</v>
      </c>
      <c r="AF116">
        <f>VLOOKUP($A116,'UN Treasury'!$A$1:$BQ$224,_xlfn.XMATCH(AF$1,'UN Treasury'!$A$1:$BQ$1,-1,1),FALSE)</f>
        <v>1035</v>
      </c>
      <c r="AG116">
        <f>VLOOKUP($A116,'UN Treasury'!$A$1:$BQ$224,_xlfn.XMATCH(AG$1,'UN Treasury'!$A$1:$BQ$1,-1,1),FALSE)</f>
        <v>910</v>
      </c>
      <c r="AH116">
        <f>VLOOKUP($A116,'UN Treasury'!$A$1:$BQ$224,_xlfn.XMATCH(AH$1,'UN Treasury'!$A$1:$BQ$1,-1,1),FALSE)</f>
        <v>810</v>
      </c>
      <c r="AI116">
        <f>VLOOKUP($A116,'UN Treasury'!$A$1:$BQ$224,_xlfn.XMATCH(AI$1,'UN Treasury'!$A$1:$BQ$1,-1,1),FALSE)</f>
        <v>760</v>
      </c>
      <c r="AJ116">
        <f>VLOOKUP($A116,'UN Treasury'!$A$1:$BQ$224,_xlfn.XMATCH(AJ$1,'UN Treasury'!$A$1:$BQ$1,-1,1),FALSE)</f>
        <v>695</v>
      </c>
      <c r="AK116">
        <f>VLOOKUP($A116,'UN Treasury'!$A$1:$BQ$224,_xlfn.XMATCH(AK$1,'UN Treasury'!$A$1:$BQ$1,-1,1),FALSE)</f>
        <v>621</v>
      </c>
      <c r="AL116">
        <f>VLOOKUP($A116,'UN Treasury'!$A$1:$BQ$224,_xlfn.XMATCH(AL$1,'UN Treasury'!$A$1:$BQ$1,-1,1),FALSE)</f>
        <v>590</v>
      </c>
      <c r="AM116">
        <f>VLOOKUP($A116,'UN Treasury'!$A$1:$BQ$224,_xlfn.XMATCH(AM$1,'UN Treasury'!$A$1:$BQ$1,-1,1),FALSE)</f>
        <v>568.9</v>
      </c>
      <c r="AN116">
        <f>VLOOKUP($A116,'UN Treasury'!$A$1:$BQ$224,_xlfn.XMATCH(AN$1,'UN Treasury'!$A$1:$BQ$1,-1,1),FALSE)</f>
        <v>573</v>
      </c>
      <c r="AO116">
        <f>VLOOKUP($A116,'UN Treasury'!$A$1:$BQ$224,_xlfn.XMATCH(AO$1,'UN Treasury'!$A$1:$BQ$1,-1,1),FALSE)</f>
        <v>593</v>
      </c>
      <c r="AP116">
        <f>VLOOKUP($A116,'UN Treasury'!$A$1:$BQ$224,_xlfn.XMATCH(AP$1,'UN Treasury'!$A$1:$BQ$1,-1,1),FALSE)</f>
        <v>593</v>
      </c>
      <c r="AQ116">
        <f>VLOOKUP($A116,'UN Treasury'!$A$1:$BQ$224,_xlfn.XMATCH(AQ$1,'UN Treasury'!$A$1:$BQ$1,-1,1),FALSE)</f>
        <v>587.5</v>
      </c>
      <c r="AR116">
        <f>VLOOKUP($A116,'UN Treasury'!$A$1:$BQ$224,_xlfn.XMATCH(AR$1,'UN Treasury'!$A$1:$BQ$1,-1,1),FALSE)</f>
        <v>579</v>
      </c>
      <c r="AS116">
        <f>VLOOKUP($A116,'UN Treasury'!$A$1:$BQ$224,_xlfn.XMATCH(AS$1,'UN Treasury'!$A$1:$BQ$1,-1,1),FALSE)</f>
        <v>579</v>
      </c>
      <c r="AT116">
        <f>VLOOKUP($A116,'UN Treasury'!$A$1:$BQ$224,_xlfn.XMATCH(AT$1,'UN Treasury'!$A$1:$BQ$1,-1,1),FALSE)</f>
        <v>578</v>
      </c>
      <c r="AU116">
        <f>VLOOKUP($A116,'UN Treasury'!$A$1:$BQ$224,_xlfn.XMATCH(AU$1,'UN Treasury'!$A$1:$BQ$1,-1,1),FALSE)</f>
        <v>578.5</v>
      </c>
      <c r="AV116">
        <f>VLOOKUP($A116,'UN Treasury'!$A$1:$BQ$224,_xlfn.XMATCH(AV$1,'UN Treasury'!$A$1:$BQ$1,-1,1),FALSE)</f>
        <v>577</v>
      </c>
      <c r="AW116">
        <f>VLOOKUP($A116,'UN Treasury'!$A$1:$BQ$224,_xlfn.XMATCH(AW$1,'UN Treasury'!$A$1:$BQ$1,-1,1),FALSE)</f>
        <v>574</v>
      </c>
      <c r="AX116">
        <f>VLOOKUP($A116,'UN Treasury'!$A$1:$BQ$224,_xlfn.XMATCH(AX$1,'UN Treasury'!$A$1:$BQ$1,-1,1),FALSE)</f>
        <v>568</v>
      </c>
      <c r="AY116">
        <f>VLOOKUP($A116,'UN Treasury'!$A$1:$BQ$224,_xlfn.XMATCH(AY$1,'UN Treasury'!$A$1:$BQ$1,-1,1),FALSE)</f>
        <v>567.5</v>
      </c>
      <c r="AZ116">
        <f>VLOOKUP($A116,'UN Treasury'!$A$1:$BQ$224,_xlfn.XMATCH(AZ$1,'UN Treasury'!$A$1:$BQ$1,-1,1),FALSE)</f>
        <v>566</v>
      </c>
      <c r="BA116">
        <f>VLOOKUP($A116,'UN Treasury'!$A$1:$BQ$224,_xlfn.XMATCH(BA$1,'UN Treasury'!$A$1:$BQ$1,-1,1),FALSE)</f>
        <v>567</v>
      </c>
      <c r="BB116">
        <f>VLOOKUP($A116,'UN Treasury'!$A$1:$BQ$224,_xlfn.XMATCH(BB$1,'UN Treasury'!$A$1:$BQ$1,-1,1),FALSE)</f>
        <v>563</v>
      </c>
      <c r="BC116">
        <f>VLOOKUP($A116,'UN Treasury'!$A$1:$BQ$224,_xlfn.XMATCH(BC$1,'UN Treasury'!$A$1:$BQ$1,-1,1),FALSE)</f>
        <v>590</v>
      </c>
      <c r="BD116">
        <f>VLOOKUP($A116,'UN Treasury'!$A$1:$BQ$224,_xlfn.XMATCH(BD$1,'UN Treasury'!$A$1:$BQ$1,-1,1),FALSE)</f>
        <v>457</v>
      </c>
      <c r="BE116">
        <f>VLOOKUP($A116,'UN Treasury'!$A$1:$BQ$224,_xlfn.XMATCH(BE$1,'UN Treasury'!$A$1:$BQ$1,-1,1),FALSE)</f>
        <v>447.5</v>
      </c>
      <c r="BF116">
        <f>VLOOKUP($A116,'UN Treasury'!$A$1:$BQ$224,_xlfn.XMATCH(BF$1,'UN Treasury'!$A$1:$BQ$1,-1,1),FALSE)</f>
        <v>446</v>
      </c>
      <c r="BG116">
        <f>VLOOKUP($A116,'UN Treasury'!$A$1:$BQ$224,_xlfn.XMATCH(BG$1,'UN Treasury'!$A$1:$BQ$1,-1,1),FALSE)</f>
        <v>448</v>
      </c>
      <c r="BH116">
        <f>VLOOKUP($A116,'UN Treasury'!$A$1:$BQ$224,_xlfn.XMATCH(BH$1,'UN Treasury'!$A$1:$BQ$1,-1,1),FALSE)</f>
        <v>448</v>
      </c>
      <c r="BI116">
        <f>VLOOKUP($A116,'UN Treasury'!$A$1:$BQ$224,_xlfn.XMATCH(BI$1,'UN Treasury'!$A$1:$BQ$1,-1,1),FALSE)</f>
        <v>445</v>
      </c>
      <c r="BJ116">
        <f>VLOOKUP($A116,'UN Treasury'!$A$1:$BQ$224,_xlfn.XMATCH(BJ$1,'UN Treasury'!$A$1:$BQ$1,-1,1),FALSE)</f>
        <v>446.5</v>
      </c>
      <c r="BK116">
        <f>VLOOKUP($A116,'UN Treasury'!$A$1:$BQ$224,_xlfn.XMATCH(BK$1,'UN Treasury'!$A$1:$BQ$1,-1,1),FALSE)</f>
        <v>441</v>
      </c>
      <c r="BL116">
        <f>VLOOKUP($A116,'UN Treasury'!$A$1:$BQ$224,_xlfn.XMATCH(BL$1,'UN Treasury'!$A$1:$BQ$1,-1,1),FALSE)</f>
        <v>420</v>
      </c>
      <c r="BM116">
        <f>VLOOKUP($A116,'UN Treasury'!$A$1:$BQ$224,_xlfn.XMATCH(BM$1,'UN Treasury'!$A$1:$BQ$1,-1,1),FALSE)</f>
        <v>381.5</v>
      </c>
      <c r="BN116">
        <f>VLOOKUP($A116,'UN Treasury'!$A$1:$BQ$224,_xlfn.XMATCH(BN$1,'UN Treasury'!$A$1:$BQ$1,-1,1),FALSE)</f>
        <v>380.5</v>
      </c>
      <c r="BO116">
        <f>VLOOKUP($A116,'UN Treasury'!$A$1:$BQ$224,_xlfn.XMATCH(BO$1,'UN Treasury'!$A$1:$BQ$1,-1,1),FALSE)</f>
        <v>376</v>
      </c>
      <c r="BP116">
        <f>VLOOKUP($A116,'UN Treasury'!$A$1:$BQ$224,_xlfn.XMATCH(BP$1,'UN Treasury'!$A$1:$BQ$1,-1,1),FALSE)</f>
        <v>55</v>
      </c>
      <c r="BQ116">
        <f>VLOOKUP($A116,'UN Treasury'!$A$1:$BQ$224,_xlfn.XMATCH(BQ$1,'UN Treasury'!$A$1:$BQ$1,-1,1),FALSE)</f>
        <v>55</v>
      </c>
    </row>
    <row r="117" spans="1:69" x14ac:dyDescent="0.25">
      <c r="A117" t="s">
        <v>254</v>
      </c>
      <c r="B117">
        <f>VLOOKUP($A117,'UN Treasury'!$A$1:$BQ$224,_xlfn.XMATCH(B$1,'UN Treasury'!$A$1:$BQ$1,-1,1),FALSE)</f>
        <v>9.5549999999999997</v>
      </c>
      <c r="C117">
        <f>VLOOKUP($A117,'UN Treasury'!$A$1:$BQ$224,_xlfn.XMATCH(C$1,'UN Treasury'!$A$1:$BQ$1,-1,1),FALSE)</f>
        <v>9.6449999999999996</v>
      </c>
      <c r="D117">
        <f>VLOOKUP($A117,'UN Treasury'!$A$1:$BQ$224,_xlfn.XMATCH(D$1,'UN Treasury'!$A$1:$BQ$1,-1,1),FALSE)</f>
        <v>9.5449999999999999</v>
      </c>
      <c r="E117">
        <f>VLOOKUP($A117,'UN Treasury'!$A$1:$BQ$224,_xlfn.XMATCH(E$1,'UN Treasury'!$A$1:$BQ$1,-1,1),FALSE)</f>
        <v>9.3260000000000005</v>
      </c>
      <c r="F117">
        <f>VLOOKUP($A117,'UN Treasury'!$A$1:$BQ$224,_xlfn.XMATCH(F$1,'UN Treasury'!$A$1:$BQ$1,-1,1),FALSE)</f>
        <v>9.2430000000000003</v>
      </c>
      <c r="G117">
        <f>VLOOKUP($A117,'UN Treasury'!$A$1:$BQ$224,_xlfn.XMATCH(G$1,'UN Treasury'!$A$1:$BQ$1,-1,1),FALSE)</f>
        <v>9.3089999999999993</v>
      </c>
      <c r="H117">
        <f>VLOOKUP($A117,'UN Treasury'!$A$1:$BQ$224,_xlfn.XMATCH(H$1,'UN Treasury'!$A$1:$BQ$1,-1,1),FALSE)</f>
        <v>8.8840000000000003</v>
      </c>
      <c r="I117">
        <f>VLOOKUP($A117,'UN Treasury'!$A$1:$BQ$224,_xlfn.XMATCH(I$1,'UN Treasury'!$A$1:$BQ$1,-1,1),FALSE)</f>
        <v>9.202</v>
      </c>
      <c r="J117">
        <f>VLOOKUP($A117,'UN Treasury'!$A$1:$BQ$224,_xlfn.XMATCH(J$1,'UN Treasury'!$A$1:$BQ$1,-1,1),FALSE)</f>
        <v>9.2449999999999992</v>
      </c>
      <c r="K117">
        <f>VLOOKUP($A117,'UN Treasury'!$A$1:$BQ$224,_xlfn.XMATCH(K$1,'UN Treasury'!$A$1:$BQ$1,-1,1),FALSE)</f>
        <v>9.468</v>
      </c>
      <c r="L117">
        <f>VLOOKUP($A117,'UN Treasury'!$A$1:$BQ$224,_xlfn.XMATCH(L$1,'UN Treasury'!$A$1:$BQ$1,-1,1),FALSE)</f>
        <v>9.516</v>
      </c>
      <c r="M117">
        <f>VLOOKUP($A117,'UN Treasury'!$A$1:$BQ$224,_xlfn.XMATCH(M$1,'UN Treasury'!$A$1:$BQ$1,-1,1),FALSE)</f>
        <v>9.3350000000000009</v>
      </c>
      <c r="N117">
        <f>VLOOKUP($A117,'UN Treasury'!$A$1:$BQ$224,_xlfn.XMATCH(N$1,'UN Treasury'!$A$1:$BQ$1,-1,1),FALSE)</f>
        <v>9.5429999999999993</v>
      </c>
      <c r="O117">
        <f>VLOOKUP($A117,'UN Treasury'!$A$1:$BQ$224,_xlfn.XMATCH(O$1,'UN Treasury'!$A$1:$BQ$1,-1,1),FALSE)</f>
        <v>9.5370000000000008</v>
      </c>
      <c r="P117">
        <f>VLOOKUP($A117,'UN Treasury'!$A$1:$BQ$224,_xlfn.XMATCH(P$1,'UN Treasury'!$A$1:$BQ$1,-1,1),FALSE)</f>
        <v>9.5730000000000004</v>
      </c>
      <c r="Q117">
        <f>VLOOKUP($A117,'UN Treasury'!$A$1:$BQ$224,_xlfn.XMATCH(Q$1,'UN Treasury'!$A$1:$BQ$1,-1,1),FALSE)</f>
        <v>9.7260000000000009</v>
      </c>
      <c r="R117">
        <f>VLOOKUP($A117,'UN Treasury'!$A$1:$BQ$224,_xlfn.XMATCH(R$1,'UN Treasury'!$A$1:$BQ$1,-1,1),FALSE)</f>
        <v>9.7910000000000004</v>
      </c>
      <c r="S117">
        <f>VLOOKUP($A117,'UN Treasury'!$A$1:$BQ$224,_xlfn.XMATCH(S$1,'UN Treasury'!$A$1:$BQ$1,-1,1),FALSE)</f>
        <v>10.095000000000001</v>
      </c>
      <c r="T117">
        <f>VLOOKUP($A117,'UN Treasury'!$A$1:$BQ$224,_xlfn.XMATCH(T$1,'UN Treasury'!$A$1:$BQ$1,-1,1),FALSE)</f>
        <v>10.925000000000001</v>
      </c>
      <c r="U117">
        <f>VLOOKUP($A117,'UN Treasury'!$A$1:$BQ$224,_xlfn.XMATCH(U$1,'UN Treasury'!$A$1:$BQ$1,-1,1),FALSE)</f>
        <v>11.28</v>
      </c>
      <c r="V117">
        <f>VLOOKUP($A117,'UN Treasury'!$A$1:$BQ$224,_xlfn.XMATCH(V$1,'UN Treasury'!$A$1:$BQ$1,-1,1),FALSE)</f>
        <v>10.962999999999999</v>
      </c>
      <c r="W117">
        <f>VLOOKUP($A117,'UN Treasury'!$A$1:$BQ$224,_xlfn.XMATCH(W$1,'UN Treasury'!$A$1:$BQ$1,-1,1),FALSE)</f>
        <v>10.932</v>
      </c>
      <c r="X117">
        <f>VLOOKUP($A117,'UN Treasury'!$A$1:$BQ$224,_xlfn.XMATCH(X$1,'UN Treasury'!$A$1:$BQ$1,-1,1),FALSE)</f>
        <v>10.375999999999999</v>
      </c>
      <c r="Y117">
        <f>VLOOKUP($A117,'UN Treasury'!$A$1:$BQ$224,_xlfn.XMATCH(Y$1,'UN Treasury'!$A$1:$BQ$1,-1,1),FALSE)</f>
        <v>10.388999999999999</v>
      </c>
      <c r="Z117">
        <f>VLOOKUP($A117,'UN Treasury'!$A$1:$BQ$224,_xlfn.XMATCH(Z$1,'UN Treasury'!$A$1:$BQ$1,-1,1),FALSE)</f>
        <v>10.516</v>
      </c>
      <c r="AA117">
        <f>VLOOKUP($A117,'UN Treasury'!$A$1:$BQ$224,_xlfn.XMATCH(AA$1,'UN Treasury'!$A$1:$BQ$1,-1,1),FALSE)</f>
        <v>10.451000000000001</v>
      </c>
      <c r="AB117">
        <f>VLOOKUP($A117,'UN Treasury'!$A$1:$BQ$224,_xlfn.XMATCH(AB$1,'UN Treasury'!$A$1:$BQ$1,-1,1),FALSE)</f>
        <v>10.295</v>
      </c>
      <c r="AC117">
        <f>VLOOKUP($A117,'UN Treasury'!$A$1:$BQ$224,_xlfn.XMATCH(AC$1,'UN Treasury'!$A$1:$BQ$1,-1,1),FALSE)</f>
        <v>10.833</v>
      </c>
      <c r="AD117">
        <f>VLOOKUP($A117,'UN Treasury'!$A$1:$BQ$224,_xlfn.XMATCH(AD$1,'UN Treasury'!$A$1:$BQ$1,-1,1),FALSE)</f>
        <v>10.743</v>
      </c>
      <c r="AE117">
        <f>VLOOKUP($A117,'UN Treasury'!$A$1:$BQ$224,_xlfn.XMATCH(AE$1,'UN Treasury'!$A$1:$BQ$1,-1,1),FALSE)</f>
        <v>10.223000000000001</v>
      </c>
      <c r="AF117">
        <f>VLOOKUP($A117,'UN Treasury'!$A$1:$BQ$224,_xlfn.XMATCH(AF$1,'UN Treasury'!$A$1:$BQ$1,-1,1),FALSE)</f>
        <v>10.541</v>
      </c>
      <c r="AG117">
        <f>VLOOKUP($A117,'UN Treasury'!$A$1:$BQ$224,_xlfn.XMATCH(AG$1,'UN Treasury'!$A$1:$BQ$1,-1,1),FALSE)</f>
        <v>10.263999999999999</v>
      </c>
      <c r="AH117">
        <f>VLOOKUP($A117,'UN Treasury'!$A$1:$BQ$224,_xlfn.XMATCH(AH$1,'UN Treasury'!$A$1:$BQ$1,-1,1),FALSE)</f>
        <v>10.46</v>
      </c>
      <c r="AI117">
        <f>VLOOKUP($A117,'UN Treasury'!$A$1:$BQ$224,_xlfn.XMATCH(AI$1,'UN Treasury'!$A$1:$BQ$1,-1,1),FALSE)</f>
        <v>10.877000000000001</v>
      </c>
      <c r="AJ117">
        <f>VLOOKUP($A117,'UN Treasury'!$A$1:$BQ$224,_xlfn.XMATCH(AJ$1,'UN Treasury'!$A$1:$BQ$1,-1,1),FALSE)</f>
        <v>10.88</v>
      </c>
      <c r="AK117">
        <f>VLOOKUP($A117,'UN Treasury'!$A$1:$BQ$224,_xlfn.XMATCH(AK$1,'UN Treasury'!$A$1:$BQ$1,-1,1),FALSE)</f>
        <v>11.105</v>
      </c>
      <c r="AL117">
        <f>VLOOKUP($A117,'UN Treasury'!$A$1:$BQ$224,_xlfn.XMATCH(AL$1,'UN Treasury'!$A$1:$BQ$1,-1,1),FALSE)</f>
        <v>10.827999999999999</v>
      </c>
      <c r="AM117">
        <f>VLOOKUP($A117,'UN Treasury'!$A$1:$BQ$224,_xlfn.XMATCH(AM$1,'UN Treasury'!$A$1:$BQ$1,-1,1),FALSE)</f>
        <v>10.467000000000001</v>
      </c>
      <c r="AN117">
        <f>VLOOKUP($A117,'UN Treasury'!$A$1:$BQ$224,_xlfn.XMATCH(AN$1,'UN Treasury'!$A$1:$BQ$1,-1,1),FALSE)</f>
        <v>10.750999999999999</v>
      </c>
      <c r="AO117">
        <f>VLOOKUP($A117,'UN Treasury'!$A$1:$BQ$224,_xlfn.XMATCH(AO$1,'UN Treasury'!$A$1:$BQ$1,-1,1),FALSE)</f>
        <v>10.316000000000001</v>
      </c>
      <c r="AP117">
        <f>VLOOKUP($A117,'UN Treasury'!$A$1:$BQ$224,_xlfn.XMATCH(AP$1,'UN Treasury'!$A$1:$BQ$1,-1,1),FALSE)</f>
        <v>10.319000000000001</v>
      </c>
      <c r="AQ117">
        <f>VLOOKUP($A117,'UN Treasury'!$A$1:$BQ$224,_xlfn.XMATCH(AQ$1,'UN Treasury'!$A$1:$BQ$1,-1,1),FALSE)</f>
        <v>10.673999999999999</v>
      </c>
      <c r="AR117">
        <f>VLOOKUP($A117,'UN Treasury'!$A$1:$BQ$224,_xlfn.XMATCH(AR$1,'UN Treasury'!$A$1:$BQ$1,-1,1),FALSE)</f>
        <v>10.398</v>
      </c>
      <c r="AS117">
        <f>VLOOKUP($A117,'UN Treasury'!$A$1:$BQ$224,_xlfn.XMATCH(AS$1,'UN Treasury'!$A$1:$BQ$1,-1,1),FALSE)</f>
        <v>10.457000000000001</v>
      </c>
      <c r="AT117">
        <f>VLOOKUP($A117,'UN Treasury'!$A$1:$BQ$224,_xlfn.XMATCH(AT$1,'UN Treasury'!$A$1:$BQ$1,-1,1),FALSE)</f>
        <v>10.177</v>
      </c>
      <c r="AU117">
        <f>VLOOKUP($A117,'UN Treasury'!$A$1:$BQ$224,_xlfn.XMATCH(AU$1,'UN Treasury'!$A$1:$BQ$1,-1,1),FALSE)</f>
        <v>10.398</v>
      </c>
      <c r="AV117">
        <f>VLOOKUP($A117,'UN Treasury'!$A$1:$BQ$224,_xlfn.XMATCH(AV$1,'UN Treasury'!$A$1:$BQ$1,-1,1),FALSE)</f>
        <v>11.349</v>
      </c>
      <c r="AW117">
        <f>VLOOKUP($A117,'UN Treasury'!$A$1:$BQ$224,_xlfn.XMATCH(AW$1,'UN Treasury'!$A$1:$BQ$1,-1,1),FALSE)</f>
        <v>10.602</v>
      </c>
      <c r="AX117">
        <f>VLOOKUP($A117,'UN Treasury'!$A$1:$BQ$224,_xlfn.XMATCH(AX$1,'UN Treasury'!$A$1:$BQ$1,-1,1),FALSE)</f>
        <v>10.006</v>
      </c>
      <c r="AY117">
        <f>VLOOKUP($A117,'UN Treasury'!$A$1:$BQ$224,_xlfn.XMATCH(AY$1,'UN Treasury'!$A$1:$BQ$1,-1,1),FALSE)</f>
        <v>10.566000000000001</v>
      </c>
      <c r="AZ117">
        <f>VLOOKUP($A117,'UN Treasury'!$A$1:$BQ$224,_xlfn.XMATCH(AZ$1,'UN Treasury'!$A$1:$BQ$1,-1,1),FALSE)</f>
        <v>10.164999999999999</v>
      </c>
      <c r="BA117">
        <f>VLOOKUP($A117,'UN Treasury'!$A$1:$BQ$224,_xlfn.XMATCH(BA$1,'UN Treasury'!$A$1:$BQ$1,-1,1),FALSE)</f>
        <v>9.9689999999999994</v>
      </c>
      <c r="BB117">
        <f>VLOOKUP($A117,'UN Treasury'!$A$1:$BQ$224,_xlfn.XMATCH(BB$1,'UN Treasury'!$A$1:$BQ$1,-1,1),FALSE)</f>
        <v>9.4700000000000006</v>
      </c>
      <c r="BC117">
        <f>VLOOKUP($A117,'UN Treasury'!$A$1:$BQ$224,_xlfn.XMATCH(BC$1,'UN Treasury'!$A$1:$BQ$1,-1,1),FALSE)</f>
        <v>9.7289999999999992</v>
      </c>
      <c r="BD117">
        <f>VLOOKUP($A117,'UN Treasury'!$A$1:$BQ$224,_xlfn.XMATCH(BD$1,'UN Treasury'!$A$1:$BQ$1,-1,1),FALSE)</f>
        <v>9.2710000000000008</v>
      </c>
      <c r="BE117">
        <f>VLOOKUP($A117,'UN Treasury'!$A$1:$BQ$224,_xlfn.XMATCH(BE$1,'UN Treasury'!$A$1:$BQ$1,-1,1),FALSE)</f>
        <v>8.9649999999999999</v>
      </c>
      <c r="BF117">
        <f>VLOOKUP($A117,'UN Treasury'!$A$1:$BQ$224,_xlfn.XMATCH(BF$1,'UN Treasury'!$A$1:$BQ$1,-1,1),FALSE)</f>
        <v>9.0980000000000008</v>
      </c>
      <c r="BG117">
        <f>VLOOKUP($A117,'UN Treasury'!$A$1:$BQ$224,_xlfn.XMATCH(BG$1,'UN Treasury'!$A$1:$BQ$1,-1,1),FALSE)</f>
        <v>8.7100000000000009</v>
      </c>
      <c r="BH117">
        <f>VLOOKUP($A117,'UN Treasury'!$A$1:$BQ$224,_xlfn.XMATCH(BH$1,'UN Treasury'!$A$1:$BQ$1,-1,1),FALSE)</f>
        <v>8.7669999999999995</v>
      </c>
      <c r="BI117">
        <f>VLOOKUP($A117,'UN Treasury'!$A$1:$BQ$224,_xlfn.XMATCH(BI$1,'UN Treasury'!$A$1:$BQ$1,-1,1),FALSE)</f>
        <v>8.6229999999999993</v>
      </c>
      <c r="BJ117">
        <f>VLOOKUP($A117,'UN Treasury'!$A$1:$BQ$224,_xlfn.XMATCH(BJ$1,'UN Treasury'!$A$1:$BQ$1,-1,1),FALSE)</f>
        <v>8.5519999999999996</v>
      </c>
      <c r="BK117">
        <f>VLOOKUP($A117,'UN Treasury'!$A$1:$BQ$224,_xlfn.XMATCH(BK$1,'UN Treasury'!$A$1:$BQ$1,-1,1),FALSE)</f>
        <v>8.4689999999999994</v>
      </c>
      <c r="BL117">
        <f>VLOOKUP($A117,'UN Treasury'!$A$1:$BQ$224,_xlfn.XMATCH(BL$1,'UN Treasury'!$A$1:$BQ$1,-1,1),FALSE)</f>
        <v>8.2989999999999995</v>
      </c>
      <c r="BM117">
        <f>VLOOKUP($A117,'UN Treasury'!$A$1:$BQ$224,_xlfn.XMATCH(BM$1,'UN Treasury'!$A$1:$BQ$1,-1,1),FALSE)</f>
        <v>8.3689999999999998</v>
      </c>
      <c r="BN117">
        <f>VLOOKUP($A117,'UN Treasury'!$A$1:$BQ$224,_xlfn.XMATCH(BN$1,'UN Treasury'!$A$1:$BQ$1,-1,1),FALSE)</f>
        <v>8.7569999999999997</v>
      </c>
      <c r="BO117">
        <f>VLOOKUP($A117,'UN Treasury'!$A$1:$BQ$224,_xlfn.XMATCH(BO$1,'UN Treasury'!$A$1:$BQ$1,-1,1),FALSE)</f>
        <v>8.4860000000000007</v>
      </c>
      <c r="BP117">
        <f>VLOOKUP($A117,'UN Treasury'!$A$1:$BQ$224,_xlfn.XMATCH(BP$1,'UN Treasury'!$A$1:$BQ$1,-1,1),FALSE)</f>
        <v>8.32</v>
      </c>
      <c r="BQ117">
        <f>VLOOKUP($A117,'UN Treasury'!$A$1:$BQ$224,_xlfn.XMATCH(BQ$1,'UN Treasury'!$A$1:$BQ$1,-1,1),FALSE)</f>
        <v>8.343</v>
      </c>
    </row>
    <row r="118" spans="1:69" x14ac:dyDescent="0.25">
      <c r="A118" t="s">
        <v>256</v>
      </c>
      <c r="B118">
        <f>VLOOKUP($A118,'UN Treasury'!$A$1:$BQ$224,_xlfn.XMATCH(B$1,'UN Treasury'!$A$1:$BQ$1,-1,1),FALSE)</f>
        <v>1.28</v>
      </c>
      <c r="C118">
        <f>VLOOKUP($A118,'UN Treasury'!$A$1:$BQ$224,_xlfn.XMATCH(C$1,'UN Treasury'!$A$1:$BQ$1,-1,1),FALSE)</f>
        <v>1.292</v>
      </c>
      <c r="D118">
        <f>VLOOKUP($A118,'UN Treasury'!$A$1:$BQ$224,_xlfn.XMATCH(D$1,'UN Treasury'!$A$1:$BQ$1,-1,1),FALSE)</f>
        <v>1.2889999999999999</v>
      </c>
      <c r="E118">
        <f>VLOOKUP($A118,'UN Treasury'!$A$1:$BQ$224,_xlfn.XMATCH(E$1,'UN Treasury'!$A$1:$BQ$1,-1,1),FALSE)</f>
        <v>1.2729999999999999</v>
      </c>
      <c r="F118">
        <f>VLOOKUP($A118,'UN Treasury'!$A$1:$BQ$224,_xlfn.XMATCH(F$1,'UN Treasury'!$A$1:$BQ$1,-1,1),FALSE)</f>
        <v>1.2749999999999999</v>
      </c>
      <c r="G118">
        <f>VLOOKUP($A118,'UN Treasury'!$A$1:$BQ$224,_xlfn.XMATCH(G$1,'UN Treasury'!$A$1:$BQ$1,-1,1),FALSE)</f>
        <v>1.2769999999999999</v>
      </c>
      <c r="H118">
        <f>VLOOKUP($A118,'UN Treasury'!$A$1:$BQ$224,_xlfn.XMATCH(H$1,'UN Treasury'!$A$1:$BQ$1,-1,1),FALSE)</f>
        <v>1.2609999999999999</v>
      </c>
      <c r="I118">
        <f>VLOOKUP($A118,'UN Treasury'!$A$1:$BQ$224,_xlfn.XMATCH(I$1,'UN Treasury'!$A$1:$BQ$1,-1,1),FALSE)</f>
        <v>1.2889999999999999</v>
      </c>
      <c r="J118">
        <f>VLOOKUP($A118,'UN Treasury'!$A$1:$BQ$224,_xlfn.XMATCH(J$1,'UN Treasury'!$A$1:$BQ$1,-1,1),FALSE)</f>
        <v>1.2909999999999999</v>
      </c>
      <c r="K118">
        <f>VLOOKUP($A118,'UN Treasury'!$A$1:$BQ$224,_xlfn.XMATCH(K$1,'UN Treasury'!$A$1:$BQ$1,-1,1),FALSE)</f>
        <v>1.3029999999999999</v>
      </c>
      <c r="L118">
        <f>VLOOKUP($A118,'UN Treasury'!$A$1:$BQ$224,_xlfn.XMATCH(L$1,'UN Treasury'!$A$1:$BQ$1,-1,1),FALSE)</f>
        <v>1.2989999999999999</v>
      </c>
      <c r="M118">
        <f>VLOOKUP($A118,'UN Treasury'!$A$1:$BQ$224,_xlfn.XMATCH(M$1,'UN Treasury'!$A$1:$BQ$1,-1,1),FALSE)</f>
        <v>1.2829999999999999</v>
      </c>
      <c r="N118">
        <f>VLOOKUP($A118,'UN Treasury'!$A$1:$BQ$224,_xlfn.XMATCH(N$1,'UN Treasury'!$A$1:$BQ$1,-1,1),FALSE)</f>
        <v>1.28</v>
      </c>
      <c r="O118">
        <f>VLOOKUP($A118,'UN Treasury'!$A$1:$BQ$224,_xlfn.XMATCH(O$1,'UN Treasury'!$A$1:$BQ$1,-1,1),FALSE)</f>
        <v>1.28</v>
      </c>
      <c r="P118">
        <f>VLOOKUP($A118,'UN Treasury'!$A$1:$BQ$224,_xlfn.XMATCH(P$1,'UN Treasury'!$A$1:$BQ$1,-1,1),FALSE)</f>
        <v>1.2849999999999999</v>
      </c>
      <c r="Q118">
        <f>VLOOKUP($A118,'UN Treasury'!$A$1:$BQ$224,_xlfn.XMATCH(Q$1,'UN Treasury'!$A$1:$BQ$1,-1,1),FALSE)</f>
        <v>1.3029999999999999</v>
      </c>
      <c r="R118">
        <f>VLOOKUP($A118,'UN Treasury'!$A$1:$BQ$224,_xlfn.XMATCH(R$1,'UN Treasury'!$A$1:$BQ$1,-1,1),FALSE)</f>
        <v>1.3180000000000001</v>
      </c>
      <c r="S118">
        <f>VLOOKUP($A118,'UN Treasury'!$A$1:$BQ$224,_xlfn.XMATCH(S$1,'UN Treasury'!$A$1:$BQ$1,-1,1),FALSE)</f>
        <v>1.3340000000000001</v>
      </c>
      <c r="T118">
        <f>VLOOKUP($A118,'UN Treasury'!$A$1:$BQ$224,_xlfn.XMATCH(T$1,'UN Treasury'!$A$1:$BQ$1,-1,1),FALSE)</f>
        <v>1.3560000000000001</v>
      </c>
      <c r="U118">
        <f>VLOOKUP($A118,'UN Treasury'!$A$1:$BQ$224,_xlfn.XMATCH(U$1,'UN Treasury'!$A$1:$BQ$1,-1,1),FALSE)</f>
        <v>1.373</v>
      </c>
      <c r="V118">
        <f>VLOOKUP($A118,'UN Treasury'!$A$1:$BQ$224,_xlfn.XMATCH(V$1,'UN Treasury'!$A$1:$BQ$1,-1,1),FALSE)</f>
        <v>1.343</v>
      </c>
      <c r="W118">
        <f>VLOOKUP($A118,'UN Treasury'!$A$1:$BQ$224,_xlfn.XMATCH(W$1,'UN Treasury'!$A$1:$BQ$1,-1,1),FALSE)</f>
        <v>1.339</v>
      </c>
      <c r="X118">
        <f>VLOOKUP($A118,'UN Treasury'!$A$1:$BQ$224,_xlfn.XMATCH(X$1,'UN Treasury'!$A$1:$BQ$1,-1,1),FALSE)</f>
        <v>1.306</v>
      </c>
      <c r="Y118">
        <f>VLOOKUP($A118,'UN Treasury'!$A$1:$BQ$224,_xlfn.XMATCH(Y$1,'UN Treasury'!$A$1:$BQ$1,-1,1),FALSE)</f>
        <v>1.304</v>
      </c>
      <c r="Z118">
        <f>VLOOKUP($A118,'UN Treasury'!$A$1:$BQ$224,_xlfn.XMATCH(Z$1,'UN Treasury'!$A$1:$BQ$1,-1,1),FALSE)</f>
        <v>1.32</v>
      </c>
      <c r="AA118">
        <f>VLOOKUP($A118,'UN Treasury'!$A$1:$BQ$224,_xlfn.XMATCH(AA$1,'UN Treasury'!$A$1:$BQ$1,-1,1),FALSE)</f>
        <v>1.3420000000000001</v>
      </c>
      <c r="AB118">
        <f>VLOOKUP($A118,'UN Treasury'!$A$1:$BQ$224,_xlfn.XMATCH(AB$1,'UN Treasury'!$A$1:$BQ$1,-1,1),FALSE)</f>
        <v>1.345</v>
      </c>
      <c r="AC118">
        <f>VLOOKUP($A118,'UN Treasury'!$A$1:$BQ$224,_xlfn.XMATCH(AC$1,'UN Treasury'!$A$1:$BQ$1,-1,1),FALSE)</f>
        <v>1.3520000000000001</v>
      </c>
      <c r="AD118">
        <f>VLOOKUP($A118,'UN Treasury'!$A$1:$BQ$224,_xlfn.XMATCH(AD$1,'UN Treasury'!$A$1:$BQ$1,-1,1),FALSE)</f>
        <v>1.353</v>
      </c>
      <c r="AE118">
        <f>VLOOKUP($A118,'UN Treasury'!$A$1:$BQ$224,_xlfn.XMATCH(AE$1,'UN Treasury'!$A$1:$BQ$1,-1,1),FALSE)</f>
        <v>1.333</v>
      </c>
      <c r="AF118">
        <f>VLOOKUP($A118,'UN Treasury'!$A$1:$BQ$224,_xlfn.XMATCH(AF$1,'UN Treasury'!$A$1:$BQ$1,-1,1),FALSE)</f>
        <v>1.35</v>
      </c>
      <c r="AG118">
        <f>VLOOKUP($A118,'UN Treasury'!$A$1:$BQ$224,_xlfn.XMATCH(AG$1,'UN Treasury'!$A$1:$BQ$1,-1,1),FALSE)</f>
        <v>1.3320000000000001</v>
      </c>
      <c r="AH118">
        <f>VLOOKUP($A118,'UN Treasury'!$A$1:$BQ$224,_xlfn.XMATCH(AH$1,'UN Treasury'!$A$1:$BQ$1,-1,1),FALSE)</f>
        <v>1.3420000000000001</v>
      </c>
      <c r="AI118">
        <f>VLOOKUP($A118,'UN Treasury'!$A$1:$BQ$224,_xlfn.XMATCH(AI$1,'UN Treasury'!$A$1:$BQ$1,-1,1),FALSE)</f>
        <v>1.361</v>
      </c>
      <c r="AJ118">
        <f>VLOOKUP($A118,'UN Treasury'!$A$1:$BQ$224,_xlfn.XMATCH(AJ$1,'UN Treasury'!$A$1:$BQ$1,-1,1),FALSE)</f>
        <v>1.3620000000000001</v>
      </c>
      <c r="AK118">
        <f>VLOOKUP($A118,'UN Treasury'!$A$1:$BQ$224,_xlfn.XMATCH(AK$1,'UN Treasury'!$A$1:$BQ$1,-1,1),FALSE)</f>
        <v>1.361</v>
      </c>
      <c r="AL118">
        <f>VLOOKUP($A118,'UN Treasury'!$A$1:$BQ$224,_xlfn.XMATCH(AL$1,'UN Treasury'!$A$1:$BQ$1,-1,1),FALSE)</f>
        <v>1.3520000000000001</v>
      </c>
      <c r="AM118">
        <f>VLOOKUP($A118,'UN Treasury'!$A$1:$BQ$224,_xlfn.XMATCH(AM$1,'UN Treasury'!$A$1:$BQ$1,-1,1),FALSE)</f>
        <v>1.333</v>
      </c>
      <c r="AN118">
        <f>VLOOKUP($A118,'UN Treasury'!$A$1:$BQ$224,_xlfn.XMATCH(AN$1,'UN Treasury'!$A$1:$BQ$1,-1,1),FALSE)</f>
        <v>1.341</v>
      </c>
      <c r="AO118">
        <f>VLOOKUP($A118,'UN Treasury'!$A$1:$BQ$224,_xlfn.XMATCH(AO$1,'UN Treasury'!$A$1:$BQ$1,-1,1),FALSE)</f>
        <v>1.331</v>
      </c>
      <c r="AP118">
        <f>VLOOKUP($A118,'UN Treasury'!$A$1:$BQ$224,_xlfn.XMATCH(AP$1,'UN Treasury'!$A$1:$BQ$1,-1,1),FALSE)</f>
        <v>1.3280000000000001</v>
      </c>
      <c r="AQ118">
        <f>VLOOKUP($A118,'UN Treasury'!$A$1:$BQ$224,_xlfn.XMATCH(AQ$1,'UN Treasury'!$A$1:$BQ$1,-1,1),FALSE)</f>
        <v>1.349</v>
      </c>
      <c r="AR118">
        <f>VLOOKUP($A118,'UN Treasury'!$A$1:$BQ$224,_xlfn.XMATCH(AR$1,'UN Treasury'!$A$1:$BQ$1,-1,1),FALSE)</f>
        <v>1.33</v>
      </c>
      <c r="AS118">
        <f>VLOOKUP($A118,'UN Treasury'!$A$1:$BQ$224,_xlfn.XMATCH(AS$1,'UN Treasury'!$A$1:$BQ$1,-1,1),FALSE)</f>
        <v>1.331</v>
      </c>
      <c r="AT118">
        <f>VLOOKUP($A118,'UN Treasury'!$A$1:$BQ$224,_xlfn.XMATCH(AT$1,'UN Treasury'!$A$1:$BQ$1,-1,1),FALSE)</f>
        <v>1.3440000000000001</v>
      </c>
      <c r="AU118">
        <f>VLOOKUP($A118,'UN Treasury'!$A$1:$BQ$224,_xlfn.XMATCH(AU$1,'UN Treasury'!$A$1:$BQ$1,-1,1),FALSE)</f>
        <v>1.3759999999999999</v>
      </c>
      <c r="AV118">
        <f>VLOOKUP($A118,'UN Treasury'!$A$1:$BQ$224,_xlfn.XMATCH(AV$1,'UN Treasury'!$A$1:$BQ$1,-1,1),FALSE)</f>
        <v>1.4370000000000001</v>
      </c>
      <c r="AW118">
        <f>VLOOKUP($A118,'UN Treasury'!$A$1:$BQ$224,_xlfn.XMATCH(AW$1,'UN Treasury'!$A$1:$BQ$1,-1,1),FALSE)</f>
        <v>1.4039999999999999</v>
      </c>
      <c r="AX118">
        <f>VLOOKUP($A118,'UN Treasury'!$A$1:$BQ$224,_xlfn.XMATCH(AX$1,'UN Treasury'!$A$1:$BQ$1,-1,1),FALSE)</f>
        <v>1.367</v>
      </c>
      <c r="AY118">
        <f>VLOOKUP($A118,'UN Treasury'!$A$1:$BQ$224,_xlfn.XMATCH(AY$1,'UN Treasury'!$A$1:$BQ$1,-1,1),FALSE)</f>
        <v>1.407</v>
      </c>
      <c r="AZ118">
        <f>VLOOKUP($A118,'UN Treasury'!$A$1:$BQ$224,_xlfn.XMATCH(AZ$1,'UN Treasury'!$A$1:$BQ$1,-1,1),FALSE)</f>
        <v>1.39</v>
      </c>
      <c r="BA118">
        <f>VLOOKUP($A118,'UN Treasury'!$A$1:$BQ$224,_xlfn.XMATCH(BA$1,'UN Treasury'!$A$1:$BQ$1,-1,1),FALSE)</f>
        <v>1.385</v>
      </c>
      <c r="BB118">
        <f>VLOOKUP($A118,'UN Treasury'!$A$1:$BQ$224,_xlfn.XMATCH(BB$1,'UN Treasury'!$A$1:$BQ$1,-1,1),FALSE)</f>
        <v>1.363</v>
      </c>
      <c r="BC118">
        <f>VLOOKUP($A118,'UN Treasury'!$A$1:$BQ$224,_xlfn.XMATCH(BC$1,'UN Treasury'!$A$1:$BQ$1,-1,1),FALSE)</f>
        <v>1.36</v>
      </c>
      <c r="BD118">
        <f>VLOOKUP($A118,'UN Treasury'!$A$1:$BQ$224,_xlfn.XMATCH(BD$1,'UN Treasury'!$A$1:$BQ$1,-1,1),FALSE)</f>
        <v>1.343</v>
      </c>
      <c r="BE118">
        <f>VLOOKUP($A118,'UN Treasury'!$A$1:$BQ$224,_xlfn.XMATCH(BE$1,'UN Treasury'!$A$1:$BQ$1,-1,1),FALSE)</f>
        <v>1.3480000000000001</v>
      </c>
      <c r="BF118">
        <f>VLOOKUP($A118,'UN Treasury'!$A$1:$BQ$224,_xlfn.XMATCH(BF$1,'UN Treasury'!$A$1:$BQ$1,-1,1),FALSE)</f>
        <v>1.37</v>
      </c>
      <c r="BG118">
        <f>VLOOKUP($A118,'UN Treasury'!$A$1:$BQ$224,_xlfn.XMATCH(BG$1,'UN Treasury'!$A$1:$BQ$1,-1,1),FALSE)</f>
        <v>1.3540000000000001</v>
      </c>
      <c r="BH118">
        <f>VLOOKUP($A118,'UN Treasury'!$A$1:$BQ$224,_xlfn.XMATCH(BH$1,'UN Treasury'!$A$1:$BQ$1,-1,1),FALSE)</f>
        <v>1.359</v>
      </c>
      <c r="BI118">
        <f>VLOOKUP($A118,'UN Treasury'!$A$1:$BQ$224,_xlfn.XMATCH(BI$1,'UN Treasury'!$A$1:$BQ$1,-1,1),FALSE)</f>
        <v>1.3420000000000001</v>
      </c>
      <c r="BJ118">
        <f>VLOOKUP($A118,'UN Treasury'!$A$1:$BQ$224,_xlfn.XMATCH(BJ$1,'UN Treasury'!$A$1:$BQ$1,-1,1),FALSE)</f>
        <v>1.353</v>
      </c>
      <c r="BK118">
        <f>VLOOKUP($A118,'UN Treasury'!$A$1:$BQ$224,_xlfn.XMATCH(BK$1,'UN Treasury'!$A$1:$BQ$1,-1,1),FALSE)</f>
        <v>1.3440000000000001</v>
      </c>
      <c r="BL118">
        <f>VLOOKUP($A118,'UN Treasury'!$A$1:$BQ$224,_xlfn.XMATCH(BL$1,'UN Treasury'!$A$1:$BQ$1,-1,1),FALSE)</f>
        <v>1.3240000000000001</v>
      </c>
      <c r="BM118">
        <f>VLOOKUP($A118,'UN Treasury'!$A$1:$BQ$224,_xlfn.XMATCH(BM$1,'UN Treasury'!$A$1:$BQ$1,-1,1),FALSE)</f>
        <v>1.327</v>
      </c>
      <c r="BN118">
        <f>VLOOKUP($A118,'UN Treasury'!$A$1:$BQ$224,_xlfn.XMATCH(BN$1,'UN Treasury'!$A$1:$BQ$1,-1,1),FALSE)</f>
        <v>1.3480000000000001</v>
      </c>
      <c r="BO118">
        <f>VLOOKUP($A118,'UN Treasury'!$A$1:$BQ$224,_xlfn.XMATCH(BO$1,'UN Treasury'!$A$1:$BQ$1,-1,1),FALSE)</f>
        <v>1.341</v>
      </c>
      <c r="BP118">
        <f>VLOOKUP($A118,'UN Treasury'!$A$1:$BQ$224,_xlfn.XMATCH(BP$1,'UN Treasury'!$A$1:$BQ$1,-1,1),FALSE)</f>
        <v>1.3240000000000001</v>
      </c>
      <c r="BQ118">
        <f>VLOOKUP($A118,'UN Treasury'!$A$1:$BQ$224,_xlfn.XMATCH(BQ$1,'UN Treasury'!$A$1:$BQ$1,-1,1),FALSE)</f>
        <v>1.3260000000000001</v>
      </c>
    </row>
    <row r="119" spans="1:69" x14ac:dyDescent="0.25">
      <c r="A119" t="s">
        <v>257</v>
      </c>
      <c r="B119">
        <f>VLOOKUP($A119,'UN Treasury'!$A$1:$BQ$224,_xlfn.XMATCH(B$1,'UN Treasury'!$A$1:$BQ$1,-1,1),FALSE)</f>
        <v>0.74099999999999999</v>
      </c>
      <c r="C119">
        <f>VLOOKUP($A119,'UN Treasury'!$A$1:$BQ$224,_xlfn.XMATCH(C$1,'UN Treasury'!$A$1:$BQ$1,-1,1),FALSE)</f>
        <v>0.747</v>
      </c>
      <c r="D119">
        <f>VLOOKUP($A119,'UN Treasury'!$A$1:$BQ$224,_xlfn.XMATCH(D$1,'UN Treasury'!$A$1:$BQ$1,-1,1),FALSE)</f>
        <v>0.749</v>
      </c>
      <c r="E119">
        <f>VLOOKUP($A119,'UN Treasury'!$A$1:$BQ$224,_xlfn.XMATCH(E$1,'UN Treasury'!$A$1:$BQ$1,-1,1),FALSE)</f>
        <v>0.74</v>
      </c>
      <c r="F119">
        <f>VLOOKUP($A119,'UN Treasury'!$A$1:$BQ$224,_xlfn.XMATCH(F$1,'UN Treasury'!$A$1:$BQ$1,-1,1),FALSE)</f>
        <v>0.74299999999999999</v>
      </c>
      <c r="G119">
        <f>VLOOKUP($A119,'UN Treasury'!$A$1:$BQ$224,_xlfn.XMATCH(G$1,'UN Treasury'!$A$1:$BQ$1,-1,1),FALSE)</f>
        <v>0.748</v>
      </c>
      <c r="H119">
        <f>VLOOKUP($A119,'UN Treasury'!$A$1:$BQ$224,_xlfn.XMATCH(H$1,'UN Treasury'!$A$1:$BQ$1,-1,1),FALSE)</f>
        <v>0.73199999999999998</v>
      </c>
      <c r="I119">
        <f>VLOOKUP($A119,'UN Treasury'!$A$1:$BQ$224,_xlfn.XMATCH(I$1,'UN Treasury'!$A$1:$BQ$1,-1,1),FALSE)</f>
        <v>0.74399999999999999</v>
      </c>
      <c r="J119">
        <f>VLOOKUP($A119,'UN Treasury'!$A$1:$BQ$224,_xlfn.XMATCH(J$1,'UN Treasury'!$A$1:$BQ$1,-1,1),FALSE)</f>
        <v>0.745</v>
      </c>
      <c r="K119">
        <f>VLOOKUP($A119,'UN Treasury'!$A$1:$BQ$224,_xlfn.XMATCH(K$1,'UN Treasury'!$A$1:$BQ$1,-1,1),FALSE)</f>
        <v>0.76400000000000001</v>
      </c>
      <c r="L119">
        <f>VLOOKUP($A119,'UN Treasury'!$A$1:$BQ$224,_xlfn.XMATCH(L$1,'UN Treasury'!$A$1:$BQ$1,-1,1),FALSE)</f>
        <v>0.75</v>
      </c>
      <c r="M119">
        <f>VLOOKUP($A119,'UN Treasury'!$A$1:$BQ$224,_xlfn.XMATCH(M$1,'UN Treasury'!$A$1:$BQ$1,-1,1),FALSE)</f>
        <v>0.73799999999999999</v>
      </c>
      <c r="N119">
        <f>VLOOKUP($A119,'UN Treasury'!$A$1:$BQ$224,_xlfn.XMATCH(N$1,'UN Treasury'!$A$1:$BQ$1,-1,1),FALSE)</f>
        <v>0.73699999999999999</v>
      </c>
      <c r="O119">
        <f>VLOOKUP($A119,'UN Treasury'!$A$1:$BQ$224,_xlfn.XMATCH(O$1,'UN Treasury'!$A$1:$BQ$1,-1,1),FALSE)</f>
        <v>0.74</v>
      </c>
      <c r="P119">
        <f>VLOOKUP($A119,'UN Treasury'!$A$1:$BQ$224,_xlfn.XMATCH(P$1,'UN Treasury'!$A$1:$BQ$1,-1,1),FALSE)</f>
        <v>0.74</v>
      </c>
      <c r="Q119">
        <f>VLOOKUP($A119,'UN Treasury'!$A$1:$BQ$224,_xlfn.XMATCH(Q$1,'UN Treasury'!$A$1:$BQ$1,-1,1),FALSE)</f>
        <v>0.755</v>
      </c>
      <c r="R119">
        <f>VLOOKUP($A119,'UN Treasury'!$A$1:$BQ$224,_xlfn.XMATCH(R$1,'UN Treasury'!$A$1:$BQ$1,-1,1),FALSE)</f>
        <v>0.76400000000000001</v>
      </c>
      <c r="S119">
        <f>VLOOKUP($A119,'UN Treasury'!$A$1:$BQ$224,_xlfn.XMATCH(S$1,'UN Treasury'!$A$1:$BQ$1,-1,1),FALSE)</f>
        <v>0.77300000000000002</v>
      </c>
      <c r="T119">
        <f>VLOOKUP($A119,'UN Treasury'!$A$1:$BQ$224,_xlfn.XMATCH(T$1,'UN Treasury'!$A$1:$BQ$1,-1,1),FALSE)</f>
        <v>0.80700000000000005</v>
      </c>
      <c r="U119">
        <f>VLOOKUP($A119,'UN Treasury'!$A$1:$BQ$224,_xlfn.XMATCH(U$1,'UN Treasury'!$A$1:$BQ$1,-1,1),FALSE)</f>
        <v>0.82299999999999995</v>
      </c>
      <c r="V119">
        <f>VLOOKUP($A119,'UN Treasury'!$A$1:$BQ$224,_xlfn.XMATCH(V$1,'UN Treasury'!$A$1:$BQ$1,-1,1),FALSE)</f>
        <v>0.78400000000000003</v>
      </c>
      <c r="W119">
        <f>VLOOKUP($A119,'UN Treasury'!$A$1:$BQ$224,_xlfn.XMATCH(W$1,'UN Treasury'!$A$1:$BQ$1,-1,1),FALSE)</f>
        <v>0.78600000000000003</v>
      </c>
      <c r="X119">
        <f>VLOOKUP($A119,'UN Treasury'!$A$1:$BQ$224,_xlfn.XMATCH(X$1,'UN Treasury'!$A$1:$BQ$1,-1,1),FALSE)</f>
        <v>0.76500000000000001</v>
      </c>
      <c r="Y119">
        <f>VLOOKUP($A119,'UN Treasury'!$A$1:$BQ$224,_xlfn.XMATCH(Y$1,'UN Treasury'!$A$1:$BQ$1,-1,1),FALSE)</f>
        <v>0.76600000000000001</v>
      </c>
      <c r="Z119">
        <f>VLOOKUP($A119,'UN Treasury'!$A$1:$BQ$224,_xlfn.XMATCH(Z$1,'UN Treasury'!$A$1:$BQ$1,-1,1),FALSE)</f>
        <v>0.78</v>
      </c>
      <c r="AA119">
        <f>VLOOKUP($A119,'UN Treasury'!$A$1:$BQ$224,_xlfn.XMATCH(AA$1,'UN Treasury'!$A$1:$BQ$1,-1,1),FALSE)</f>
        <v>0.77300000000000002</v>
      </c>
      <c r="AB119">
        <f>VLOOKUP($A119,'UN Treasury'!$A$1:$BQ$224,_xlfn.XMATCH(AB$1,'UN Treasury'!$A$1:$BQ$1,-1,1),FALSE)</f>
        <v>0.77900000000000003</v>
      </c>
      <c r="AC119">
        <f>VLOOKUP($A119,'UN Treasury'!$A$1:$BQ$224,_xlfn.XMATCH(AC$1,'UN Treasury'!$A$1:$BQ$1,-1,1),FALSE)</f>
        <v>0.79600000000000004</v>
      </c>
      <c r="AD119">
        <f>VLOOKUP($A119,'UN Treasury'!$A$1:$BQ$224,_xlfn.XMATCH(AD$1,'UN Treasury'!$A$1:$BQ$1,-1,1),FALSE)</f>
        <v>0.79700000000000004</v>
      </c>
      <c r="AE119">
        <f>VLOOKUP($A119,'UN Treasury'!$A$1:$BQ$224,_xlfn.XMATCH(AE$1,'UN Treasury'!$A$1:$BQ$1,-1,1),FALSE)</f>
        <v>0.78100000000000003</v>
      </c>
      <c r="AF119">
        <f>VLOOKUP($A119,'UN Treasury'!$A$1:$BQ$224,_xlfn.XMATCH(AF$1,'UN Treasury'!$A$1:$BQ$1,-1,1),FALSE)</f>
        <v>0.79300000000000004</v>
      </c>
      <c r="AG119">
        <f>VLOOKUP($A119,'UN Treasury'!$A$1:$BQ$224,_xlfn.XMATCH(AG$1,'UN Treasury'!$A$1:$BQ$1,-1,1),FALSE)</f>
        <v>0.78600000000000003</v>
      </c>
      <c r="AH119">
        <f>VLOOKUP($A119,'UN Treasury'!$A$1:$BQ$224,_xlfn.XMATCH(AH$1,'UN Treasury'!$A$1:$BQ$1,-1,1),FALSE)</f>
        <v>0.79900000000000004</v>
      </c>
      <c r="AI119">
        <f>VLOOKUP($A119,'UN Treasury'!$A$1:$BQ$224,_xlfn.XMATCH(AI$1,'UN Treasury'!$A$1:$BQ$1,-1,1),FALSE)</f>
        <v>0.81699999999999995</v>
      </c>
      <c r="AJ119">
        <f>VLOOKUP($A119,'UN Treasury'!$A$1:$BQ$224,_xlfn.XMATCH(AJ$1,'UN Treasury'!$A$1:$BQ$1,-1,1),FALSE)</f>
        <v>0.81100000000000005</v>
      </c>
      <c r="AK119">
        <f>VLOOKUP($A119,'UN Treasury'!$A$1:$BQ$224,_xlfn.XMATCH(AK$1,'UN Treasury'!$A$1:$BQ$1,-1,1),FALSE)</f>
        <v>0.8</v>
      </c>
      <c r="AL119">
        <f>VLOOKUP($A119,'UN Treasury'!$A$1:$BQ$224,_xlfn.XMATCH(AL$1,'UN Treasury'!$A$1:$BQ$1,-1,1),FALSE)</f>
        <v>0.78800000000000003</v>
      </c>
      <c r="AM119">
        <f>VLOOKUP($A119,'UN Treasury'!$A$1:$BQ$224,_xlfn.XMATCH(AM$1,'UN Treasury'!$A$1:$BQ$1,-1,1),FALSE)</f>
        <v>0.77</v>
      </c>
      <c r="AN119">
        <f>VLOOKUP($A119,'UN Treasury'!$A$1:$BQ$224,_xlfn.XMATCH(AN$1,'UN Treasury'!$A$1:$BQ$1,-1,1),FALSE)</f>
        <v>0.79500000000000004</v>
      </c>
      <c r="AO119">
        <f>VLOOKUP($A119,'UN Treasury'!$A$1:$BQ$224,_xlfn.XMATCH(AO$1,'UN Treasury'!$A$1:$BQ$1,-1,1),FALSE)</f>
        <v>0.79900000000000004</v>
      </c>
      <c r="AP119">
        <f>VLOOKUP($A119,'UN Treasury'!$A$1:$BQ$224,_xlfn.XMATCH(AP$1,'UN Treasury'!$A$1:$BQ$1,-1,1),FALSE)</f>
        <v>0.80300000000000005</v>
      </c>
      <c r="AQ119">
        <f>VLOOKUP($A119,'UN Treasury'!$A$1:$BQ$224,_xlfn.XMATCH(AQ$1,'UN Treasury'!$A$1:$BQ$1,-1,1),FALSE)</f>
        <v>0.82599999999999996</v>
      </c>
      <c r="AR119">
        <f>VLOOKUP($A119,'UN Treasury'!$A$1:$BQ$224,_xlfn.XMATCH(AR$1,'UN Treasury'!$A$1:$BQ$1,-1,1),FALSE)</f>
        <v>0.82399999999999995</v>
      </c>
      <c r="AS119">
        <f>VLOOKUP($A119,'UN Treasury'!$A$1:$BQ$224,_xlfn.XMATCH(AS$1,'UN Treasury'!$A$1:$BQ$1,-1,1),FALSE)</f>
        <v>0.82399999999999995</v>
      </c>
      <c r="AT119">
        <f>VLOOKUP($A119,'UN Treasury'!$A$1:$BQ$224,_xlfn.XMATCH(AT$1,'UN Treasury'!$A$1:$BQ$1,-1,1),FALSE)</f>
        <v>0.80400000000000005</v>
      </c>
      <c r="AU119">
        <f>VLOOKUP($A119,'UN Treasury'!$A$1:$BQ$224,_xlfn.XMATCH(AU$1,'UN Treasury'!$A$1:$BQ$1,-1,1),FALSE)</f>
        <v>0.85199999999999998</v>
      </c>
      <c r="AV119">
        <f>VLOOKUP($A119,'UN Treasury'!$A$1:$BQ$224,_xlfn.XMATCH(AV$1,'UN Treasury'!$A$1:$BQ$1,-1,1),FALSE)</f>
        <v>0.90600000000000003</v>
      </c>
      <c r="AW119">
        <f>VLOOKUP($A119,'UN Treasury'!$A$1:$BQ$224,_xlfn.XMATCH(AW$1,'UN Treasury'!$A$1:$BQ$1,-1,1),FALSE)</f>
        <v>0.86599999999999999</v>
      </c>
      <c r="AX119">
        <f>VLOOKUP($A119,'UN Treasury'!$A$1:$BQ$224,_xlfn.XMATCH(AX$1,'UN Treasury'!$A$1:$BQ$1,-1,1),FALSE)</f>
        <v>0.81699999999999995</v>
      </c>
      <c r="AY119">
        <f>VLOOKUP($A119,'UN Treasury'!$A$1:$BQ$224,_xlfn.XMATCH(AY$1,'UN Treasury'!$A$1:$BQ$1,-1,1),FALSE)</f>
        <v>0.84199999999999997</v>
      </c>
      <c r="AZ119">
        <f>VLOOKUP($A119,'UN Treasury'!$A$1:$BQ$224,_xlfn.XMATCH(AZ$1,'UN Treasury'!$A$1:$BQ$1,-1,1),FALSE)</f>
        <v>0.82099999999999995</v>
      </c>
      <c r="BA119">
        <f>VLOOKUP($A119,'UN Treasury'!$A$1:$BQ$224,_xlfn.XMATCH(BA$1,'UN Treasury'!$A$1:$BQ$1,-1,1),FALSE)</f>
        <v>0.80800000000000005</v>
      </c>
      <c r="BB119">
        <f>VLOOKUP($A119,'UN Treasury'!$A$1:$BQ$224,_xlfn.XMATCH(BB$1,'UN Treasury'!$A$1:$BQ$1,-1,1),FALSE)</f>
        <v>0.76700000000000002</v>
      </c>
      <c r="BC119">
        <f>VLOOKUP($A119,'UN Treasury'!$A$1:$BQ$224,_xlfn.XMATCH(BC$1,'UN Treasury'!$A$1:$BQ$1,-1,1),FALSE)</f>
        <v>0.76400000000000001</v>
      </c>
      <c r="BD119">
        <f>VLOOKUP($A119,'UN Treasury'!$A$1:$BQ$224,_xlfn.XMATCH(BD$1,'UN Treasury'!$A$1:$BQ$1,-1,1),FALSE)</f>
        <v>0.73599999999999999</v>
      </c>
      <c r="BE119">
        <f>VLOOKUP($A119,'UN Treasury'!$A$1:$BQ$224,_xlfn.XMATCH(BE$1,'UN Treasury'!$A$1:$BQ$1,-1,1),FALSE)</f>
        <v>0.73099999999999998</v>
      </c>
      <c r="BF119">
        <f>VLOOKUP($A119,'UN Treasury'!$A$1:$BQ$224,_xlfn.XMATCH(BF$1,'UN Treasury'!$A$1:$BQ$1,-1,1),FALSE)</f>
        <v>0.752</v>
      </c>
      <c r="BG119">
        <f>VLOOKUP($A119,'UN Treasury'!$A$1:$BQ$224,_xlfn.XMATCH(BG$1,'UN Treasury'!$A$1:$BQ$1,-1,1),FALSE)</f>
        <v>0.747</v>
      </c>
      <c r="BH119">
        <f>VLOOKUP($A119,'UN Treasury'!$A$1:$BQ$224,_xlfn.XMATCH(BH$1,'UN Treasury'!$A$1:$BQ$1,-1,1),FALSE)</f>
        <v>0.74399999999999999</v>
      </c>
      <c r="BI119">
        <f>VLOOKUP($A119,'UN Treasury'!$A$1:$BQ$224,_xlfn.XMATCH(BI$1,'UN Treasury'!$A$1:$BQ$1,-1,1),FALSE)</f>
        <v>0.72299999999999998</v>
      </c>
      <c r="BJ119">
        <f>VLOOKUP($A119,'UN Treasury'!$A$1:$BQ$224,_xlfn.XMATCH(BJ$1,'UN Treasury'!$A$1:$BQ$1,-1,1),FALSE)</f>
        <v>0.71499999999999997</v>
      </c>
      <c r="BK119">
        <f>VLOOKUP($A119,'UN Treasury'!$A$1:$BQ$224,_xlfn.XMATCH(BK$1,'UN Treasury'!$A$1:$BQ$1,-1,1),FALSE)</f>
        <v>0.71899999999999997</v>
      </c>
      <c r="BL119">
        <f>VLOOKUP($A119,'UN Treasury'!$A$1:$BQ$224,_xlfn.XMATCH(BL$1,'UN Treasury'!$A$1:$BQ$1,-1,1),FALSE)</f>
        <v>0.70599999999999996</v>
      </c>
      <c r="BM119">
        <f>VLOOKUP($A119,'UN Treasury'!$A$1:$BQ$224,_xlfn.XMATCH(BM$1,'UN Treasury'!$A$1:$BQ$1,-1,1),FALSE)</f>
        <v>0.71699999999999997</v>
      </c>
      <c r="BN119">
        <f>VLOOKUP($A119,'UN Treasury'!$A$1:$BQ$224,_xlfn.XMATCH(BN$1,'UN Treasury'!$A$1:$BQ$1,-1,1),FALSE)</f>
        <v>0.72899999999999998</v>
      </c>
      <c r="BO119">
        <f>VLOOKUP($A119,'UN Treasury'!$A$1:$BQ$224,_xlfn.XMATCH(BO$1,'UN Treasury'!$A$1:$BQ$1,-1,1),FALSE)</f>
        <v>0.71599999999999997</v>
      </c>
      <c r="BP119">
        <f>VLOOKUP($A119,'UN Treasury'!$A$1:$BQ$224,_xlfn.XMATCH(BP$1,'UN Treasury'!$A$1:$BQ$1,-1,1),FALSE)</f>
        <v>0.72399999999999998</v>
      </c>
      <c r="BQ119">
        <f>VLOOKUP($A119,'UN Treasury'!$A$1:$BQ$224,_xlfn.XMATCH(BQ$1,'UN Treasury'!$A$1:$BQ$1,-1,1),FALSE)</f>
        <v>0.73299999999999998</v>
      </c>
    </row>
    <row r="120" spans="1:69" x14ac:dyDescent="0.25">
      <c r="A120" t="s">
        <v>339</v>
      </c>
      <c r="B120">
        <f>VLOOKUP($A120,'UN Treasury'!$A$1:$BQ$224,_xlfn.XMATCH(B$1,'UN Treasury'!$A$1:$BQ$1,-1,1),FALSE)</f>
        <v>23.98</v>
      </c>
      <c r="C120">
        <f>VLOOKUP($A120,'UN Treasury'!$A$1:$BQ$224,_xlfn.XMATCH(C$1,'UN Treasury'!$A$1:$BQ$1,-1,1),FALSE)</f>
        <v>23.92</v>
      </c>
      <c r="D120">
        <f>VLOOKUP($A120,'UN Treasury'!$A$1:$BQ$224,_xlfn.XMATCH(D$1,'UN Treasury'!$A$1:$BQ$1,-1,1),FALSE)</f>
        <v>23.88</v>
      </c>
      <c r="E120">
        <f>VLOOKUP($A120,'UN Treasury'!$A$1:$BQ$224,_xlfn.XMATCH(E$1,'UN Treasury'!$A$1:$BQ$1,-1,1),FALSE)</f>
        <v>23.864999999999998</v>
      </c>
      <c r="F120">
        <f>VLOOKUP($A120,'UN Treasury'!$A$1:$BQ$224,_xlfn.XMATCH(F$1,'UN Treasury'!$A$1:$BQ$1,-1,1),FALSE)</f>
        <v>23.864999999999998</v>
      </c>
      <c r="G120">
        <f>VLOOKUP($A120,'UN Treasury'!$A$1:$BQ$224,_xlfn.XMATCH(G$1,'UN Treasury'!$A$1:$BQ$1,-1,1),FALSE)</f>
        <v>23.84</v>
      </c>
      <c r="H120">
        <f>VLOOKUP($A120,'UN Treasury'!$A$1:$BQ$224,_xlfn.XMATCH(H$1,'UN Treasury'!$A$1:$BQ$1,-1,1),FALSE)</f>
        <v>23.837</v>
      </c>
      <c r="I120">
        <f>VLOOKUP($A120,'UN Treasury'!$A$1:$BQ$224,_xlfn.XMATCH(I$1,'UN Treasury'!$A$1:$BQ$1,-1,1),FALSE)</f>
        <v>23.827999999999999</v>
      </c>
      <c r="J120">
        <f>VLOOKUP($A120,'UN Treasury'!$A$1:$BQ$224,_xlfn.XMATCH(J$1,'UN Treasury'!$A$1:$BQ$1,-1,1),FALSE)</f>
        <v>23.82</v>
      </c>
      <c r="K120">
        <f>VLOOKUP($A120,'UN Treasury'!$A$1:$BQ$224,_xlfn.XMATCH(K$1,'UN Treasury'!$A$1:$BQ$1,-1,1),FALSE)</f>
        <v>23.82</v>
      </c>
      <c r="L120">
        <f>VLOOKUP($A120,'UN Treasury'!$A$1:$BQ$224,_xlfn.XMATCH(L$1,'UN Treasury'!$A$1:$BQ$1,-1,1),FALSE)</f>
        <v>23.78</v>
      </c>
      <c r="M120">
        <f>VLOOKUP($A120,'UN Treasury'!$A$1:$BQ$224,_xlfn.XMATCH(M$1,'UN Treasury'!$A$1:$BQ$1,-1,1),FALSE)</f>
        <v>23.75</v>
      </c>
      <c r="N120">
        <f>VLOOKUP($A120,'UN Treasury'!$A$1:$BQ$224,_xlfn.XMATCH(N$1,'UN Treasury'!$A$1:$BQ$1,-1,1),FALSE)</f>
        <v>23.75</v>
      </c>
      <c r="O120">
        <f>VLOOKUP($A120,'UN Treasury'!$A$1:$BQ$224,_xlfn.XMATCH(O$1,'UN Treasury'!$A$1:$BQ$1,-1,1),FALSE)</f>
        <v>23.65</v>
      </c>
      <c r="P120">
        <f>VLOOKUP($A120,'UN Treasury'!$A$1:$BQ$224,_xlfn.XMATCH(P$1,'UN Treasury'!$A$1:$BQ$1,-1,1),FALSE)</f>
        <v>23.701000000000001</v>
      </c>
      <c r="Q120">
        <f>VLOOKUP($A120,'UN Treasury'!$A$1:$BQ$224,_xlfn.XMATCH(Q$1,'UN Treasury'!$A$1:$BQ$1,-1,1),FALSE)</f>
        <v>23.6</v>
      </c>
      <c r="R120">
        <f>VLOOKUP($A120,'UN Treasury'!$A$1:$BQ$224,_xlfn.XMATCH(R$1,'UN Treasury'!$A$1:$BQ$1,-1,1),FALSE)</f>
        <v>23.53</v>
      </c>
      <c r="S120">
        <f>VLOOKUP($A120,'UN Treasury'!$A$1:$BQ$224,_xlfn.XMATCH(S$1,'UN Treasury'!$A$1:$BQ$1,-1,1),FALSE)</f>
        <v>23.491</v>
      </c>
      <c r="T120">
        <f>VLOOKUP($A120,'UN Treasury'!$A$1:$BQ$224,_xlfn.XMATCH(T$1,'UN Treasury'!$A$1:$BQ$1,-1,1),FALSE)</f>
        <v>23.47</v>
      </c>
      <c r="U120">
        <f>VLOOKUP($A120,'UN Treasury'!$A$1:$BQ$224,_xlfn.XMATCH(U$1,'UN Treasury'!$A$1:$BQ$1,-1,1),FALSE)</f>
        <v>23.45</v>
      </c>
      <c r="V120">
        <f>VLOOKUP($A120,'UN Treasury'!$A$1:$BQ$224,_xlfn.XMATCH(V$1,'UN Treasury'!$A$1:$BQ$1,-1,1),FALSE)</f>
        <v>23.4</v>
      </c>
      <c r="W120">
        <f>VLOOKUP($A120,'UN Treasury'!$A$1:$BQ$224,_xlfn.XMATCH(W$1,'UN Treasury'!$A$1:$BQ$1,-1,1),FALSE)</f>
        <v>23.35</v>
      </c>
      <c r="X120">
        <f>VLOOKUP($A120,'UN Treasury'!$A$1:$BQ$224,_xlfn.XMATCH(X$1,'UN Treasury'!$A$1:$BQ$1,-1,1),FALSE)</f>
        <v>23.3</v>
      </c>
      <c r="Y120">
        <f>VLOOKUP($A120,'UN Treasury'!$A$1:$BQ$224,_xlfn.XMATCH(Y$1,'UN Treasury'!$A$1:$BQ$1,-1,1),FALSE)</f>
        <v>23.216999999999999</v>
      </c>
      <c r="Z120">
        <f>VLOOKUP($A120,'UN Treasury'!$A$1:$BQ$224,_xlfn.XMATCH(Z$1,'UN Treasury'!$A$1:$BQ$1,-1,1),FALSE)</f>
        <v>23.216000000000001</v>
      </c>
      <c r="AA120">
        <f>VLOOKUP($A120,'UN Treasury'!$A$1:$BQ$224,_xlfn.XMATCH(AA$1,'UN Treasury'!$A$1:$BQ$1,-1,1),FALSE)</f>
        <v>23.216000000000001</v>
      </c>
      <c r="AB120">
        <f>VLOOKUP($A120,'UN Treasury'!$A$1:$BQ$224,_xlfn.XMATCH(AB$1,'UN Treasury'!$A$1:$BQ$1,-1,1),FALSE)</f>
        <v>23.212</v>
      </c>
      <c r="AC120">
        <f>VLOOKUP($A120,'UN Treasury'!$A$1:$BQ$224,_xlfn.XMATCH(AC$1,'UN Treasury'!$A$1:$BQ$1,-1,1),FALSE)</f>
        <v>23.21</v>
      </c>
      <c r="AD120">
        <f>VLOOKUP($A120,'UN Treasury'!$A$1:$BQ$224,_xlfn.XMATCH(AD$1,'UN Treasury'!$A$1:$BQ$1,-1,1),FALSE)</f>
        <v>23</v>
      </c>
      <c r="AE120">
        <f>VLOOKUP($A120,'UN Treasury'!$A$1:$BQ$224,_xlfn.XMATCH(AE$1,'UN Treasury'!$A$1:$BQ$1,-1,1),FALSE)</f>
        <v>23</v>
      </c>
      <c r="AF120">
        <f>VLOOKUP($A120,'UN Treasury'!$A$1:$BQ$224,_xlfn.XMATCH(AF$1,'UN Treasury'!$A$1:$BQ$1,-1,1),FALSE)</f>
        <v>23</v>
      </c>
      <c r="AG120">
        <f>VLOOKUP($A120,'UN Treasury'!$A$1:$BQ$224,_xlfn.XMATCH(AG$1,'UN Treasury'!$A$1:$BQ$1,-1,1),FALSE)</f>
        <v>23</v>
      </c>
      <c r="AH120">
        <f>VLOOKUP($A120,'UN Treasury'!$A$1:$BQ$224,_xlfn.XMATCH(AH$1,'UN Treasury'!$A$1:$BQ$1,-1,1),FALSE)</f>
        <v>22.908999999999999</v>
      </c>
      <c r="AI120">
        <f>VLOOKUP($A120,'UN Treasury'!$A$1:$BQ$224,_xlfn.XMATCH(AI$1,'UN Treasury'!$A$1:$BQ$1,-1,1),FALSE)</f>
        <v>22.428999999999998</v>
      </c>
      <c r="AJ120">
        <f>VLOOKUP($A120,'UN Treasury'!$A$1:$BQ$224,_xlfn.XMATCH(AJ$1,'UN Treasury'!$A$1:$BQ$1,-1,1),FALSE)</f>
        <v>23</v>
      </c>
      <c r="AK120">
        <f>VLOOKUP($A120,'UN Treasury'!$A$1:$BQ$224,_xlfn.XMATCH(AK$1,'UN Treasury'!$A$1:$BQ$1,-1,1),FALSE)</f>
        <v>23</v>
      </c>
      <c r="AL120">
        <f>VLOOKUP($A120,'UN Treasury'!$A$1:$BQ$224,_xlfn.XMATCH(AL$1,'UN Treasury'!$A$1:$BQ$1,-1,1),FALSE)</f>
        <v>21.5</v>
      </c>
      <c r="AM120">
        <f>VLOOKUP($A120,'UN Treasury'!$A$1:$BQ$224,_xlfn.XMATCH(AM$1,'UN Treasury'!$A$1:$BQ$1,-1,1),FALSE)</f>
        <v>20.5</v>
      </c>
      <c r="AN120">
        <f>VLOOKUP($A120,'UN Treasury'!$A$1:$BQ$224,_xlfn.XMATCH(AN$1,'UN Treasury'!$A$1:$BQ$1,-1,1),FALSE)</f>
        <v>22.7</v>
      </c>
      <c r="AO120">
        <f>VLOOKUP($A120,'UN Treasury'!$A$1:$BQ$224,_xlfn.XMATCH(AO$1,'UN Treasury'!$A$1:$BQ$1,-1,1),FALSE)</f>
        <v>22.45</v>
      </c>
      <c r="AP120">
        <f>VLOOKUP($A120,'UN Treasury'!$A$1:$BQ$224,_xlfn.XMATCH(AP$1,'UN Treasury'!$A$1:$BQ$1,-1,1),FALSE)</f>
        <v>21.46</v>
      </c>
      <c r="AQ120">
        <f>VLOOKUP($A120,'UN Treasury'!$A$1:$BQ$224,_xlfn.XMATCH(AQ$1,'UN Treasury'!$A$1:$BQ$1,-1,1),FALSE)</f>
        <v>20.2</v>
      </c>
      <c r="AR120">
        <f>VLOOKUP($A120,'UN Treasury'!$A$1:$BQ$224,_xlfn.XMATCH(AR$1,'UN Treasury'!$A$1:$BQ$1,-1,1),FALSE)</f>
        <v>19.719000000000001</v>
      </c>
      <c r="AS120">
        <f>VLOOKUP($A120,'UN Treasury'!$A$1:$BQ$224,_xlfn.XMATCH(AS$1,'UN Treasury'!$A$1:$BQ$1,-1,1),FALSE)</f>
        <v>18.829999999999998</v>
      </c>
      <c r="AT120">
        <f>VLOOKUP($A120,'UN Treasury'!$A$1:$BQ$224,_xlfn.XMATCH(AT$1,'UN Treasury'!$A$1:$BQ$1,-1,1),FALSE)</f>
        <v>18.45</v>
      </c>
      <c r="AU120">
        <f>VLOOKUP($A120,'UN Treasury'!$A$1:$BQ$224,_xlfn.XMATCH(AU$1,'UN Treasury'!$A$1:$BQ$1,-1,1),FALSE)</f>
        <v>17.579999999999998</v>
      </c>
      <c r="AV120">
        <f>VLOOKUP($A120,'UN Treasury'!$A$1:$BQ$224,_xlfn.XMATCH(AV$1,'UN Treasury'!$A$1:$BQ$1,-1,1),FALSE)</f>
        <v>16.399999999999999</v>
      </c>
      <c r="AW120">
        <f>VLOOKUP($A120,'UN Treasury'!$A$1:$BQ$224,_xlfn.XMATCH(AW$1,'UN Treasury'!$A$1:$BQ$1,-1,1),FALSE)</f>
        <v>14.21</v>
      </c>
      <c r="AX120">
        <f>VLOOKUP($A120,'UN Treasury'!$A$1:$BQ$224,_xlfn.XMATCH(AX$1,'UN Treasury'!$A$1:$BQ$1,-1,1),FALSE)</f>
        <v>13.89</v>
      </c>
      <c r="AY120">
        <f>VLOOKUP($A120,'UN Treasury'!$A$1:$BQ$224,_xlfn.XMATCH(AY$1,'UN Treasury'!$A$1:$BQ$1,-1,1),FALSE)</f>
        <v>13540</v>
      </c>
      <c r="AZ120">
        <f>VLOOKUP($A120,'UN Treasury'!$A$1:$BQ$224,_xlfn.XMATCH(AZ$1,'UN Treasury'!$A$1:$BQ$1,-1,1),FALSE)</f>
        <v>13040</v>
      </c>
      <c r="BA120">
        <f>VLOOKUP($A120,'UN Treasury'!$A$1:$BQ$224,_xlfn.XMATCH(BA$1,'UN Treasury'!$A$1:$BQ$1,-1,1),FALSE)</f>
        <v>12705</v>
      </c>
      <c r="BB120">
        <f>VLOOKUP($A120,'UN Treasury'!$A$1:$BQ$224,_xlfn.XMATCH(BB$1,'UN Treasury'!$A$1:$BQ$1,-1,1),FALSE)</f>
        <v>12150</v>
      </c>
      <c r="BC120">
        <f>VLOOKUP($A120,'UN Treasury'!$A$1:$BQ$224,_xlfn.XMATCH(BC$1,'UN Treasury'!$A$1:$BQ$1,-1,1),FALSE)</f>
        <v>11635</v>
      </c>
      <c r="BD120">
        <f>VLOOKUP($A120,'UN Treasury'!$A$1:$BQ$224,_xlfn.XMATCH(BD$1,'UN Treasury'!$A$1:$BQ$1,-1,1),FALSE)</f>
        <v>11325</v>
      </c>
      <c r="BE120">
        <f>VLOOKUP($A120,'UN Treasury'!$A$1:$BQ$224,_xlfn.XMATCH(BE$1,'UN Treasury'!$A$1:$BQ$1,-1,1),FALSE)</f>
        <v>11340</v>
      </c>
      <c r="BF120">
        <f>VLOOKUP($A120,'UN Treasury'!$A$1:$BQ$224,_xlfn.XMATCH(BF$1,'UN Treasury'!$A$1:$BQ$1,-1,1),FALSE)</f>
        <v>11041</v>
      </c>
      <c r="BG120">
        <f>VLOOKUP($A120,'UN Treasury'!$A$1:$BQ$224,_xlfn.XMATCH(BG$1,'UN Treasury'!$A$1:$BQ$1,-1,1),FALSE)</f>
        <v>10782</v>
      </c>
      <c r="BH120">
        <f>VLOOKUP($A120,'UN Treasury'!$A$1:$BQ$224,_xlfn.XMATCH(BH$1,'UN Treasury'!$A$1:$BQ$1,-1,1),FALSE)</f>
        <v>10450</v>
      </c>
      <c r="BI120">
        <f>VLOOKUP($A120,'UN Treasury'!$A$1:$BQ$224,_xlfn.XMATCH(BI$1,'UN Treasury'!$A$1:$BQ$1,-1,1),FALSE)</f>
        <v>10330</v>
      </c>
      <c r="BJ120">
        <f>VLOOKUP($A120,'UN Treasury'!$A$1:$BQ$224,_xlfn.XMATCH(BJ$1,'UN Treasury'!$A$1:$BQ$1,-1,1),FALSE)</f>
        <v>10275</v>
      </c>
      <c r="BK120">
        <f>VLOOKUP($A120,'UN Treasury'!$A$1:$BQ$224,_xlfn.XMATCH(BK$1,'UN Treasury'!$A$1:$BQ$1,-1,1),FALSE)</f>
        <v>10240</v>
      </c>
      <c r="BL120">
        <f>VLOOKUP($A120,'UN Treasury'!$A$1:$BQ$224,_xlfn.XMATCH(BL$1,'UN Treasury'!$A$1:$BQ$1,-1,1),FALSE)</f>
        <v>10215</v>
      </c>
      <c r="BM120">
        <f>VLOOKUP($A120,'UN Treasury'!$A$1:$BQ$224,_xlfn.XMATCH(BM$1,'UN Treasury'!$A$1:$BQ$1,-1,1),FALSE)</f>
        <v>10216</v>
      </c>
      <c r="BN120">
        <f>VLOOKUP($A120,'UN Treasury'!$A$1:$BQ$224,_xlfn.XMATCH(BN$1,'UN Treasury'!$A$1:$BQ$1,-1,1),FALSE)</f>
        <v>10229</v>
      </c>
      <c r="BO120">
        <f>VLOOKUP($A120,'UN Treasury'!$A$1:$BQ$224,_xlfn.XMATCH(BO$1,'UN Treasury'!$A$1:$BQ$1,-1,1),FALSE)</f>
        <v>10197</v>
      </c>
      <c r="BP120">
        <f>VLOOKUP($A120,'UN Treasury'!$A$1:$BQ$224,_xlfn.XMATCH(BP$1,'UN Treasury'!$A$1:$BQ$1,-1,1),FALSE)</f>
        <v>10205</v>
      </c>
      <c r="BQ120">
        <f>VLOOKUP($A120,'UN Treasury'!$A$1:$BQ$224,_xlfn.XMATCH(BQ$1,'UN Treasury'!$A$1:$BQ$1,-1,1),FALSE)</f>
        <v>10100</v>
      </c>
    </row>
    <row r="121" spans="1:69" x14ac:dyDescent="0.25">
      <c r="A121" t="s">
        <v>260</v>
      </c>
      <c r="B121">
        <f>VLOOKUP($A121,'UN Treasury'!$A$1:$BQ$224,_xlfn.XMATCH(B$1,'UN Treasury'!$A$1:$BQ$1,-1,1),FALSE)</f>
        <v>24300</v>
      </c>
      <c r="C121">
        <f>VLOOKUP($A121,'UN Treasury'!$A$1:$BQ$224,_xlfn.XMATCH(C$1,'UN Treasury'!$A$1:$BQ$1,-1,1),FALSE)</f>
        <v>24300</v>
      </c>
      <c r="D121">
        <f>VLOOKUP($A121,'UN Treasury'!$A$1:$BQ$224,_xlfn.XMATCH(D$1,'UN Treasury'!$A$1:$BQ$1,-1,1),FALSE)</f>
        <v>24300</v>
      </c>
      <c r="E121">
        <f>VLOOKUP($A121,'UN Treasury'!$A$1:$BQ$224,_xlfn.XMATCH(E$1,'UN Treasury'!$A$1:$BQ$1,-1,1),FALSE)</f>
        <v>24300</v>
      </c>
      <c r="F121">
        <f>VLOOKUP($A121,'UN Treasury'!$A$1:$BQ$224,_xlfn.XMATCH(F$1,'UN Treasury'!$A$1:$BQ$1,-1,1),FALSE)</f>
        <v>24300</v>
      </c>
      <c r="G121">
        <f>VLOOKUP($A121,'UN Treasury'!$A$1:$BQ$224,_xlfn.XMATCH(G$1,'UN Treasury'!$A$1:$BQ$1,-1,1),FALSE)</f>
        <v>24300</v>
      </c>
      <c r="H121">
        <f>VLOOKUP($A121,'UN Treasury'!$A$1:$BQ$224,_xlfn.XMATCH(H$1,'UN Treasury'!$A$1:$BQ$1,-1,1),FALSE)</f>
        <v>24300</v>
      </c>
      <c r="I121">
        <f>VLOOKUP($A121,'UN Treasury'!$A$1:$BQ$224,_xlfn.XMATCH(I$1,'UN Treasury'!$A$1:$BQ$1,-1,1),FALSE)</f>
        <v>24300</v>
      </c>
      <c r="J121">
        <f>VLOOKUP($A121,'UN Treasury'!$A$1:$BQ$224,_xlfn.XMATCH(J$1,'UN Treasury'!$A$1:$BQ$1,-1,1),FALSE)</f>
        <v>24300</v>
      </c>
      <c r="K121">
        <f>VLOOKUP($A121,'UN Treasury'!$A$1:$BQ$224,_xlfn.XMATCH(K$1,'UN Treasury'!$A$1:$BQ$1,-1,1),FALSE)</f>
        <v>24300</v>
      </c>
      <c r="L121">
        <f>VLOOKUP($A121,'UN Treasury'!$A$1:$BQ$224,_xlfn.XMATCH(L$1,'UN Treasury'!$A$1:$BQ$1,-1,1),FALSE)</f>
        <v>24300</v>
      </c>
      <c r="M121">
        <f>VLOOKUP($A121,'UN Treasury'!$A$1:$BQ$224,_xlfn.XMATCH(M$1,'UN Treasury'!$A$1:$BQ$1,-1,1),FALSE)</f>
        <v>24300</v>
      </c>
      <c r="N121">
        <f>VLOOKUP($A121,'UN Treasury'!$A$1:$BQ$224,_xlfn.XMATCH(N$1,'UN Treasury'!$A$1:$BQ$1,-1,1),FALSE)</f>
        <v>24300</v>
      </c>
      <c r="O121">
        <f>VLOOKUP($A121,'UN Treasury'!$A$1:$BQ$224,_xlfn.XMATCH(O$1,'UN Treasury'!$A$1:$BQ$1,-1,1),FALSE)</f>
        <v>24300</v>
      </c>
      <c r="P121">
        <f>VLOOKUP($A121,'UN Treasury'!$A$1:$BQ$224,_xlfn.XMATCH(P$1,'UN Treasury'!$A$1:$BQ$1,-1,1),FALSE)</f>
        <v>24300</v>
      </c>
      <c r="Q121">
        <f>VLOOKUP($A121,'UN Treasury'!$A$1:$BQ$224,_xlfn.XMATCH(Q$1,'UN Treasury'!$A$1:$BQ$1,-1,1),FALSE)</f>
        <v>24300</v>
      </c>
      <c r="R121">
        <f>VLOOKUP($A121,'UN Treasury'!$A$1:$BQ$224,_xlfn.XMATCH(R$1,'UN Treasury'!$A$1:$BQ$1,-1,1),FALSE)</f>
        <v>24300</v>
      </c>
      <c r="S121">
        <f>VLOOKUP($A121,'UN Treasury'!$A$1:$BQ$224,_xlfn.XMATCH(S$1,'UN Treasury'!$A$1:$BQ$1,-1,1),FALSE)</f>
        <v>24300</v>
      </c>
      <c r="T121">
        <f>VLOOKUP($A121,'UN Treasury'!$A$1:$BQ$224,_xlfn.XMATCH(T$1,'UN Treasury'!$A$1:$BQ$1,-1,1),FALSE)</f>
        <v>24300</v>
      </c>
      <c r="U121">
        <f>VLOOKUP($A121,'UN Treasury'!$A$1:$BQ$224,_xlfn.XMATCH(U$1,'UN Treasury'!$A$1:$BQ$1,-1,1),FALSE)</f>
        <v>24300</v>
      </c>
      <c r="V121">
        <f>VLOOKUP($A121,'UN Treasury'!$A$1:$BQ$224,_xlfn.XMATCH(V$1,'UN Treasury'!$A$1:$BQ$1,-1,1),FALSE)</f>
        <v>24300</v>
      </c>
      <c r="W121">
        <f>VLOOKUP($A121,'UN Treasury'!$A$1:$BQ$224,_xlfn.XMATCH(W$1,'UN Treasury'!$A$1:$BQ$1,-1,1),FALSE)</f>
        <v>24300</v>
      </c>
      <c r="X121">
        <f>VLOOKUP($A121,'UN Treasury'!$A$1:$BQ$224,_xlfn.XMATCH(X$1,'UN Treasury'!$A$1:$BQ$1,-1,1),FALSE)</f>
        <v>24300</v>
      </c>
      <c r="Y121">
        <f>VLOOKUP($A121,'UN Treasury'!$A$1:$BQ$224,_xlfn.XMATCH(Y$1,'UN Treasury'!$A$1:$BQ$1,-1,1),FALSE)</f>
        <v>24300</v>
      </c>
      <c r="Z121">
        <f>VLOOKUP($A121,'UN Treasury'!$A$1:$BQ$224,_xlfn.XMATCH(Z$1,'UN Treasury'!$A$1:$BQ$1,-1,1),FALSE)</f>
        <v>24300</v>
      </c>
      <c r="AA121">
        <f>VLOOKUP($A121,'UN Treasury'!$A$1:$BQ$224,_xlfn.XMATCH(AA$1,'UN Treasury'!$A$1:$BQ$1,-1,1),FALSE)</f>
        <v>24300</v>
      </c>
      <c r="AB121">
        <f>VLOOKUP($A121,'UN Treasury'!$A$1:$BQ$224,_xlfn.XMATCH(AB$1,'UN Treasury'!$A$1:$BQ$1,-1,1),FALSE)</f>
        <v>24300</v>
      </c>
      <c r="AC121">
        <f>VLOOKUP($A121,'UN Treasury'!$A$1:$BQ$224,_xlfn.XMATCH(AC$1,'UN Treasury'!$A$1:$BQ$1,-1,1),FALSE)</f>
        <v>24300</v>
      </c>
      <c r="AD121">
        <f>VLOOKUP($A121,'UN Treasury'!$A$1:$BQ$224,_xlfn.XMATCH(AD$1,'UN Treasury'!$A$1:$BQ$1,-1,1),FALSE)</f>
        <v>24300</v>
      </c>
      <c r="AE121">
        <f>VLOOKUP($A121,'UN Treasury'!$A$1:$BQ$224,_xlfn.XMATCH(AE$1,'UN Treasury'!$A$1:$BQ$1,-1,1),FALSE)</f>
        <v>24300</v>
      </c>
      <c r="AF121">
        <f>VLOOKUP($A121,'UN Treasury'!$A$1:$BQ$224,_xlfn.XMATCH(AF$1,'UN Treasury'!$A$1:$BQ$1,-1,1),FALSE)</f>
        <v>24300</v>
      </c>
      <c r="AG121">
        <f>VLOOKUP($A121,'UN Treasury'!$A$1:$BQ$224,_xlfn.XMATCH(AG$1,'UN Treasury'!$A$1:$BQ$1,-1,1),FALSE)</f>
        <v>24300</v>
      </c>
      <c r="AH121">
        <f>VLOOKUP($A121,'UN Treasury'!$A$1:$BQ$224,_xlfn.XMATCH(AH$1,'UN Treasury'!$A$1:$BQ$1,-1,1),FALSE)</f>
        <v>24300</v>
      </c>
      <c r="AI121">
        <f>VLOOKUP($A121,'UN Treasury'!$A$1:$BQ$224,_xlfn.XMATCH(AI$1,'UN Treasury'!$A$1:$BQ$1,-1,1),FALSE)</f>
        <v>24300</v>
      </c>
      <c r="AJ121">
        <f>VLOOKUP($A121,'UN Treasury'!$A$1:$BQ$224,_xlfn.XMATCH(AJ$1,'UN Treasury'!$A$1:$BQ$1,-1,1),FALSE)</f>
        <v>24300</v>
      </c>
      <c r="AK121">
        <f>VLOOKUP($A121,'UN Treasury'!$A$1:$BQ$224,_xlfn.XMATCH(AK$1,'UN Treasury'!$A$1:$BQ$1,-1,1),FALSE)</f>
        <v>24300</v>
      </c>
      <c r="AL121">
        <f>VLOOKUP($A121,'UN Treasury'!$A$1:$BQ$224,_xlfn.XMATCH(AL$1,'UN Treasury'!$A$1:$BQ$1,-1,1),FALSE)</f>
        <v>24300</v>
      </c>
      <c r="AM121">
        <f>VLOOKUP($A121,'UN Treasury'!$A$1:$BQ$224,_xlfn.XMATCH(AM$1,'UN Treasury'!$A$1:$BQ$1,-1,1),FALSE)</f>
        <v>24300</v>
      </c>
      <c r="AN121">
        <f>VLOOKUP($A121,'UN Treasury'!$A$1:$BQ$224,_xlfn.XMATCH(AN$1,'UN Treasury'!$A$1:$BQ$1,-1,1),FALSE)</f>
        <v>24300</v>
      </c>
      <c r="AO121">
        <f>VLOOKUP($A121,'UN Treasury'!$A$1:$BQ$224,_xlfn.XMATCH(AO$1,'UN Treasury'!$A$1:$BQ$1,-1,1),FALSE)</f>
        <v>24300</v>
      </c>
      <c r="AP121">
        <f>VLOOKUP($A121,'UN Treasury'!$A$1:$BQ$224,_xlfn.XMATCH(AP$1,'UN Treasury'!$A$1:$BQ$1,-1,1),FALSE)</f>
        <v>24300</v>
      </c>
      <c r="AQ121">
        <f>VLOOKUP($A121,'UN Treasury'!$A$1:$BQ$224,_xlfn.XMATCH(AQ$1,'UN Treasury'!$A$1:$BQ$1,-1,1),FALSE)</f>
        <v>24300</v>
      </c>
      <c r="AR121">
        <f>VLOOKUP($A121,'UN Treasury'!$A$1:$BQ$224,_xlfn.XMATCH(AR$1,'UN Treasury'!$A$1:$BQ$1,-1,1),FALSE)</f>
        <v>24300</v>
      </c>
      <c r="AS121">
        <f>VLOOKUP($A121,'UN Treasury'!$A$1:$BQ$224,_xlfn.XMATCH(AS$1,'UN Treasury'!$A$1:$BQ$1,-1,1),FALSE)</f>
        <v>24300</v>
      </c>
      <c r="AT121">
        <f>VLOOKUP($A121,'UN Treasury'!$A$1:$BQ$224,_xlfn.XMATCH(AT$1,'UN Treasury'!$A$1:$BQ$1,-1,1),FALSE)</f>
        <v>24300</v>
      </c>
      <c r="AU121">
        <f>VLOOKUP($A121,'UN Treasury'!$A$1:$BQ$224,_xlfn.XMATCH(AU$1,'UN Treasury'!$A$1:$BQ$1,-1,1),FALSE)</f>
        <v>24300</v>
      </c>
      <c r="AV121">
        <f>VLOOKUP($A121,'UN Treasury'!$A$1:$BQ$224,_xlfn.XMATCH(AV$1,'UN Treasury'!$A$1:$BQ$1,-1,1),FALSE)</f>
        <v>24300</v>
      </c>
      <c r="AW121">
        <f>VLOOKUP($A121,'UN Treasury'!$A$1:$BQ$224,_xlfn.XMATCH(AW$1,'UN Treasury'!$A$1:$BQ$1,-1,1),FALSE)</f>
        <v>24300</v>
      </c>
      <c r="AX121">
        <f>VLOOKUP($A121,'UN Treasury'!$A$1:$BQ$224,_xlfn.XMATCH(AX$1,'UN Treasury'!$A$1:$BQ$1,-1,1),FALSE)</f>
        <v>24300</v>
      </c>
      <c r="AY121">
        <f>VLOOKUP($A121,'UN Treasury'!$A$1:$BQ$224,_xlfn.XMATCH(AY$1,'UN Treasury'!$A$1:$BQ$1,-1,1),FALSE)</f>
        <v>24300</v>
      </c>
      <c r="AZ121">
        <f>VLOOKUP($A121,'UN Treasury'!$A$1:$BQ$224,_xlfn.XMATCH(AZ$1,'UN Treasury'!$A$1:$BQ$1,-1,1),FALSE)</f>
        <v>24300</v>
      </c>
      <c r="BA121">
        <f>VLOOKUP($A121,'UN Treasury'!$A$1:$BQ$224,_xlfn.XMATCH(BA$1,'UN Treasury'!$A$1:$BQ$1,-1,1),FALSE)</f>
        <v>24300</v>
      </c>
      <c r="BB121">
        <f>VLOOKUP($A121,'UN Treasury'!$A$1:$BQ$224,_xlfn.XMATCH(BB$1,'UN Treasury'!$A$1:$BQ$1,-1,1),FALSE)</f>
        <v>24300</v>
      </c>
      <c r="BC121">
        <f>VLOOKUP($A121,'UN Treasury'!$A$1:$BQ$224,_xlfn.XMATCH(BC$1,'UN Treasury'!$A$1:$BQ$1,-1,1),FALSE)</f>
        <v>24300</v>
      </c>
      <c r="BD121">
        <f>VLOOKUP($A121,'UN Treasury'!$A$1:$BQ$224,_xlfn.XMATCH(BD$1,'UN Treasury'!$A$1:$BQ$1,-1,1),FALSE)</f>
        <v>24300</v>
      </c>
      <c r="BE121">
        <f>VLOOKUP($A121,'UN Treasury'!$A$1:$BQ$224,_xlfn.XMATCH(BE$1,'UN Treasury'!$A$1:$BQ$1,-1,1),FALSE)</f>
        <v>24300</v>
      </c>
      <c r="BF121">
        <f>VLOOKUP($A121,'UN Treasury'!$A$1:$BQ$224,_xlfn.XMATCH(BF$1,'UN Treasury'!$A$1:$BQ$1,-1,1),FALSE)</f>
        <v>24300</v>
      </c>
      <c r="BG121">
        <f>VLOOKUP($A121,'UN Treasury'!$A$1:$BQ$224,_xlfn.XMATCH(BG$1,'UN Treasury'!$A$1:$BQ$1,-1,1),FALSE)</f>
        <v>24300</v>
      </c>
      <c r="BH121">
        <f>VLOOKUP($A121,'UN Treasury'!$A$1:$BQ$224,_xlfn.XMATCH(BH$1,'UN Treasury'!$A$1:$BQ$1,-1,1),FALSE)</f>
        <v>24300</v>
      </c>
      <c r="BI121">
        <f>VLOOKUP($A121,'UN Treasury'!$A$1:$BQ$224,_xlfn.XMATCH(BI$1,'UN Treasury'!$A$1:$BQ$1,-1,1),FALSE)</f>
        <v>24300</v>
      </c>
      <c r="BJ121">
        <f>VLOOKUP($A121,'UN Treasury'!$A$1:$BQ$224,_xlfn.XMATCH(BJ$1,'UN Treasury'!$A$1:$BQ$1,-1,1),FALSE)</f>
        <v>24300</v>
      </c>
      <c r="BK121">
        <f>VLOOKUP($A121,'UN Treasury'!$A$1:$BQ$224,_xlfn.XMATCH(BK$1,'UN Treasury'!$A$1:$BQ$1,-1,1),FALSE)</f>
        <v>24300</v>
      </c>
      <c r="BL121">
        <f>VLOOKUP($A121,'UN Treasury'!$A$1:$BQ$224,_xlfn.XMATCH(BL$1,'UN Treasury'!$A$1:$BQ$1,-1,1),FALSE)</f>
        <v>24300</v>
      </c>
      <c r="BM121">
        <f>VLOOKUP($A121,'UN Treasury'!$A$1:$BQ$224,_xlfn.XMATCH(BM$1,'UN Treasury'!$A$1:$BQ$1,-1,1),FALSE)</f>
        <v>24300</v>
      </c>
      <c r="BN121">
        <f>VLOOKUP($A121,'UN Treasury'!$A$1:$BQ$224,_xlfn.XMATCH(BN$1,'UN Treasury'!$A$1:$BQ$1,-1,1),FALSE)</f>
        <v>24300</v>
      </c>
      <c r="BO121">
        <f>VLOOKUP($A121,'UN Treasury'!$A$1:$BQ$224,_xlfn.XMATCH(BO$1,'UN Treasury'!$A$1:$BQ$1,-1,1),FALSE)</f>
        <v>24300</v>
      </c>
      <c r="BP121">
        <f>VLOOKUP($A121,'UN Treasury'!$A$1:$BQ$224,_xlfn.XMATCH(BP$1,'UN Treasury'!$A$1:$BQ$1,-1,1),FALSE)</f>
        <v>24300</v>
      </c>
      <c r="BQ121">
        <f>VLOOKUP($A121,'UN Treasury'!$A$1:$BQ$224,_xlfn.XMATCH(BQ$1,'UN Treasury'!$A$1:$BQ$1,-1,1),FALSE)</f>
        <v>24300</v>
      </c>
    </row>
    <row r="122" spans="1:69" x14ac:dyDescent="0.25">
      <c r="A122" t="s">
        <v>261</v>
      </c>
      <c r="B122">
        <f>VLOOKUP($A122,'UN Treasury'!$A$1:$BQ$224,_xlfn.XMATCH(B$1,'UN Treasury'!$A$1:$BQ$1,-1,1),FALSE)</f>
        <v>37.476999999999997</v>
      </c>
      <c r="C122">
        <f>VLOOKUP($A122,'UN Treasury'!$A$1:$BQ$224,_xlfn.XMATCH(C$1,'UN Treasury'!$A$1:$BQ$1,-1,1),FALSE)</f>
        <v>37.304000000000002</v>
      </c>
      <c r="D122">
        <f>VLOOKUP($A122,'UN Treasury'!$A$1:$BQ$224,_xlfn.XMATCH(D$1,'UN Treasury'!$A$1:$BQ$1,-1,1),FALSE)</f>
        <v>37.026000000000003</v>
      </c>
      <c r="E122">
        <f>VLOOKUP($A122,'UN Treasury'!$A$1:$BQ$224,_xlfn.XMATCH(E$1,'UN Treasury'!$A$1:$BQ$1,-1,1),FALSE)</f>
        <v>36.914999999999999</v>
      </c>
      <c r="F122">
        <f>VLOOKUP($A122,'UN Treasury'!$A$1:$BQ$224,_xlfn.XMATCH(F$1,'UN Treasury'!$A$1:$BQ$1,-1,1),FALSE)</f>
        <v>37.283999999999999</v>
      </c>
      <c r="G122">
        <f>VLOOKUP($A122,'UN Treasury'!$A$1:$BQ$224,_xlfn.XMATCH(G$1,'UN Treasury'!$A$1:$BQ$1,-1,1),FALSE)</f>
        <v>37.433</v>
      </c>
      <c r="H122">
        <f>VLOOKUP($A122,'UN Treasury'!$A$1:$BQ$224,_xlfn.XMATCH(H$1,'UN Treasury'!$A$1:$BQ$1,-1,1),FALSE)</f>
        <v>37.868000000000002</v>
      </c>
      <c r="I122">
        <f>VLOOKUP($A122,'UN Treasury'!$A$1:$BQ$224,_xlfn.XMATCH(I$1,'UN Treasury'!$A$1:$BQ$1,-1,1),FALSE)</f>
        <v>38.048999999999999</v>
      </c>
      <c r="J122">
        <f>VLOOKUP($A122,'UN Treasury'!$A$1:$BQ$224,_xlfn.XMATCH(J$1,'UN Treasury'!$A$1:$BQ$1,-1,1),FALSE)</f>
        <v>38.537999999999997</v>
      </c>
      <c r="K122">
        <f>VLOOKUP($A122,'UN Treasury'!$A$1:$BQ$224,_xlfn.XMATCH(K$1,'UN Treasury'!$A$1:$BQ$1,-1,1),FALSE)</f>
        <v>38.814</v>
      </c>
      <c r="L122">
        <f>VLOOKUP($A122,'UN Treasury'!$A$1:$BQ$224,_xlfn.XMATCH(L$1,'UN Treasury'!$A$1:$BQ$1,-1,1),FALSE)</f>
        <v>39.063000000000002</v>
      </c>
      <c r="M122">
        <f>VLOOKUP($A122,'UN Treasury'!$A$1:$BQ$224,_xlfn.XMATCH(M$1,'UN Treasury'!$A$1:$BQ$1,-1,1),FALSE)</f>
        <v>39.454999999999998</v>
      </c>
      <c r="N122">
        <f>VLOOKUP($A122,'UN Treasury'!$A$1:$BQ$224,_xlfn.XMATCH(N$1,'UN Treasury'!$A$1:$BQ$1,-1,1),FALSE)</f>
        <v>37.76</v>
      </c>
      <c r="O122">
        <f>VLOOKUP($A122,'UN Treasury'!$A$1:$BQ$224,_xlfn.XMATCH(O$1,'UN Treasury'!$A$1:$BQ$1,-1,1),FALSE)</f>
        <v>37.49</v>
      </c>
      <c r="P122">
        <f>VLOOKUP($A122,'UN Treasury'!$A$1:$BQ$224,_xlfn.XMATCH(P$1,'UN Treasury'!$A$1:$BQ$1,-1,1),FALSE)</f>
        <v>36.835999999999999</v>
      </c>
      <c r="Q122">
        <f>VLOOKUP($A122,'UN Treasury'!$A$1:$BQ$224,_xlfn.XMATCH(Q$1,'UN Treasury'!$A$1:$BQ$1,-1,1),FALSE)</f>
        <v>36.793999999999997</v>
      </c>
      <c r="R122">
        <f>VLOOKUP($A122,'UN Treasury'!$A$1:$BQ$224,_xlfn.XMATCH(R$1,'UN Treasury'!$A$1:$BQ$1,-1,1),FALSE)</f>
        <v>36.822000000000003</v>
      </c>
      <c r="S122">
        <f>VLOOKUP($A122,'UN Treasury'!$A$1:$BQ$224,_xlfn.XMATCH(S$1,'UN Treasury'!$A$1:$BQ$1,-1,1),FALSE)</f>
        <v>35.844000000000001</v>
      </c>
      <c r="T122">
        <f>VLOOKUP($A122,'UN Treasury'!$A$1:$BQ$224,_xlfn.XMATCH(T$1,'UN Treasury'!$A$1:$BQ$1,-1,1),FALSE)</f>
        <v>35.167000000000002</v>
      </c>
      <c r="U122">
        <f>VLOOKUP($A122,'UN Treasury'!$A$1:$BQ$224,_xlfn.XMATCH(U$1,'UN Treasury'!$A$1:$BQ$1,-1,1),FALSE)</f>
        <v>35.134</v>
      </c>
      <c r="V122">
        <f>VLOOKUP($A122,'UN Treasury'!$A$1:$BQ$224,_xlfn.XMATCH(V$1,'UN Treasury'!$A$1:$BQ$1,-1,1),FALSE)</f>
        <v>35.095999999999997</v>
      </c>
      <c r="W122">
        <f>VLOOKUP($A122,'UN Treasury'!$A$1:$BQ$224,_xlfn.XMATCH(W$1,'UN Treasury'!$A$1:$BQ$1,-1,1),FALSE)</f>
        <v>35.33</v>
      </c>
      <c r="X122">
        <f>VLOOKUP($A122,'UN Treasury'!$A$1:$BQ$224,_xlfn.XMATCH(X$1,'UN Treasury'!$A$1:$BQ$1,-1,1),FALSE)</f>
        <v>32.026000000000003</v>
      </c>
      <c r="Y122">
        <f>VLOOKUP($A122,'UN Treasury'!$A$1:$BQ$224,_xlfn.XMATCH(Y$1,'UN Treasury'!$A$1:$BQ$1,-1,1),FALSE)</f>
        <v>28.773</v>
      </c>
      <c r="Z122">
        <f>VLOOKUP($A122,'UN Treasury'!$A$1:$BQ$224,_xlfn.XMATCH(Z$1,'UN Treasury'!$A$1:$BQ$1,-1,1),FALSE)</f>
        <v>28.927</v>
      </c>
      <c r="AA122">
        <f>VLOOKUP($A122,'UN Treasury'!$A$1:$BQ$224,_xlfn.XMATCH(AA$1,'UN Treasury'!$A$1:$BQ$1,-1,1),FALSE)</f>
        <v>29.779</v>
      </c>
      <c r="AB122">
        <f>VLOOKUP($A122,'UN Treasury'!$A$1:$BQ$224,_xlfn.XMATCH(AB$1,'UN Treasury'!$A$1:$BQ$1,-1,1),FALSE)</f>
        <v>31.349</v>
      </c>
      <c r="AC122">
        <f>VLOOKUP($A122,'UN Treasury'!$A$1:$BQ$224,_xlfn.XMATCH(AC$1,'UN Treasury'!$A$1:$BQ$1,-1,1),FALSE)</f>
        <v>32.517000000000003</v>
      </c>
      <c r="AD122">
        <f>VLOOKUP($A122,'UN Treasury'!$A$1:$BQ$224,_xlfn.XMATCH(AD$1,'UN Treasury'!$A$1:$BQ$1,-1,1),FALSE)</f>
        <v>34.07</v>
      </c>
      <c r="AE122">
        <f>VLOOKUP($A122,'UN Treasury'!$A$1:$BQ$224,_xlfn.XMATCH(AE$1,'UN Treasury'!$A$1:$BQ$1,-1,1),FALSE)</f>
        <v>35.152000000000001</v>
      </c>
      <c r="AF122">
        <f>VLOOKUP($A122,'UN Treasury'!$A$1:$BQ$224,_xlfn.XMATCH(AF$1,'UN Treasury'!$A$1:$BQ$1,-1,1),FALSE)</f>
        <v>36.442999999999998</v>
      </c>
      <c r="AG122">
        <f>VLOOKUP($A122,'UN Treasury'!$A$1:$BQ$224,_xlfn.XMATCH(AG$1,'UN Treasury'!$A$1:$BQ$1,-1,1),FALSE)</f>
        <v>36.832999999999998</v>
      </c>
      <c r="AH122">
        <f>VLOOKUP($A122,'UN Treasury'!$A$1:$BQ$224,_xlfn.XMATCH(AH$1,'UN Treasury'!$A$1:$BQ$1,-1,1),FALSE)</f>
        <v>37.1</v>
      </c>
      <c r="AI122">
        <f>VLOOKUP($A122,'UN Treasury'!$A$1:$BQ$224,_xlfn.XMATCH(AI$1,'UN Treasury'!$A$1:$BQ$1,-1,1),FALSE)</f>
        <v>38.161999999999999</v>
      </c>
      <c r="AJ122">
        <f>VLOOKUP($A122,'UN Treasury'!$A$1:$BQ$224,_xlfn.XMATCH(AJ$1,'UN Treasury'!$A$1:$BQ$1,-1,1),FALSE)</f>
        <v>38.134</v>
      </c>
      <c r="AK122">
        <f>VLOOKUP($A122,'UN Treasury'!$A$1:$BQ$224,_xlfn.XMATCH(AK$1,'UN Treasury'!$A$1:$BQ$1,-1,1),FALSE)</f>
        <v>38.392000000000003</v>
      </c>
      <c r="AL122">
        <f>VLOOKUP($A122,'UN Treasury'!$A$1:$BQ$224,_xlfn.XMATCH(AL$1,'UN Treasury'!$A$1:$BQ$1,-1,1),FALSE)</f>
        <v>38.470999999999997</v>
      </c>
      <c r="AM122">
        <f>VLOOKUP($A122,'UN Treasury'!$A$1:$BQ$224,_xlfn.XMATCH(AM$1,'UN Treasury'!$A$1:$BQ$1,-1,1),FALSE)</f>
        <v>37.731999999999999</v>
      </c>
      <c r="AN122">
        <f>VLOOKUP($A122,'UN Treasury'!$A$1:$BQ$224,_xlfn.XMATCH(AN$1,'UN Treasury'!$A$1:$BQ$1,-1,1),FALSE)</f>
        <v>37.765000000000001</v>
      </c>
      <c r="AO122">
        <f>VLOOKUP($A122,'UN Treasury'!$A$1:$BQ$224,_xlfn.XMATCH(AO$1,'UN Treasury'!$A$1:$BQ$1,-1,1),FALSE)</f>
        <v>37.552</v>
      </c>
      <c r="AP122">
        <f>VLOOKUP($A122,'UN Treasury'!$A$1:$BQ$224,_xlfn.XMATCH(AP$1,'UN Treasury'!$A$1:$BQ$1,-1,1),FALSE)</f>
        <v>37.037999999999997</v>
      </c>
      <c r="AQ122">
        <f>VLOOKUP($A122,'UN Treasury'!$A$1:$BQ$224,_xlfn.XMATCH(AQ$1,'UN Treasury'!$A$1:$BQ$1,-1,1),FALSE)</f>
        <v>34.091000000000001</v>
      </c>
      <c r="AR122">
        <f>VLOOKUP($A122,'UN Treasury'!$A$1:$BQ$224,_xlfn.XMATCH(AR$1,'UN Treasury'!$A$1:$BQ$1,-1,1),FALSE)</f>
        <v>32.066000000000003</v>
      </c>
      <c r="AS122">
        <f>VLOOKUP($A122,'UN Treasury'!$A$1:$BQ$224,_xlfn.XMATCH(AS$1,'UN Treasury'!$A$1:$BQ$1,-1,1),FALSE)</f>
        <v>31.8</v>
      </c>
      <c r="AT122">
        <f>VLOOKUP($A122,'UN Treasury'!$A$1:$BQ$224,_xlfn.XMATCH(AT$1,'UN Treasury'!$A$1:$BQ$1,-1,1),FALSE)</f>
        <v>31.687999999999999</v>
      </c>
      <c r="AU122">
        <f>VLOOKUP($A122,'UN Treasury'!$A$1:$BQ$224,_xlfn.XMATCH(AU$1,'UN Treasury'!$A$1:$BQ$1,-1,1),FALSE)</f>
        <v>30.213999999999999</v>
      </c>
      <c r="AV122">
        <f>VLOOKUP($A122,'UN Treasury'!$A$1:$BQ$224,_xlfn.XMATCH(AV$1,'UN Treasury'!$A$1:$BQ$1,-1,1),FALSE)</f>
        <v>27.98</v>
      </c>
      <c r="AW122">
        <f>VLOOKUP($A122,'UN Treasury'!$A$1:$BQ$224,_xlfn.XMATCH(AW$1,'UN Treasury'!$A$1:$BQ$1,-1,1),FALSE)</f>
        <v>26.794</v>
      </c>
      <c r="AX122">
        <f>VLOOKUP($A122,'UN Treasury'!$A$1:$BQ$224,_xlfn.XMATCH(AX$1,'UN Treasury'!$A$1:$BQ$1,-1,1),FALSE)</f>
        <v>24.024999999999999</v>
      </c>
      <c r="AY122">
        <f>VLOOKUP($A122,'UN Treasury'!$A$1:$BQ$224,_xlfn.XMATCH(AY$1,'UN Treasury'!$A$1:$BQ$1,-1,1),FALSE)</f>
        <v>22.4</v>
      </c>
      <c r="AZ122">
        <f>VLOOKUP($A122,'UN Treasury'!$A$1:$BQ$224,_xlfn.XMATCH(AZ$1,'UN Treasury'!$A$1:$BQ$1,-1,1),FALSE)</f>
        <v>21.7</v>
      </c>
      <c r="BA122">
        <f>VLOOKUP($A122,'UN Treasury'!$A$1:$BQ$224,_xlfn.XMATCH(BA$1,'UN Treasury'!$A$1:$BQ$1,-1,1),FALSE)</f>
        <v>21.4</v>
      </c>
      <c r="BB122">
        <f>VLOOKUP($A122,'UN Treasury'!$A$1:$BQ$224,_xlfn.XMATCH(BB$1,'UN Treasury'!$A$1:$BQ$1,-1,1),FALSE)</f>
        <v>21.25</v>
      </c>
      <c r="BC122">
        <f>VLOOKUP($A122,'UN Treasury'!$A$1:$BQ$224,_xlfn.XMATCH(BC$1,'UN Treasury'!$A$1:$BQ$1,-1,1),FALSE)</f>
        <v>21.25</v>
      </c>
      <c r="BD122">
        <f>VLOOKUP($A122,'UN Treasury'!$A$1:$BQ$224,_xlfn.XMATCH(BD$1,'UN Treasury'!$A$1:$BQ$1,-1,1),FALSE)</f>
        <v>21.25</v>
      </c>
      <c r="BE122">
        <f>VLOOKUP($A122,'UN Treasury'!$A$1:$BQ$224,_xlfn.XMATCH(BE$1,'UN Treasury'!$A$1:$BQ$1,-1,1),FALSE)</f>
        <v>21.1</v>
      </c>
      <c r="BF122">
        <f>VLOOKUP($A122,'UN Treasury'!$A$1:$BQ$224,_xlfn.XMATCH(BF$1,'UN Treasury'!$A$1:$BQ$1,-1,1),FALSE)</f>
        <v>21.25</v>
      </c>
      <c r="BG122">
        <f>VLOOKUP($A122,'UN Treasury'!$A$1:$BQ$224,_xlfn.XMATCH(BG$1,'UN Treasury'!$A$1:$BQ$1,-1,1),FALSE)</f>
        <v>21.2</v>
      </c>
      <c r="BH122">
        <f>VLOOKUP($A122,'UN Treasury'!$A$1:$BQ$224,_xlfn.XMATCH(BH$1,'UN Treasury'!$A$1:$BQ$1,-1,1),FALSE)</f>
        <v>21.2</v>
      </c>
      <c r="BI122">
        <f>VLOOKUP($A122,'UN Treasury'!$A$1:$BQ$224,_xlfn.XMATCH(BI$1,'UN Treasury'!$A$1:$BQ$1,-1,1),FALSE)</f>
        <v>21.1</v>
      </c>
      <c r="BJ122">
        <f>VLOOKUP($A122,'UN Treasury'!$A$1:$BQ$224,_xlfn.XMATCH(BJ$1,'UN Treasury'!$A$1:$BQ$1,-1,1),FALSE)</f>
        <v>21</v>
      </c>
      <c r="BK122">
        <f>VLOOKUP($A122,'UN Treasury'!$A$1:$BQ$224,_xlfn.XMATCH(BK$1,'UN Treasury'!$A$1:$BQ$1,-1,1),FALSE)</f>
        <v>21</v>
      </c>
      <c r="BL122">
        <f>VLOOKUP($A122,'UN Treasury'!$A$1:$BQ$224,_xlfn.XMATCH(BL$1,'UN Treasury'!$A$1:$BQ$1,-1,1),FALSE)</f>
        <v>20.07</v>
      </c>
      <c r="BM122">
        <f>VLOOKUP($A122,'UN Treasury'!$A$1:$BQ$224,_xlfn.XMATCH(BM$1,'UN Treasury'!$A$1:$BQ$1,-1,1),FALSE)</f>
        <v>16</v>
      </c>
      <c r="BN122">
        <f>VLOOKUP($A122,'UN Treasury'!$A$1:$BQ$224,_xlfn.XMATCH(BN$1,'UN Treasury'!$A$1:$BQ$1,-1,1),FALSE)</f>
        <v>16</v>
      </c>
      <c r="BO122">
        <f>VLOOKUP($A122,'UN Treasury'!$A$1:$BQ$224,_xlfn.XMATCH(BO$1,'UN Treasury'!$A$1:$BQ$1,-1,1),FALSE)</f>
        <v>15.5</v>
      </c>
      <c r="BP122">
        <f>VLOOKUP($A122,'UN Treasury'!$A$1:$BQ$224,_xlfn.XMATCH(BP$1,'UN Treasury'!$A$1:$BQ$1,-1,1),FALSE)</f>
        <v>14.02</v>
      </c>
      <c r="BQ122">
        <f>VLOOKUP($A122,'UN Treasury'!$A$1:$BQ$224,_xlfn.XMATCH(BQ$1,'UN Treasury'!$A$1:$BQ$1,-1,1),FALSE)</f>
        <v>14.02</v>
      </c>
    </row>
    <row r="123" spans="1:69" x14ac:dyDescent="0.25">
      <c r="A123" t="s">
        <v>263</v>
      </c>
      <c r="B123">
        <f>VLOOKUP($A123,'UN Treasury'!$A$1:$BQ$224,_xlfn.XMATCH(B$1,'UN Treasury'!$A$1:$BQ$1,-1,1),FALSE)</f>
        <v>5660.86</v>
      </c>
      <c r="C123">
        <f>VLOOKUP($A123,'UN Treasury'!$A$1:$BQ$224,_xlfn.XMATCH(C$1,'UN Treasury'!$A$1:$BQ$1,-1,1),FALSE)</f>
        <v>4807.0219999999999</v>
      </c>
      <c r="D123">
        <f>VLOOKUP($A123,'UN Treasury'!$A$1:$BQ$224,_xlfn.XMATCH(D$1,'UN Treasury'!$A$1:$BQ$1,-1,1),FALSE)</f>
        <v>4714.1350000000002</v>
      </c>
      <c r="E123">
        <f>VLOOKUP($A123,'UN Treasury'!$A$1:$BQ$224,_xlfn.XMATCH(E$1,'UN Treasury'!$A$1:$BQ$1,-1,1),FALSE)</f>
        <v>4701.9560000000001</v>
      </c>
      <c r="F123">
        <f>VLOOKUP($A123,'UN Treasury'!$A$1:$BQ$224,_xlfn.XMATCH(F$1,'UN Treasury'!$A$1:$BQ$1,-1,1),FALSE)</f>
        <v>4603.5439999999999</v>
      </c>
      <c r="G123">
        <f>VLOOKUP($A123,'UN Treasury'!$A$1:$BQ$224,_xlfn.XMATCH(G$1,'UN Treasury'!$A$1:$BQ$1,-1,1),FALSE)</f>
        <v>4568.5</v>
      </c>
      <c r="H123">
        <f>VLOOKUP($A123,'UN Treasury'!$A$1:$BQ$224,_xlfn.XMATCH(H$1,'UN Treasury'!$A$1:$BQ$1,-1,1),FALSE)</f>
        <v>4550.4189999999999</v>
      </c>
      <c r="I123">
        <f>VLOOKUP($A123,'UN Treasury'!$A$1:$BQ$224,_xlfn.XMATCH(I$1,'UN Treasury'!$A$1:$BQ$1,-1,1),FALSE)</f>
        <v>4546.8869999999997</v>
      </c>
      <c r="J123">
        <f>VLOOKUP($A123,'UN Treasury'!$A$1:$BQ$224,_xlfn.XMATCH(J$1,'UN Treasury'!$A$1:$BQ$1,-1,1),FALSE)</f>
        <v>4555.5280000000002</v>
      </c>
      <c r="K123">
        <f>VLOOKUP($A123,'UN Treasury'!$A$1:$BQ$224,_xlfn.XMATCH(K$1,'UN Treasury'!$A$1:$BQ$1,-1,1),FALSE)</f>
        <v>4583.5839999999998</v>
      </c>
      <c r="L123">
        <f>VLOOKUP($A123,'UN Treasury'!$A$1:$BQ$224,_xlfn.XMATCH(L$1,'UN Treasury'!$A$1:$BQ$1,-1,1),FALSE)</f>
        <v>4592.5396000000001</v>
      </c>
      <c r="M123">
        <f>VLOOKUP($A123,'UN Treasury'!$A$1:$BQ$224,_xlfn.XMATCH(M$1,'UN Treasury'!$A$1:$BQ$1,-1,1),FALSE)</f>
        <v>4561.1827999999996</v>
      </c>
      <c r="N123">
        <f>VLOOKUP($A123,'UN Treasury'!$A$1:$BQ$224,_xlfn.XMATCH(N$1,'UN Treasury'!$A$1:$BQ$1,-1,1),FALSE)</f>
        <v>4540.3541999999998</v>
      </c>
      <c r="O123">
        <f>VLOOKUP($A123,'UN Treasury'!$A$1:$BQ$224,_xlfn.XMATCH(O$1,'UN Treasury'!$A$1:$BQ$1,-1,1),FALSE)</f>
        <v>4531.433</v>
      </c>
      <c r="P123">
        <f>VLOOKUP($A123,'UN Treasury'!$A$1:$BQ$224,_xlfn.XMATCH(P$1,'UN Treasury'!$A$1:$BQ$1,-1,1),FALSE)</f>
        <v>4529.7749999999996</v>
      </c>
      <c r="Q123">
        <f>VLOOKUP($A123,'UN Treasury'!$A$1:$BQ$224,_xlfn.XMATCH(Q$1,'UN Treasury'!$A$1:$BQ$1,-1,1),FALSE)</f>
        <v>4497.2550000000001</v>
      </c>
      <c r="R123">
        <f>VLOOKUP($A123,'UN Treasury'!$A$1:$BQ$224,_xlfn.XMATCH(R$1,'UN Treasury'!$A$1:$BQ$1,-1,1),FALSE)</f>
        <v>4471.0770000000002</v>
      </c>
      <c r="S123">
        <f>VLOOKUP($A123,'UN Treasury'!$A$1:$BQ$224,_xlfn.XMATCH(S$1,'UN Treasury'!$A$1:$BQ$1,-1,1),FALSE)</f>
        <v>4467.88</v>
      </c>
      <c r="T123">
        <f>VLOOKUP($A123,'UN Treasury'!$A$1:$BQ$224,_xlfn.XMATCH(T$1,'UN Treasury'!$A$1:$BQ$1,-1,1),FALSE)</f>
        <v>4393.12</v>
      </c>
      <c r="U123">
        <f>VLOOKUP($A123,'UN Treasury'!$A$1:$BQ$224,_xlfn.XMATCH(U$1,'UN Treasury'!$A$1:$BQ$1,-1,1),FALSE)</f>
        <v>4088.5740000000001</v>
      </c>
      <c r="V123">
        <f>VLOOKUP($A123,'UN Treasury'!$A$1:$BQ$224,_xlfn.XMATCH(V$1,'UN Treasury'!$A$1:$BQ$1,-1,1),FALSE)</f>
        <v>3811.2399</v>
      </c>
      <c r="W123">
        <f>VLOOKUP($A123,'UN Treasury'!$A$1:$BQ$224,_xlfn.XMATCH(W$1,'UN Treasury'!$A$1:$BQ$1,-1,1),FALSE)</f>
        <v>3326.308</v>
      </c>
      <c r="X123">
        <f>VLOOKUP($A123,'UN Treasury'!$A$1:$BQ$224,_xlfn.XMATCH(X$1,'UN Treasury'!$A$1:$BQ$1,-1,1),FALSE)</f>
        <v>2993.9769999999999</v>
      </c>
      <c r="Y123">
        <f>VLOOKUP($A123,'UN Treasury'!$A$1:$BQ$224,_xlfn.XMATCH(Y$1,'UN Treasury'!$A$1:$BQ$1,-1,1),FALSE)</f>
        <v>3087.7820000000002</v>
      </c>
      <c r="Z123">
        <f>VLOOKUP($A123,'UN Treasury'!$A$1:$BQ$224,_xlfn.XMATCH(Z$1,'UN Treasury'!$A$1:$BQ$1,-1,1),FALSE)</f>
        <v>2290.94</v>
      </c>
      <c r="AA123">
        <f>VLOOKUP($A123,'UN Treasury'!$A$1:$BQ$224,_xlfn.XMATCH(AA$1,'UN Treasury'!$A$1:$BQ$1,-1,1),FALSE)</f>
        <v>1571.2639999999999</v>
      </c>
      <c r="AB123">
        <f>VLOOKUP($A123,'UN Treasury'!$A$1:$BQ$224,_xlfn.XMATCH(AB$1,'UN Treasury'!$A$1:$BQ$1,-1,1),FALSE)</f>
        <v>1561.4269999999999</v>
      </c>
      <c r="AC123">
        <f>VLOOKUP($A123,'UN Treasury'!$A$1:$BQ$224,_xlfn.XMATCH(AC$1,'UN Treasury'!$A$1:$BQ$1,-1,1),FALSE)</f>
        <v>1558.9659999999999</v>
      </c>
      <c r="AD123">
        <f>VLOOKUP($A123,'UN Treasury'!$A$1:$BQ$224,_xlfn.XMATCH(AD$1,'UN Treasury'!$A$1:$BQ$1,-1,1),FALSE)</f>
        <v>1555.6279999999999</v>
      </c>
      <c r="AE123">
        <f>VLOOKUP($A123,'UN Treasury'!$A$1:$BQ$224,_xlfn.XMATCH(AE$1,'UN Treasury'!$A$1:$BQ$1,-1,1),FALSE)</f>
        <v>1596.7570000000001</v>
      </c>
      <c r="AF123">
        <f>VLOOKUP($A123,'UN Treasury'!$A$1:$BQ$224,_xlfn.XMATCH(AF$1,'UN Treasury'!$A$1:$BQ$1,-1,1),FALSE)</f>
        <v>1095.9280000000001</v>
      </c>
      <c r="AG123">
        <f>VLOOKUP($A123,'UN Treasury'!$A$1:$BQ$224,_xlfn.XMATCH(AG$1,'UN Treasury'!$A$1:$BQ$1,-1,1),FALSE)</f>
        <v>1082.5319999999999</v>
      </c>
      <c r="AH123">
        <f>VLOOKUP($A123,'UN Treasury'!$A$1:$BQ$224,_xlfn.XMATCH(AH$1,'UN Treasury'!$A$1:$BQ$1,-1,1),FALSE)</f>
        <v>1065.4369999999999</v>
      </c>
      <c r="AI123">
        <f>VLOOKUP($A123,'UN Treasury'!$A$1:$BQ$224,_xlfn.XMATCH(AI$1,'UN Treasury'!$A$1:$BQ$1,-1,1),FALSE)</f>
        <v>1044.443</v>
      </c>
      <c r="AJ123">
        <f>VLOOKUP($A123,'UN Treasury'!$A$1:$BQ$224,_xlfn.XMATCH(AJ$1,'UN Treasury'!$A$1:$BQ$1,-1,1),FALSE)</f>
        <v>1015.76</v>
      </c>
      <c r="AK123">
        <f>VLOOKUP($A123,'UN Treasury'!$A$1:$BQ$224,_xlfn.XMATCH(AK$1,'UN Treasury'!$A$1:$BQ$1,-1,1),FALSE)</f>
        <v>1006.135</v>
      </c>
      <c r="AL123">
        <f>VLOOKUP($A123,'UN Treasury'!$A$1:$BQ$224,_xlfn.XMATCH(AL$1,'UN Treasury'!$A$1:$BQ$1,-1,1),FALSE)</f>
        <v>1008.426</v>
      </c>
      <c r="AM123">
        <f>VLOOKUP($A123,'UN Treasury'!$A$1:$BQ$224,_xlfn.XMATCH(AM$1,'UN Treasury'!$A$1:$BQ$1,-1,1),FALSE)</f>
        <v>922.61800000000005</v>
      </c>
      <c r="AN123">
        <f>VLOOKUP($A123,'UN Treasury'!$A$1:$BQ$224,_xlfn.XMATCH(AN$1,'UN Treasury'!$A$1:$BQ$1,-1,1),FALSE)</f>
        <v>966.58100000000002</v>
      </c>
      <c r="AO123">
        <f>VLOOKUP($A123,'UN Treasury'!$A$1:$BQ$224,_xlfn.XMATCH(AO$1,'UN Treasury'!$A$1:$BQ$1,-1,1),FALSE)</f>
        <v>909.76800000000003</v>
      </c>
      <c r="AP123">
        <f>VLOOKUP($A123,'UN Treasury'!$A$1:$BQ$224,_xlfn.XMATCH(AP$1,'UN Treasury'!$A$1:$BQ$1,-1,1),FALSE)</f>
        <v>857.38199999999995</v>
      </c>
      <c r="AQ123">
        <f>VLOOKUP($A123,'UN Treasury'!$A$1:$BQ$224,_xlfn.XMATCH(AQ$1,'UN Treasury'!$A$1:$BQ$1,-1,1),FALSE)</f>
        <v>787.49800000000005</v>
      </c>
      <c r="AR123">
        <f>VLOOKUP($A123,'UN Treasury'!$A$1:$BQ$224,_xlfn.XMATCH(AR$1,'UN Treasury'!$A$1:$BQ$1,-1,1),FALSE)</f>
        <v>754.68949999999995</v>
      </c>
      <c r="AS123">
        <f>VLOOKUP($A123,'UN Treasury'!$A$1:$BQ$224,_xlfn.XMATCH(AS$1,'UN Treasury'!$A$1:$BQ$1,-1,1),FALSE)</f>
        <v>677.97199999999998</v>
      </c>
      <c r="AT123">
        <f>VLOOKUP($A123,'UN Treasury'!$A$1:$BQ$224,_xlfn.XMATCH(AT$1,'UN Treasury'!$A$1:$BQ$1,-1,1),FALSE)</f>
        <v>663.32</v>
      </c>
      <c r="AU123">
        <f>VLOOKUP($A123,'UN Treasury'!$A$1:$BQ$224,_xlfn.XMATCH(AU$1,'UN Treasury'!$A$1:$BQ$1,-1,1),FALSE)</f>
        <v>619.78200000000004</v>
      </c>
      <c r="AV123">
        <f>VLOOKUP($A123,'UN Treasury'!$A$1:$BQ$224,_xlfn.XMATCH(AV$1,'UN Treasury'!$A$1:$BQ$1,-1,1),FALSE)</f>
        <v>614.66999999999996</v>
      </c>
      <c r="AW123">
        <f>VLOOKUP($A123,'UN Treasury'!$A$1:$BQ$224,_xlfn.XMATCH(AW$1,'UN Treasury'!$A$1:$BQ$1,-1,1),FALSE)</f>
        <v>651.33199999999999</v>
      </c>
      <c r="AX123">
        <f>VLOOKUP($A123,'UN Treasury'!$A$1:$BQ$224,_xlfn.XMATCH(AX$1,'UN Treasury'!$A$1:$BQ$1,-1,1),FALSE)</f>
        <v>640.08299999999997</v>
      </c>
      <c r="AY123">
        <f>VLOOKUP($A123,'UN Treasury'!$A$1:$BQ$224,_xlfn.XMATCH(AY$1,'UN Treasury'!$A$1:$BQ$1,-1,1),FALSE)</f>
        <v>524.96</v>
      </c>
      <c r="AZ123">
        <f>VLOOKUP($A123,'UN Treasury'!$A$1:$BQ$224,_xlfn.XMATCH(AZ$1,'UN Treasury'!$A$1:$BQ$1,-1,1),FALSE)</f>
        <v>483.43400000000003</v>
      </c>
      <c r="BA123">
        <f>VLOOKUP($A123,'UN Treasury'!$A$1:$BQ$224,_xlfn.XMATCH(BA$1,'UN Treasury'!$A$1:$BQ$1,-1,1),FALSE)</f>
        <v>431.54300000000001</v>
      </c>
      <c r="BB123">
        <f>VLOOKUP($A123,'UN Treasury'!$A$1:$BQ$224,_xlfn.XMATCH(BB$1,'UN Treasury'!$A$1:$BQ$1,-1,1),FALSE)</f>
        <v>425.97300000000001</v>
      </c>
      <c r="BC123">
        <f>VLOOKUP($A123,'UN Treasury'!$A$1:$BQ$224,_xlfn.XMATCH(BC$1,'UN Treasury'!$A$1:$BQ$1,-1,1),FALSE)</f>
        <v>430.9</v>
      </c>
      <c r="BD123">
        <f>VLOOKUP($A123,'UN Treasury'!$A$1:$BQ$224,_xlfn.XMATCH(BD$1,'UN Treasury'!$A$1:$BQ$1,-1,1),FALSE)</f>
        <v>433.01600000000002</v>
      </c>
      <c r="BE123">
        <f>VLOOKUP($A123,'UN Treasury'!$A$1:$BQ$224,_xlfn.XMATCH(BE$1,'UN Treasury'!$A$1:$BQ$1,-1,1),FALSE)</f>
        <v>424.47800000000001</v>
      </c>
      <c r="BF123">
        <f>VLOOKUP($A123,'UN Treasury'!$A$1:$BQ$224,_xlfn.XMATCH(BF$1,'UN Treasury'!$A$1:$BQ$1,-1,1),FALSE)</f>
        <v>409</v>
      </c>
      <c r="BG123">
        <f>VLOOKUP($A123,'UN Treasury'!$A$1:$BQ$224,_xlfn.XMATCH(BG$1,'UN Treasury'!$A$1:$BQ$1,-1,1),FALSE)</f>
        <v>410.25599999999997</v>
      </c>
      <c r="BH123">
        <f>VLOOKUP($A123,'UN Treasury'!$A$1:$BQ$224,_xlfn.XMATCH(BH$1,'UN Treasury'!$A$1:$BQ$1,-1,1),FALSE)</f>
        <v>404.01100000000002</v>
      </c>
      <c r="BI123">
        <f>VLOOKUP($A123,'UN Treasury'!$A$1:$BQ$224,_xlfn.XMATCH(BI$1,'UN Treasury'!$A$1:$BQ$1,-1,1),FALSE)</f>
        <v>411.79899999999998</v>
      </c>
      <c r="BJ123">
        <f>VLOOKUP($A123,'UN Treasury'!$A$1:$BQ$224,_xlfn.XMATCH(BJ$1,'UN Treasury'!$A$1:$BQ$1,-1,1),FALSE)</f>
        <v>398.452</v>
      </c>
      <c r="BK123">
        <f>VLOOKUP($A123,'UN Treasury'!$A$1:$BQ$224,_xlfn.XMATCH(BK$1,'UN Treasury'!$A$1:$BQ$1,-1,1),FALSE)</f>
        <v>351.12619999999998</v>
      </c>
      <c r="BL123">
        <f>VLOOKUP($A123,'UN Treasury'!$A$1:$BQ$224,_xlfn.XMATCH(BL$1,'UN Treasury'!$A$1:$BQ$1,-1,1),FALSE)</f>
        <v>414.59</v>
      </c>
      <c r="BM123">
        <f>VLOOKUP($A123,'UN Treasury'!$A$1:$BQ$224,_xlfn.XMATCH(BM$1,'UN Treasury'!$A$1:$BQ$1,-1,1),FALSE)</f>
        <v>393.28829999999999</v>
      </c>
      <c r="BN123">
        <f>VLOOKUP($A123,'UN Treasury'!$A$1:$BQ$224,_xlfn.XMATCH(BN$1,'UN Treasury'!$A$1:$BQ$1,-1,1),FALSE)</f>
        <v>177.81200000000001</v>
      </c>
      <c r="BO123">
        <f>VLOOKUP($A123,'UN Treasury'!$A$1:$BQ$224,_xlfn.XMATCH(BO$1,'UN Treasury'!$A$1:$BQ$1,-1,1),FALSE)</f>
        <v>177.37</v>
      </c>
      <c r="BP123">
        <f>VLOOKUP($A123,'UN Treasury'!$A$1:$BQ$224,_xlfn.XMATCH(BP$1,'UN Treasury'!$A$1:$BQ$1,-1,1),FALSE)</f>
        <v>177.37</v>
      </c>
      <c r="BQ123">
        <f>VLOOKUP($A123,'UN Treasury'!$A$1:$BQ$224,_xlfn.XMATCH(BQ$1,'UN Treasury'!$A$1:$BQ$1,-1,1),FALSE)</f>
        <v>177.124</v>
      </c>
    </row>
    <row r="124" spans="1:69" x14ac:dyDescent="0.25">
      <c r="A124" t="s">
        <v>265</v>
      </c>
      <c r="B124">
        <f>VLOOKUP($A124,'UN Treasury'!$A$1:$BQ$224,_xlfn.XMATCH(B$1,'UN Treasury'!$A$1:$BQ$1,-1,1),FALSE)</f>
        <v>21.384</v>
      </c>
      <c r="C124">
        <f>VLOOKUP($A124,'UN Treasury'!$A$1:$BQ$224,_xlfn.XMATCH(C$1,'UN Treasury'!$A$1:$BQ$1,-1,1),FALSE)</f>
        <v>21.289000000000001</v>
      </c>
      <c r="D124">
        <f>VLOOKUP($A124,'UN Treasury'!$A$1:$BQ$224,_xlfn.XMATCH(D$1,'UN Treasury'!$A$1:$BQ$1,-1,1),FALSE)</f>
        <v>21.027999999999999</v>
      </c>
      <c r="E124">
        <f>VLOOKUP($A124,'UN Treasury'!$A$1:$BQ$224,_xlfn.XMATCH(E$1,'UN Treasury'!$A$1:$BQ$1,-1,1),FALSE)</f>
        <v>20.934000000000001</v>
      </c>
      <c r="F124">
        <f>VLOOKUP($A124,'UN Treasury'!$A$1:$BQ$224,_xlfn.XMATCH(F$1,'UN Treasury'!$A$1:$BQ$1,-1,1),FALSE)</f>
        <v>21.056999999999999</v>
      </c>
      <c r="G124">
        <f>VLOOKUP($A124,'UN Treasury'!$A$1:$BQ$224,_xlfn.XMATCH(G$1,'UN Treasury'!$A$1:$BQ$1,-1,1),FALSE)</f>
        <v>20.936</v>
      </c>
      <c r="H124">
        <f>VLOOKUP($A124,'UN Treasury'!$A$1:$BQ$224,_xlfn.XMATCH(H$1,'UN Treasury'!$A$1:$BQ$1,-1,1),FALSE)</f>
        <v>20.789000000000001</v>
      </c>
      <c r="I124">
        <f>VLOOKUP($A124,'UN Treasury'!$A$1:$BQ$224,_xlfn.XMATCH(I$1,'UN Treasury'!$A$1:$BQ$1,-1,1),FALSE)</f>
        <v>21.003</v>
      </c>
      <c r="J124">
        <f>VLOOKUP($A124,'UN Treasury'!$A$1:$BQ$224,_xlfn.XMATCH(J$1,'UN Treasury'!$A$1:$BQ$1,-1,1),FALSE)</f>
        <v>21.135999999999999</v>
      </c>
      <c r="K124">
        <f>VLOOKUP($A124,'UN Treasury'!$A$1:$BQ$224,_xlfn.XMATCH(K$1,'UN Treasury'!$A$1:$BQ$1,-1,1),FALSE)</f>
        <v>21.244</v>
      </c>
      <c r="L124">
        <f>VLOOKUP($A124,'UN Treasury'!$A$1:$BQ$224,_xlfn.XMATCH(L$1,'UN Treasury'!$A$1:$BQ$1,-1,1),FALSE)</f>
        <v>20.98</v>
      </c>
      <c r="M124">
        <f>VLOOKUP($A124,'UN Treasury'!$A$1:$BQ$224,_xlfn.XMATCH(M$1,'UN Treasury'!$A$1:$BQ$1,-1,1),FALSE)</f>
        <v>21.085999999999999</v>
      </c>
      <c r="N124">
        <f>VLOOKUP($A124,'UN Treasury'!$A$1:$BQ$224,_xlfn.XMATCH(N$1,'UN Treasury'!$A$1:$BQ$1,-1,1),FALSE)</f>
        <v>21.044</v>
      </c>
      <c r="O124">
        <f>VLOOKUP($A124,'UN Treasury'!$A$1:$BQ$224,_xlfn.XMATCH(O$1,'UN Treasury'!$A$1:$BQ$1,-1,1),FALSE)</f>
        <v>20.908999999999999</v>
      </c>
      <c r="P124">
        <f>VLOOKUP($A124,'UN Treasury'!$A$1:$BQ$224,_xlfn.XMATCH(P$1,'UN Treasury'!$A$1:$BQ$1,-1,1),FALSE)</f>
        <v>21.471</v>
      </c>
      <c r="Q124">
        <f>VLOOKUP($A124,'UN Treasury'!$A$1:$BQ$224,_xlfn.XMATCH(Q$1,'UN Treasury'!$A$1:$BQ$1,-1,1),FALSE)</f>
        <v>21.568000000000001</v>
      </c>
      <c r="R124">
        <f>VLOOKUP($A124,'UN Treasury'!$A$1:$BQ$224,_xlfn.XMATCH(R$1,'UN Treasury'!$A$1:$BQ$1,-1,1),FALSE)</f>
        <v>22.079000000000001</v>
      </c>
      <c r="S124">
        <f>VLOOKUP($A124,'UN Treasury'!$A$1:$BQ$224,_xlfn.XMATCH(S$1,'UN Treasury'!$A$1:$BQ$1,-1,1),FALSE)</f>
        <v>22.695</v>
      </c>
      <c r="T124">
        <f>VLOOKUP($A124,'UN Treasury'!$A$1:$BQ$224,_xlfn.XMATCH(T$1,'UN Treasury'!$A$1:$BQ$1,-1,1),FALSE)</f>
        <v>23.649000000000001</v>
      </c>
      <c r="U124">
        <f>VLOOKUP($A124,'UN Treasury'!$A$1:$BQ$224,_xlfn.XMATCH(U$1,'UN Treasury'!$A$1:$BQ$1,-1,1),FALSE)</f>
        <v>23.79</v>
      </c>
      <c r="V124">
        <f>VLOOKUP($A124,'UN Treasury'!$A$1:$BQ$224,_xlfn.XMATCH(V$1,'UN Treasury'!$A$1:$BQ$1,-1,1),FALSE)</f>
        <v>23.352</v>
      </c>
      <c r="W124">
        <f>VLOOKUP($A124,'UN Treasury'!$A$1:$BQ$224,_xlfn.XMATCH(W$1,'UN Treasury'!$A$1:$BQ$1,-1,1),FALSE)</f>
        <v>22.908999999999999</v>
      </c>
      <c r="X124">
        <f>VLOOKUP($A124,'UN Treasury'!$A$1:$BQ$224,_xlfn.XMATCH(X$1,'UN Treasury'!$A$1:$BQ$1,-1,1),FALSE)</f>
        <v>22.195</v>
      </c>
      <c r="Y124">
        <f>VLOOKUP($A124,'UN Treasury'!$A$1:$BQ$224,_xlfn.XMATCH(Y$1,'UN Treasury'!$A$1:$BQ$1,-1,1),FALSE)</f>
        <v>22.172999999999998</v>
      </c>
      <c r="Z124">
        <f>VLOOKUP($A124,'UN Treasury'!$A$1:$BQ$224,_xlfn.XMATCH(Z$1,'UN Treasury'!$A$1:$BQ$1,-1,1),FALSE)</f>
        <v>22.343</v>
      </c>
      <c r="AA124">
        <f>VLOOKUP($A124,'UN Treasury'!$A$1:$BQ$224,_xlfn.XMATCH(AA$1,'UN Treasury'!$A$1:$BQ$1,-1,1),FALSE)</f>
        <v>22.635999999999999</v>
      </c>
      <c r="AB124">
        <f>VLOOKUP($A124,'UN Treasury'!$A$1:$BQ$224,_xlfn.XMATCH(AB$1,'UN Treasury'!$A$1:$BQ$1,-1,1),FALSE)</f>
        <v>22.933</v>
      </c>
      <c r="AC124">
        <f>VLOOKUP($A124,'UN Treasury'!$A$1:$BQ$224,_xlfn.XMATCH(AC$1,'UN Treasury'!$A$1:$BQ$1,-1,1),FALSE)</f>
        <v>22.893000000000001</v>
      </c>
      <c r="AD124">
        <f>VLOOKUP($A124,'UN Treasury'!$A$1:$BQ$224,_xlfn.XMATCH(AD$1,'UN Treasury'!$A$1:$BQ$1,-1,1),FALSE)</f>
        <v>22.783999999999999</v>
      </c>
      <c r="AE124">
        <f>VLOOKUP($A124,'UN Treasury'!$A$1:$BQ$224,_xlfn.XMATCH(AE$1,'UN Treasury'!$A$1:$BQ$1,-1,1),FALSE)</f>
        <v>22.82</v>
      </c>
      <c r="AF124">
        <f>VLOOKUP($A124,'UN Treasury'!$A$1:$BQ$224,_xlfn.XMATCH(AF$1,'UN Treasury'!$A$1:$BQ$1,-1,1),FALSE)</f>
        <v>22.806000000000001</v>
      </c>
      <c r="AG124">
        <f>VLOOKUP($A124,'UN Treasury'!$A$1:$BQ$224,_xlfn.XMATCH(AG$1,'UN Treasury'!$A$1:$BQ$1,-1,1),FALSE)</f>
        <v>22.425000000000001</v>
      </c>
      <c r="AH124">
        <f>VLOOKUP($A124,'UN Treasury'!$A$1:$BQ$224,_xlfn.XMATCH(AH$1,'UN Treasury'!$A$1:$BQ$1,-1,1),FALSE)</f>
        <v>22.734000000000002</v>
      </c>
      <c r="AI124">
        <f>VLOOKUP($A124,'UN Treasury'!$A$1:$BQ$224,_xlfn.XMATCH(AI$1,'UN Treasury'!$A$1:$BQ$1,-1,1),FALSE)</f>
        <v>22.811</v>
      </c>
      <c r="AJ124">
        <f>VLOOKUP($A124,'UN Treasury'!$A$1:$BQ$224,_xlfn.XMATCH(AJ$1,'UN Treasury'!$A$1:$BQ$1,-1,1),FALSE)</f>
        <v>23.277000000000001</v>
      </c>
      <c r="AK124">
        <f>VLOOKUP($A124,'UN Treasury'!$A$1:$BQ$224,_xlfn.XMATCH(AK$1,'UN Treasury'!$A$1:$BQ$1,-1,1),FALSE)</f>
        <v>21.834</v>
      </c>
      <c r="AL124">
        <f>VLOOKUP($A124,'UN Treasury'!$A$1:$BQ$224,_xlfn.XMATCH(AL$1,'UN Treasury'!$A$1:$BQ$1,-1,1),FALSE)</f>
        <v>22.39</v>
      </c>
      <c r="AM124">
        <f>VLOOKUP($A124,'UN Treasury'!$A$1:$BQ$224,_xlfn.XMATCH(AM$1,'UN Treasury'!$A$1:$BQ$1,-1,1),FALSE)</f>
        <v>22.934000000000001</v>
      </c>
      <c r="AN124">
        <f>VLOOKUP($A124,'UN Treasury'!$A$1:$BQ$224,_xlfn.XMATCH(AN$1,'UN Treasury'!$A$1:$BQ$1,-1,1),FALSE)</f>
        <v>22.934000000000001</v>
      </c>
      <c r="AO124">
        <f>VLOOKUP($A124,'UN Treasury'!$A$1:$BQ$224,_xlfn.XMATCH(AO$1,'UN Treasury'!$A$1:$BQ$1,-1,1),FALSE)</f>
        <v>23.167999999999999</v>
      </c>
      <c r="AP124">
        <f>VLOOKUP($A124,'UN Treasury'!$A$1:$BQ$224,_xlfn.XMATCH(AP$1,'UN Treasury'!$A$1:$BQ$1,-1,1),FALSE)</f>
        <v>23.167999999999999</v>
      </c>
      <c r="AQ124">
        <f>VLOOKUP($A124,'UN Treasury'!$A$1:$BQ$224,_xlfn.XMATCH(AQ$1,'UN Treasury'!$A$1:$BQ$1,-1,1),FALSE)</f>
        <v>23.167999999999999</v>
      </c>
      <c r="AR124">
        <f>VLOOKUP($A124,'UN Treasury'!$A$1:$BQ$224,_xlfn.XMATCH(AR$1,'UN Treasury'!$A$1:$BQ$1,-1,1),FALSE)</f>
        <v>22.898</v>
      </c>
      <c r="AS124">
        <f>VLOOKUP($A124,'UN Treasury'!$A$1:$BQ$224,_xlfn.XMATCH(AS$1,'UN Treasury'!$A$1:$BQ$1,-1,1),FALSE)</f>
        <v>23.334</v>
      </c>
      <c r="AT124">
        <f>VLOOKUP($A124,'UN Treasury'!$A$1:$BQ$224,_xlfn.XMATCH(AT$1,'UN Treasury'!$A$1:$BQ$1,-1,1),FALSE)</f>
        <v>23.298999999999999</v>
      </c>
      <c r="AU124">
        <f>VLOOKUP($A124,'UN Treasury'!$A$1:$BQ$224,_xlfn.XMATCH(AU$1,'UN Treasury'!$A$1:$BQ$1,-1,1),FALSE)</f>
        <v>24.818999999999999</v>
      </c>
      <c r="AV124">
        <f>VLOOKUP($A124,'UN Treasury'!$A$1:$BQ$224,_xlfn.XMATCH(AV$1,'UN Treasury'!$A$1:$BQ$1,-1,1),FALSE)</f>
        <v>24.849</v>
      </c>
      <c r="AW124">
        <f>VLOOKUP($A124,'UN Treasury'!$A$1:$BQ$224,_xlfn.XMATCH(AW$1,'UN Treasury'!$A$1:$BQ$1,-1,1),FALSE)</f>
        <v>24.786000000000001</v>
      </c>
      <c r="AX124">
        <f>VLOOKUP($A124,'UN Treasury'!$A$1:$BQ$224,_xlfn.XMATCH(AX$1,'UN Treasury'!$A$1:$BQ$1,-1,1),FALSE)</f>
        <v>24.023</v>
      </c>
      <c r="AY124">
        <f>VLOOKUP($A124,'UN Treasury'!$A$1:$BQ$224,_xlfn.XMATCH(AY$1,'UN Treasury'!$A$1:$BQ$1,-1,1),FALSE)</f>
        <v>23.824999999999999</v>
      </c>
      <c r="AZ124">
        <f>VLOOKUP($A124,'UN Treasury'!$A$1:$BQ$224,_xlfn.XMATCH(AZ$1,'UN Treasury'!$A$1:$BQ$1,-1,1),FALSE)</f>
        <v>23.372</v>
      </c>
      <c r="BA124">
        <f>VLOOKUP($A124,'UN Treasury'!$A$1:$BQ$224,_xlfn.XMATCH(BA$1,'UN Treasury'!$A$1:$BQ$1,-1,1),FALSE)</f>
        <v>23.312000000000001</v>
      </c>
      <c r="BB124">
        <f>VLOOKUP($A124,'UN Treasury'!$A$1:$BQ$224,_xlfn.XMATCH(BB$1,'UN Treasury'!$A$1:$BQ$1,-1,1),FALSE)</f>
        <v>22.475000000000001</v>
      </c>
      <c r="BC124">
        <f>VLOOKUP($A124,'UN Treasury'!$A$1:$BQ$224,_xlfn.XMATCH(BC$1,'UN Treasury'!$A$1:$BQ$1,-1,1),FALSE)</f>
        <v>21.744</v>
      </c>
      <c r="BD124">
        <f>VLOOKUP($A124,'UN Treasury'!$A$1:$BQ$224,_xlfn.XMATCH(BD$1,'UN Treasury'!$A$1:$BQ$1,-1,1),FALSE)</f>
        <v>21.744</v>
      </c>
      <c r="BE124">
        <f>VLOOKUP($A124,'UN Treasury'!$A$1:$BQ$224,_xlfn.XMATCH(BE$1,'UN Treasury'!$A$1:$BQ$1,-1,1),FALSE)</f>
        <v>21.515999999999998</v>
      </c>
      <c r="BF124">
        <f>VLOOKUP($A124,'UN Treasury'!$A$1:$BQ$224,_xlfn.XMATCH(BF$1,'UN Treasury'!$A$1:$BQ$1,-1,1),FALSE)</f>
        <v>20.425000000000001</v>
      </c>
      <c r="BG124">
        <f>VLOOKUP($A124,'UN Treasury'!$A$1:$BQ$224,_xlfn.XMATCH(BG$1,'UN Treasury'!$A$1:$BQ$1,-1,1),FALSE)</f>
        <v>21.053999999999998</v>
      </c>
      <c r="BH124">
        <f>VLOOKUP($A124,'UN Treasury'!$A$1:$BQ$224,_xlfn.XMATCH(BH$1,'UN Treasury'!$A$1:$BQ$1,-1,1),FALSE)</f>
        <v>20.914000000000001</v>
      </c>
      <c r="BI124">
        <f>VLOOKUP($A124,'UN Treasury'!$A$1:$BQ$224,_xlfn.XMATCH(BI$1,'UN Treasury'!$A$1:$BQ$1,-1,1),FALSE)</f>
        <v>20.87</v>
      </c>
      <c r="BJ124">
        <f>VLOOKUP($A124,'UN Treasury'!$A$1:$BQ$224,_xlfn.XMATCH(BJ$1,'UN Treasury'!$A$1:$BQ$1,-1,1),FALSE)</f>
        <v>20.808</v>
      </c>
      <c r="BK124">
        <f>VLOOKUP($A124,'UN Treasury'!$A$1:$BQ$224,_xlfn.XMATCH(BK$1,'UN Treasury'!$A$1:$BQ$1,-1,1),FALSE)</f>
        <v>20.599</v>
      </c>
      <c r="BL124">
        <f>VLOOKUP($A124,'UN Treasury'!$A$1:$BQ$224,_xlfn.XMATCH(BL$1,'UN Treasury'!$A$1:$BQ$1,-1,1),FALSE)</f>
        <v>20.103000000000002</v>
      </c>
      <c r="BM124">
        <f>VLOOKUP($A124,'UN Treasury'!$A$1:$BQ$224,_xlfn.XMATCH(BM$1,'UN Treasury'!$A$1:$BQ$1,-1,1),FALSE)</f>
        <v>20.338999999999999</v>
      </c>
      <c r="BN124">
        <f>VLOOKUP($A124,'UN Treasury'!$A$1:$BQ$224,_xlfn.XMATCH(BN$1,'UN Treasury'!$A$1:$BQ$1,-1,1),FALSE)</f>
        <v>20.72</v>
      </c>
      <c r="BO124">
        <f>VLOOKUP($A124,'UN Treasury'!$A$1:$BQ$224,_xlfn.XMATCH(BO$1,'UN Treasury'!$A$1:$BQ$1,-1,1),FALSE)</f>
        <v>20.193999999999999</v>
      </c>
      <c r="BP124">
        <f>VLOOKUP($A124,'UN Treasury'!$A$1:$BQ$224,_xlfn.XMATCH(BP$1,'UN Treasury'!$A$1:$BQ$1,-1,1),FALSE)</f>
        <v>20.152000000000001</v>
      </c>
      <c r="BQ124">
        <f>VLOOKUP($A124,'UN Treasury'!$A$1:$BQ$224,_xlfn.XMATCH(BQ$1,'UN Treasury'!$A$1:$BQ$1,-1,1),FALSE)</f>
        <v>20.82</v>
      </c>
    </row>
    <row r="125" spans="1:69" x14ac:dyDescent="0.25">
      <c r="A125" t="s">
        <v>267</v>
      </c>
      <c r="B125">
        <f>VLOOKUP($A125,'UN Treasury'!$A$1:$BQ$224,_xlfn.XMATCH(B$1,'UN Treasury'!$A$1:$BQ$1,-1,1),FALSE)</f>
        <v>122</v>
      </c>
      <c r="C125">
        <f>VLOOKUP($A125,'UN Treasury'!$A$1:$BQ$224,_xlfn.XMATCH(C$1,'UN Treasury'!$A$1:$BQ$1,-1,1),FALSE)</f>
        <v>122</v>
      </c>
      <c r="D125">
        <f>VLOOKUP($A125,'UN Treasury'!$A$1:$BQ$224,_xlfn.XMATCH(D$1,'UN Treasury'!$A$1:$BQ$1,-1,1),FALSE)</f>
        <v>113</v>
      </c>
      <c r="E125">
        <f>VLOOKUP($A125,'UN Treasury'!$A$1:$BQ$224,_xlfn.XMATCH(E$1,'UN Treasury'!$A$1:$BQ$1,-1,1),FALSE)</f>
        <v>113</v>
      </c>
      <c r="F125">
        <f>VLOOKUP($A125,'UN Treasury'!$A$1:$BQ$224,_xlfn.XMATCH(F$1,'UN Treasury'!$A$1:$BQ$1,-1,1),FALSE)</f>
        <v>110.5</v>
      </c>
      <c r="G125">
        <f>VLOOKUP($A125,'UN Treasury'!$A$1:$BQ$224,_xlfn.XMATCH(G$1,'UN Treasury'!$A$1:$BQ$1,-1,1),FALSE)</f>
        <v>110.5</v>
      </c>
      <c r="H125">
        <f>VLOOKUP($A125,'UN Treasury'!$A$1:$BQ$224,_xlfn.XMATCH(H$1,'UN Treasury'!$A$1:$BQ$1,-1,1),FALSE)</f>
        <v>110.5</v>
      </c>
      <c r="I125">
        <f>VLOOKUP($A125,'UN Treasury'!$A$1:$BQ$224,_xlfn.XMATCH(I$1,'UN Treasury'!$A$1:$BQ$1,-1,1),FALSE)</f>
        <v>110.05</v>
      </c>
      <c r="J125">
        <f>VLOOKUP($A125,'UN Treasury'!$A$1:$BQ$224,_xlfn.XMATCH(J$1,'UN Treasury'!$A$1:$BQ$1,-1,1),FALSE)</f>
        <v>11055</v>
      </c>
      <c r="K125">
        <f>VLOOKUP($A125,'UN Treasury'!$A$1:$BQ$224,_xlfn.XMATCH(K$1,'UN Treasury'!$A$1:$BQ$1,-1,1),FALSE)</f>
        <v>11055</v>
      </c>
      <c r="L125">
        <f>VLOOKUP($A125,'UN Treasury'!$A$1:$BQ$224,_xlfn.XMATCH(L$1,'UN Treasury'!$A$1:$BQ$1,-1,1),FALSE)</f>
        <v>11055</v>
      </c>
      <c r="M125">
        <f>VLOOKUP($A125,'UN Treasury'!$A$1:$BQ$224,_xlfn.XMATCH(M$1,'UN Treasury'!$A$1:$BQ$1,-1,1),FALSE)</f>
        <v>11050</v>
      </c>
      <c r="N125">
        <f>VLOOKUP($A125,'UN Treasury'!$A$1:$BQ$224,_xlfn.XMATCH(N$1,'UN Treasury'!$A$1:$BQ$1,-1,1),FALSE)</f>
        <v>10680</v>
      </c>
      <c r="O125">
        <f>VLOOKUP($A125,'UN Treasury'!$A$1:$BQ$224,_xlfn.XMATCH(O$1,'UN Treasury'!$A$1:$BQ$1,-1,1),FALSE)</f>
        <v>11110</v>
      </c>
      <c r="P125">
        <f>VLOOKUP($A125,'UN Treasury'!$A$1:$BQ$224,_xlfn.XMATCH(P$1,'UN Treasury'!$A$1:$BQ$1,-1,1),FALSE)</f>
        <v>11110</v>
      </c>
      <c r="Q125">
        <f>VLOOKUP($A125,'UN Treasury'!$A$1:$BQ$224,_xlfn.XMATCH(Q$1,'UN Treasury'!$A$1:$BQ$1,-1,1),FALSE)</f>
        <v>12120</v>
      </c>
      <c r="R125">
        <f>VLOOKUP($A125,'UN Treasury'!$A$1:$BQ$224,_xlfn.XMATCH(R$1,'UN Treasury'!$A$1:$BQ$1,-1,1),FALSE)</f>
        <v>12000</v>
      </c>
      <c r="S125">
        <f>VLOOKUP($A125,'UN Treasury'!$A$1:$BQ$224,_xlfn.XMATCH(S$1,'UN Treasury'!$A$1:$BQ$1,-1,1),FALSE)</f>
        <v>13200</v>
      </c>
      <c r="T125">
        <f>VLOOKUP($A125,'UN Treasury'!$A$1:$BQ$224,_xlfn.XMATCH(T$1,'UN Treasury'!$A$1:$BQ$1,-1,1),FALSE)</f>
        <v>13200</v>
      </c>
      <c r="U125">
        <f>VLOOKUP($A125,'UN Treasury'!$A$1:$BQ$224,_xlfn.XMATCH(U$1,'UN Treasury'!$A$1:$BQ$1,-1,1),FALSE)</f>
        <v>13000</v>
      </c>
      <c r="V125">
        <f>VLOOKUP($A125,'UN Treasury'!$A$1:$BQ$224,_xlfn.XMATCH(V$1,'UN Treasury'!$A$1:$BQ$1,-1,1),FALSE)</f>
        <v>13600</v>
      </c>
      <c r="W125">
        <f>VLOOKUP($A125,'UN Treasury'!$A$1:$BQ$224,_xlfn.XMATCH(W$1,'UN Treasury'!$A$1:$BQ$1,-1,1),FALSE)</f>
        <v>13600</v>
      </c>
      <c r="X125">
        <f>VLOOKUP($A125,'UN Treasury'!$A$1:$BQ$224,_xlfn.XMATCH(X$1,'UN Treasury'!$A$1:$BQ$1,-1,1),FALSE)</f>
        <v>13600</v>
      </c>
      <c r="Y125">
        <f>VLOOKUP($A125,'UN Treasury'!$A$1:$BQ$224,_xlfn.XMATCH(Y$1,'UN Treasury'!$A$1:$BQ$1,-1,1),FALSE)</f>
        <v>13600</v>
      </c>
      <c r="Z125">
        <f>VLOOKUP($A125,'UN Treasury'!$A$1:$BQ$224,_xlfn.XMATCH(Z$1,'UN Treasury'!$A$1:$BQ$1,-1,1),FALSE)</f>
        <v>13600</v>
      </c>
      <c r="AA125">
        <f>VLOOKUP($A125,'UN Treasury'!$A$1:$BQ$224,_xlfn.XMATCH(AA$1,'UN Treasury'!$A$1:$BQ$1,-1,1),FALSE)</f>
        <v>13600</v>
      </c>
      <c r="AB125">
        <f>VLOOKUP($A125,'UN Treasury'!$A$1:$BQ$224,_xlfn.XMATCH(AB$1,'UN Treasury'!$A$1:$BQ$1,-1,1),FALSE)</f>
        <v>12500</v>
      </c>
      <c r="AC125">
        <f>VLOOKUP($A125,'UN Treasury'!$A$1:$BQ$224,_xlfn.XMATCH(AC$1,'UN Treasury'!$A$1:$BQ$1,-1,1),FALSE)</f>
        <v>12500</v>
      </c>
      <c r="AD125">
        <f>VLOOKUP($A125,'UN Treasury'!$A$1:$BQ$224,_xlfn.XMATCH(AD$1,'UN Treasury'!$A$1:$BQ$1,-1,1),FALSE)</f>
        <v>12500</v>
      </c>
      <c r="AE125">
        <f>VLOOKUP($A125,'UN Treasury'!$A$1:$BQ$224,_xlfn.XMATCH(AE$1,'UN Treasury'!$A$1:$BQ$1,-1,1),FALSE)</f>
        <v>12500</v>
      </c>
      <c r="AF125">
        <f>VLOOKUP($A125,'UN Treasury'!$A$1:$BQ$224,_xlfn.XMATCH(AF$1,'UN Treasury'!$A$1:$BQ$1,-1,1),FALSE)</f>
        <v>12500</v>
      </c>
      <c r="AG125">
        <f>VLOOKUP($A125,'UN Treasury'!$A$1:$BQ$224,_xlfn.XMATCH(AG$1,'UN Treasury'!$A$1:$BQ$1,-1,1),FALSE)</f>
        <v>12500</v>
      </c>
      <c r="AH125">
        <f>VLOOKUP($A125,'UN Treasury'!$A$1:$BQ$224,_xlfn.XMATCH(AH$1,'UN Treasury'!$A$1:$BQ$1,-1,1),FALSE)</f>
        <v>12500</v>
      </c>
      <c r="AI125">
        <f>VLOOKUP($A125,'UN Treasury'!$A$1:$BQ$224,_xlfn.XMATCH(AI$1,'UN Treasury'!$A$1:$BQ$1,-1,1),FALSE)</f>
        <v>11500</v>
      </c>
      <c r="AJ125">
        <f>VLOOKUP($A125,'UN Treasury'!$A$1:$BQ$224,_xlfn.XMATCH(AJ$1,'UN Treasury'!$A$1:$BQ$1,-1,1),FALSE)</f>
        <v>11500</v>
      </c>
      <c r="AK125">
        <f>VLOOKUP($A125,'UN Treasury'!$A$1:$BQ$224,_xlfn.XMATCH(AK$1,'UN Treasury'!$A$1:$BQ$1,-1,1),FALSE)</f>
        <v>8500</v>
      </c>
      <c r="AL125">
        <f>VLOOKUP($A125,'UN Treasury'!$A$1:$BQ$224,_xlfn.XMATCH(AL$1,'UN Treasury'!$A$1:$BQ$1,-1,1),FALSE)</f>
        <v>8500</v>
      </c>
      <c r="AM125">
        <f>VLOOKUP($A125,'UN Treasury'!$A$1:$BQ$224,_xlfn.XMATCH(AM$1,'UN Treasury'!$A$1:$BQ$1,-1,1),FALSE)</f>
        <v>6500</v>
      </c>
      <c r="AN125">
        <f>VLOOKUP($A125,'UN Treasury'!$A$1:$BQ$224,_xlfn.XMATCH(AN$1,'UN Treasury'!$A$1:$BQ$1,-1,1),FALSE)</f>
        <v>6500</v>
      </c>
      <c r="AO125">
        <f>VLOOKUP($A125,'UN Treasury'!$A$1:$BQ$224,_xlfn.XMATCH(AO$1,'UN Treasury'!$A$1:$BQ$1,-1,1),FALSE)</f>
        <v>6500</v>
      </c>
      <c r="AP125">
        <f>VLOOKUP($A125,'UN Treasury'!$A$1:$BQ$224,_xlfn.XMATCH(AP$1,'UN Treasury'!$A$1:$BQ$1,-1,1),FALSE)</f>
        <v>6500</v>
      </c>
      <c r="AQ125">
        <f>VLOOKUP($A125,'UN Treasury'!$A$1:$BQ$224,_xlfn.XMATCH(AQ$1,'UN Treasury'!$A$1:$BQ$1,-1,1),FALSE)</f>
        <v>4500</v>
      </c>
      <c r="AR125">
        <f>VLOOKUP($A125,'UN Treasury'!$A$1:$BQ$224,_xlfn.XMATCH(AR$1,'UN Treasury'!$A$1:$BQ$1,-1,1),FALSE)</f>
        <v>4500</v>
      </c>
      <c r="AS125">
        <f>VLOOKUP($A125,'UN Treasury'!$A$1:$BQ$224,_xlfn.XMATCH(AS$1,'UN Treasury'!$A$1:$BQ$1,-1,1),FALSE)</f>
        <v>4500</v>
      </c>
      <c r="AT125">
        <f>VLOOKUP($A125,'UN Treasury'!$A$1:$BQ$224,_xlfn.XMATCH(AT$1,'UN Treasury'!$A$1:$BQ$1,-1,1),FALSE)</f>
        <v>3000</v>
      </c>
      <c r="AU125">
        <f>VLOOKUP($A125,'UN Treasury'!$A$1:$BQ$224,_xlfn.XMATCH(AU$1,'UN Treasury'!$A$1:$BQ$1,-1,1),FALSE)</f>
        <v>3000</v>
      </c>
      <c r="AV125">
        <f>VLOOKUP($A125,'UN Treasury'!$A$1:$BQ$224,_xlfn.XMATCH(AV$1,'UN Treasury'!$A$1:$BQ$1,-1,1),FALSE)</f>
        <v>3000</v>
      </c>
      <c r="AW125">
        <f>VLOOKUP($A125,'UN Treasury'!$A$1:$BQ$224,_xlfn.XMATCH(AW$1,'UN Treasury'!$A$1:$BQ$1,-1,1),FALSE)</f>
        <v>2800</v>
      </c>
      <c r="AX125">
        <f>VLOOKUP($A125,'UN Treasury'!$A$1:$BQ$224,_xlfn.XMATCH(AX$1,'UN Treasury'!$A$1:$BQ$1,-1,1),FALSE)</f>
        <v>2800</v>
      </c>
      <c r="AY125">
        <f>VLOOKUP($A125,'UN Treasury'!$A$1:$BQ$224,_xlfn.XMATCH(AY$1,'UN Treasury'!$A$1:$BQ$1,-1,1),FALSE)</f>
        <v>2800</v>
      </c>
      <c r="AZ125">
        <f>VLOOKUP($A125,'UN Treasury'!$A$1:$BQ$224,_xlfn.XMATCH(AZ$1,'UN Treasury'!$A$1:$BQ$1,-1,1),FALSE)</f>
        <v>2800</v>
      </c>
      <c r="BA125">
        <f>VLOOKUP($A125,'UN Treasury'!$A$1:$BQ$224,_xlfn.XMATCH(BA$1,'UN Treasury'!$A$1:$BQ$1,-1,1),FALSE)</f>
        <v>2800</v>
      </c>
      <c r="BB125">
        <f>VLOOKUP($A125,'UN Treasury'!$A$1:$BQ$224,_xlfn.XMATCH(BB$1,'UN Treasury'!$A$1:$BQ$1,-1,1),FALSE)</f>
        <v>2500</v>
      </c>
      <c r="BC125">
        <f>VLOOKUP($A125,'UN Treasury'!$A$1:$BQ$224,_xlfn.XMATCH(BC$1,'UN Treasury'!$A$1:$BQ$1,-1,1),FALSE)</f>
        <v>2500</v>
      </c>
      <c r="BD125">
        <f>VLOOKUP($A125,'UN Treasury'!$A$1:$BQ$224,_xlfn.XMATCH(BD$1,'UN Treasury'!$A$1:$BQ$1,-1,1),FALSE)</f>
        <v>2500</v>
      </c>
      <c r="BE125">
        <f>VLOOKUP($A125,'UN Treasury'!$A$1:$BQ$224,_xlfn.XMATCH(BE$1,'UN Treasury'!$A$1:$BQ$1,-1,1),FALSE)</f>
        <v>2500</v>
      </c>
      <c r="BF125">
        <f>VLOOKUP($A125,'UN Treasury'!$A$1:$BQ$224,_xlfn.XMATCH(BF$1,'UN Treasury'!$A$1:$BQ$1,-1,1),FALSE)</f>
        <v>2500</v>
      </c>
      <c r="BG125">
        <f>VLOOKUP($A125,'UN Treasury'!$A$1:$BQ$224,_xlfn.XMATCH(BG$1,'UN Treasury'!$A$1:$BQ$1,-1,1),FALSE)</f>
        <v>2500</v>
      </c>
      <c r="BH125">
        <f>VLOOKUP($A125,'UN Treasury'!$A$1:$BQ$224,_xlfn.XMATCH(BH$1,'UN Treasury'!$A$1:$BQ$1,-1,1),FALSE)</f>
        <v>2500</v>
      </c>
      <c r="BI125">
        <f>VLOOKUP($A125,'UN Treasury'!$A$1:$BQ$224,_xlfn.XMATCH(BI$1,'UN Treasury'!$A$1:$BQ$1,-1,1),FALSE)</f>
        <v>2500</v>
      </c>
      <c r="BJ125">
        <f>VLOOKUP($A125,'UN Treasury'!$A$1:$BQ$224,_xlfn.XMATCH(BJ$1,'UN Treasury'!$A$1:$BQ$1,-1,1),FALSE)</f>
        <v>2500</v>
      </c>
      <c r="BK125">
        <f>VLOOKUP($A125,'UN Treasury'!$A$1:$BQ$224,_xlfn.XMATCH(BK$1,'UN Treasury'!$A$1:$BQ$1,-1,1),FALSE)</f>
        <v>2500</v>
      </c>
      <c r="BL125">
        <f>VLOOKUP($A125,'UN Treasury'!$A$1:$BQ$224,_xlfn.XMATCH(BL$1,'UN Treasury'!$A$1:$BQ$1,-1,1),FALSE)</f>
        <v>2500</v>
      </c>
      <c r="BM125">
        <f>VLOOKUP($A125,'UN Treasury'!$A$1:$BQ$224,_xlfn.XMATCH(BM$1,'UN Treasury'!$A$1:$BQ$1,-1,1),FALSE)</f>
        <v>2500</v>
      </c>
      <c r="BN125">
        <f>VLOOKUP($A125,'UN Treasury'!$A$1:$BQ$224,_xlfn.XMATCH(BN$1,'UN Treasury'!$A$1:$BQ$1,-1,1),FALSE)</f>
        <v>2500</v>
      </c>
      <c r="BO125">
        <f>VLOOKUP($A125,'UN Treasury'!$A$1:$BQ$224,_xlfn.XMATCH(BO$1,'UN Treasury'!$A$1:$BQ$1,-1,1),FALSE)</f>
        <v>1250</v>
      </c>
      <c r="BP125">
        <f>VLOOKUP($A125,'UN Treasury'!$A$1:$BQ$224,_xlfn.XMATCH(BP$1,'UN Treasury'!$A$1:$BQ$1,-1,1),FALSE)</f>
        <v>1250</v>
      </c>
      <c r="BQ125">
        <f>VLOOKUP($A125,'UN Treasury'!$A$1:$BQ$224,_xlfn.XMATCH(BQ$1,'UN Treasury'!$A$1:$BQ$1,-1,1),FALSE)</f>
        <v>1250</v>
      </c>
    </row>
    <row r="126" spans="1:69" x14ac:dyDescent="0.25">
      <c r="A126" t="s">
        <v>134</v>
      </c>
      <c r="B126">
        <f>VLOOKUP($A126,'UN Treasury'!$A$1:$BQ$224,_xlfn.XMATCH(B$1,'UN Treasury'!$A$1:$BQ$1,-1,1),FALSE)</f>
        <v>16.131</v>
      </c>
      <c r="C126">
        <f>VLOOKUP($A126,'UN Treasury'!$A$1:$BQ$224,_xlfn.XMATCH(C$1,'UN Treasury'!$A$1:$BQ$1,-1,1),FALSE)</f>
        <v>16.356000000000002</v>
      </c>
      <c r="D126">
        <f>VLOOKUP($A126,'UN Treasury'!$A$1:$BQ$224,_xlfn.XMATCH(D$1,'UN Treasury'!$A$1:$BQ$1,-1,1),FALSE)</f>
        <v>16.521999999999998</v>
      </c>
      <c r="E126">
        <f>VLOOKUP($A126,'UN Treasury'!$A$1:$BQ$224,_xlfn.XMATCH(E$1,'UN Treasury'!$A$1:$BQ$1,-1,1),FALSE)</f>
        <v>16.457000000000001</v>
      </c>
      <c r="F126">
        <f>VLOOKUP($A126,'UN Treasury'!$A$1:$BQ$224,_xlfn.XMATCH(F$1,'UN Treasury'!$A$1:$BQ$1,-1,1),FALSE)</f>
        <v>16.501000000000001</v>
      </c>
      <c r="G126">
        <f>VLOOKUP($A126,'UN Treasury'!$A$1:$BQ$224,_xlfn.XMATCH(G$1,'UN Treasury'!$A$1:$BQ$1,-1,1),FALSE)</f>
        <v>16.675000000000001</v>
      </c>
      <c r="H126">
        <f>VLOOKUP($A126,'UN Treasury'!$A$1:$BQ$224,_xlfn.XMATCH(H$1,'UN Treasury'!$A$1:$BQ$1,-1,1),FALSE)</f>
        <v>15.827</v>
      </c>
      <c r="I126">
        <f>VLOOKUP($A126,'UN Treasury'!$A$1:$BQ$224,_xlfn.XMATCH(I$1,'UN Treasury'!$A$1:$BQ$1,-1,1),FALSE)</f>
        <v>16.433</v>
      </c>
      <c r="J126">
        <f>VLOOKUP($A126,'UN Treasury'!$A$1:$BQ$224,_xlfn.XMATCH(J$1,'UN Treasury'!$A$1:$BQ$1,-1,1),FALSE)</f>
        <v>16.890999999999998</v>
      </c>
      <c r="K126">
        <f>VLOOKUP($A126,'UN Treasury'!$A$1:$BQ$224,_xlfn.XMATCH(K$1,'UN Treasury'!$A$1:$BQ$1,-1,1),FALSE)</f>
        <v>17.085999999999999</v>
      </c>
      <c r="L126">
        <f>VLOOKUP($A126,'UN Treasury'!$A$1:$BQ$224,_xlfn.XMATCH(L$1,'UN Treasury'!$A$1:$BQ$1,-1,1),FALSE)</f>
        <v>17.312000000000001</v>
      </c>
      <c r="M126">
        <f>VLOOKUP($A126,'UN Treasury'!$A$1:$BQ$224,_xlfn.XMATCH(M$1,'UN Treasury'!$A$1:$BQ$1,-1,1),FALSE)</f>
        <v>17.445</v>
      </c>
      <c r="N126">
        <f>VLOOKUP($A126,'UN Treasury'!$A$1:$BQ$224,_xlfn.XMATCH(N$1,'UN Treasury'!$A$1:$BQ$1,-1,1),FALSE)</f>
        <v>17.523</v>
      </c>
      <c r="O126">
        <f>VLOOKUP($A126,'UN Treasury'!$A$1:$BQ$224,_xlfn.XMATCH(O$1,'UN Treasury'!$A$1:$BQ$1,-1,1),FALSE)</f>
        <v>17.911999999999999</v>
      </c>
      <c r="P126">
        <f>VLOOKUP($A126,'UN Treasury'!$A$1:$BQ$224,_xlfn.XMATCH(P$1,'UN Treasury'!$A$1:$BQ$1,-1,1),FALSE)</f>
        <v>17.712</v>
      </c>
      <c r="Q126">
        <f>VLOOKUP($A126,'UN Treasury'!$A$1:$BQ$224,_xlfn.XMATCH(Q$1,'UN Treasury'!$A$1:$BQ$1,-1,1),FALSE)</f>
        <v>18.420999999999999</v>
      </c>
      <c r="R126">
        <f>VLOOKUP($A126,'UN Treasury'!$A$1:$BQ$224,_xlfn.XMATCH(R$1,'UN Treasury'!$A$1:$BQ$1,-1,1),FALSE)</f>
        <v>19.183</v>
      </c>
      <c r="S126">
        <f>VLOOKUP($A126,'UN Treasury'!$A$1:$BQ$224,_xlfn.XMATCH(S$1,'UN Treasury'!$A$1:$BQ$1,-1,1),FALSE)</f>
        <v>18.373999999999999</v>
      </c>
      <c r="T126">
        <f>VLOOKUP($A126,'UN Treasury'!$A$1:$BQ$224,_xlfn.XMATCH(T$1,'UN Treasury'!$A$1:$BQ$1,-1,1),FALSE)</f>
        <v>18.533000000000001</v>
      </c>
      <c r="U126">
        <f>VLOOKUP($A126,'UN Treasury'!$A$1:$BQ$224,_xlfn.XMATCH(U$1,'UN Treasury'!$A$1:$BQ$1,-1,1),FALSE)</f>
        <v>19.071999999999999</v>
      </c>
      <c r="V126">
        <f>VLOOKUP($A126,'UN Treasury'!$A$1:$BQ$224,_xlfn.XMATCH(V$1,'UN Treasury'!$A$1:$BQ$1,-1,1),FALSE)</f>
        <v>17.757000000000001</v>
      </c>
      <c r="W126">
        <f>VLOOKUP($A126,'UN Treasury'!$A$1:$BQ$224,_xlfn.XMATCH(W$1,'UN Treasury'!$A$1:$BQ$1,-1,1),FALSE)</f>
        <v>18.071000000000002</v>
      </c>
      <c r="X126">
        <f>VLOOKUP($A126,'UN Treasury'!$A$1:$BQ$224,_xlfn.XMATCH(X$1,'UN Treasury'!$A$1:$BQ$1,-1,1),FALSE)</f>
        <v>17.463000000000001</v>
      </c>
      <c r="Y126">
        <f>VLOOKUP($A126,'UN Treasury'!$A$1:$BQ$224,_xlfn.XMATCH(Y$1,'UN Treasury'!$A$1:$BQ$1,-1,1),FALSE)</f>
        <v>17.931999999999999</v>
      </c>
      <c r="Z126">
        <f>VLOOKUP($A126,'UN Treasury'!$A$1:$BQ$224,_xlfn.XMATCH(Z$1,'UN Treasury'!$A$1:$BQ$1,-1,1),FALSE)</f>
        <v>18.149999999999999</v>
      </c>
      <c r="AA126">
        <f>VLOOKUP($A126,'UN Treasury'!$A$1:$BQ$224,_xlfn.XMATCH(AA$1,'UN Treasury'!$A$1:$BQ$1,-1,1),FALSE)</f>
        <v>17.96</v>
      </c>
      <c r="AB126">
        <f>VLOOKUP($A126,'UN Treasury'!$A$1:$BQ$224,_xlfn.XMATCH(AB$1,'UN Treasury'!$A$1:$BQ$1,-1,1),FALSE)</f>
        <v>18.466999999999999</v>
      </c>
      <c r="AC126">
        <f>VLOOKUP($A126,'UN Treasury'!$A$1:$BQ$224,_xlfn.XMATCH(AC$1,'UN Treasury'!$A$1:$BQ$1,-1,1),FALSE)</f>
        <v>18.298999999999999</v>
      </c>
      <c r="AD126">
        <f>VLOOKUP($A126,'UN Treasury'!$A$1:$BQ$224,_xlfn.XMATCH(AD$1,'UN Treasury'!$A$1:$BQ$1,-1,1),FALSE)</f>
        <v>18.733000000000001</v>
      </c>
      <c r="AE126">
        <f>VLOOKUP($A126,'UN Treasury'!$A$1:$BQ$224,_xlfn.XMATCH(AE$1,'UN Treasury'!$A$1:$BQ$1,-1,1),FALSE)</f>
        <v>18.64</v>
      </c>
      <c r="AF126">
        <f>VLOOKUP($A126,'UN Treasury'!$A$1:$BQ$224,_xlfn.XMATCH(AF$1,'UN Treasury'!$A$1:$BQ$1,-1,1),FALSE)</f>
        <v>19.055</v>
      </c>
      <c r="AG126">
        <f>VLOOKUP($A126,'UN Treasury'!$A$1:$BQ$224,_xlfn.XMATCH(AG$1,'UN Treasury'!$A$1:$BQ$1,-1,1),FALSE)</f>
        <v>18.649999999999999</v>
      </c>
      <c r="AH126">
        <f>VLOOKUP($A126,'UN Treasury'!$A$1:$BQ$224,_xlfn.XMATCH(AH$1,'UN Treasury'!$A$1:$BQ$1,-1,1),FALSE)</f>
        <v>19.035</v>
      </c>
      <c r="AI126">
        <f>VLOOKUP($A126,'UN Treasury'!$A$1:$BQ$224,_xlfn.XMATCH(AI$1,'UN Treasury'!$A$1:$BQ$1,-1,1),FALSE)</f>
        <v>18.785</v>
      </c>
      <c r="AJ126">
        <f>VLOOKUP($A126,'UN Treasury'!$A$1:$BQ$224,_xlfn.XMATCH(AJ$1,'UN Treasury'!$A$1:$BQ$1,-1,1),FALSE)</f>
        <v>18.826000000000001</v>
      </c>
      <c r="AK126">
        <f>VLOOKUP($A126,'UN Treasury'!$A$1:$BQ$224,_xlfn.XMATCH(AK$1,'UN Treasury'!$A$1:$BQ$1,-1,1),FALSE)</f>
        <v>18.824000000000002</v>
      </c>
      <c r="AL126">
        <f>VLOOKUP($A126,'UN Treasury'!$A$1:$BQ$224,_xlfn.XMATCH(AL$1,'UN Treasury'!$A$1:$BQ$1,-1,1),FALSE)</f>
        <v>18.925999999999998</v>
      </c>
      <c r="AM126">
        <f>VLOOKUP($A126,'UN Treasury'!$A$1:$BQ$224,_xlfn.XMATCH(AM$1,'UN Treasury'!$A$1:$BQ$1,-1,1),FALSE)</f>
        <v>18.244</v>
      </c>
      <c r="AN126">
        <f>VLOOKUP($A126,'UN Treasury'!$A$1:$BQ$224,_xlfn.XMATCH(AN$1,'UN Treasury'!$A$1:$BQ$1,-1,1),FALSE)</f>
        <v>18.591999999999999</v>
      </c>
      <c r="AO126">
        <f>VLOOKUP($A126,'UN Treasury'!$A$1:$BQ$224,_xlfn.XMATCH(AO$1,'UN Treasury'!$A$1:$BQ$1,-1,1),FALSE)</f>
        <v>19.242000000000001</v>
      </c>
      <c r="AP126">
        <f>VLOOKUP($A126,'UN Treasury'!$A$1:$BQ$224,_xlfn.XMATCH(AP$1,'UN Treasury'!$A$1:$BQ$1,-1,1),FALSE)</f>
        <v>18.363</v>
      </c>
      <c r="AQ126">
        <f>VLOOKUP($A126,'UN Treasury'!$A$1:$BQ$224,_xlfn.XMATCH(AQ$1,'UN Treasury'!$A$1:$BQ$1,-1,1),FALSE)</f>
        <v>18.198</v>
      </c>
      <c r="AR126">
        <f>VLOOKUP($A126,'UN Treasury'!$A$1:$BQ$224,_xlfn.XMATCH(AR$1,'UN Treasury'!$A$1:$BQ$1,-1,1),FALSE)</f>
        <v>17.84</v>
      </c>
      <c r="AS126">
        <f>VLOOKUP($A126,'UN Treasury'!$A$1:$BQ$224,_xlfn.XMATCH(AS$1,'UN Treasury'!$A$1:$BQ$1,-1,1),FALSE)</f>
        <v>16.960999999999999</v>
      </c>
      <c r="AT126">
        <f>VLOOKUP($A126,'UN Treasury'!$A$1:$BQ$224,_xlfn.XMATCH(AT$1,'UN Treasury'!$A$1:$BQ$1,-1,1),FALSE)</f>
        <v>17.350999999999999</v>
      </c>
      <c r="AU126">
        <f>VLOOKUP($A126,'UN Treasury'!$A$1:$BQ$224,_xlfn.XMATCH(AU$1,'UN Treasury'!$A$1:$BQ$1,-1,1),FALSE)</f>
        <v>17.285</v>
      </c>
      <c r="AV126">
        <f>VLOOKUP($A126,'UN Treasury'!$A$1:$BQ$224,_xlfn.XMATCH(AV$1,'UN Treasury'!$A$1:$BQ$1,-1,1),FALSE)</f>
        <v>18.266999999999999</v>
      </c>
      <c r="AW126">
        <f>VLOOKUP($A126,'UN Treasury'!$A$1:$BQ$224,_xlfn.XMATCH(AW$1,'UN Treasury'!$A$1:$BQ$1,-1,1),FALSE)</f>
        <v>17.346</v>
      </c>
      <c r="AX126">
        <f>VLOOKUP($A126,'UN Treasury'!$A$1:$BQ$224,_xlfn.XMATCH(AX$1,'UN Treasury'!$A$1:$BQ$1,-1,1),FALSE)</f>
        <v>16.141999999999999</v>
      </c>
      <c r="AY126">
        <f>VLOOKUP($A126,'UN Treasury'!$A$1:$BQ$224,_xlfn.XMATCH(AY$1,'UN Treasury'!$A$1:$BQ$1,-1,1),FALSE)</f>
        <v>16.997</v>
      </c>
      <c r="AZ126">
        <f>VLOOKUP($A126,'UN Treasury'!$A$1:$BQ$224,_xlfn.XMATCH(AZ$1,'UN Treasury'!$A$1:$BQ$1,-1,1),FALSE)</f>
        <v>16.134</v>
      </c>
      <c r="BA126">
        <f>VLOOKUP($A126,'UN Treasury'!$A$1:$BQ$224,_xlfn.XMATCH(BA$1,'UN Treasury'!$A$1:$BQ$1,-1,1),FALSE)</f>
        <v>16.058</v>
      </c>
      <c r="BB126">
        <f>VLOOKUP($A126,'UN Treasury'!$A$1:$BQ$224,_xlfn.XMATCH(BB$1,'UN Treasury'!$A$1:$BQ$1,-1,1),FALSE)</f>
        <v>14.504</v>
      </c>
      <c r="BC126">
        <f>VLOOKUP($A126,'UN Treasury'!$A$1:$BQ$224,_xlfn.XMATCH(BC$1,'UN Treasury'!$A$1:$BQ$1,-1,1),FALSE)</f>
        <v>15.023</v>
      </c>
      <c r="BD126">
        <f>VLOOKUP($A126,'UN Treasury'!$A$1:$BQ$224,_xlfn.XMATCH(BD$1,'UN Treasury'!$A$1:$BQ$1,-1,1),FALSE)</f>
        <v>15.112</v>
      </c>
      <c r="BE126">
        <f>VLOOKUP($A126,'UN Treasury'!$A$1:$BQ$224,_xlfn.XMATCH(BE$1,'UN Treasury'!$A$1:$BQ$1,-1,1),FALSE)</f>
        <v>15.377000000000001</v>
      </c>
      <c r="BF126">
        <f>VLOOKUP($A126,'UN Treasury'!$A$1:$BQ$224,_xlfn.XMATCH(BF$1,'UN Treasury'!$A$1:$BQ$1,-1,1),FALSE)</f>
        <v>16.152999999999999</v>
      </c>
      <c r="BG126">
        <f>VLOOKUP($A126,'UN Treasury'!$A$1:$BQ$224,_xlfn.XMATCH(BG$1,'UN Treasury'!$A$1:$BQ$1,-1,1),FALSE)</f>
        <v>15.255000000000001</v>
      </c>
      <c r="BH126">
        <f>VLOOKUP($A126,'UN Treasury'!$A$1:$BQ$224,_xlfn.XMATCH(BH$1,'UN Treasury'!$A$1:$BQ$1,-1,1),FALSE)</f>
        <v>15.146000000000001</v>
      </c>
      <c r="BI126">
        <f>VLOOKUP($A126,'UN Treasury'!$A$1:$BQ$224,_xlfn.XMATCH(BI$1,'UN Treasury'!$A$1:$BQ$1,-1,1),FALSE)</f>
        <v>14.137</v>
      </c>
      <c r="BJ126">
        <f>VLOOKUP($A126,'UN Treasury'!$A$1:$BQ$224,_xlfn.XMATCH(BJ$1,'UN Treasury'!$A$1:$BQ$1,-1,1),FALSE)</f>
        <v>14.606</v>
      </c>
      <c r="BK126">
        <f>VLOOKUP($A126,'UN Treasury'!$A$1:$BQ$224,_xlfn.XMATCH(BK$1,'UN Treasury'!$A$1:$BQ$1,-1,1),FALSE)</f>
        <v>14.24</v>
      </c>
      <c r="BL126">
        <f>VLOOKUP($A126,'UN Treasury'!$A$1:$BQ$224,_xlfn.XMATCH(BL$1,'UN Treasury'!$A$1:$BQ$1,-1,1),FALSE)</f>
        <v>13.733000000000001</v>
      </c>
      <c r="BM126">
        <f>VLOOKUP($A126,'UN Treasury'!$A$1:$BQ$224,_xlfn.XMATCH(BM$1,'UN Treasury'!$A$1:$BQ$1,-1,1),FALSE)</f>
        <v>14.356</v>
      </c>
      <c r="BN126">
        <f>VLOOKUP($A126,'UN Treasury'!$A$1:$BQ$224,_xlfn.XMATCH(BN$1,'UN Treasury'!$A$1:$BQ$1,-1,1),FALSE)</f>
        <v>14.935</v>
      </c>
      <c r="BO126">
        <f>VLOOKUP($A126,'UN Treasury'!$A$1:$BQ$224,_xlfn.XMATCH(BO$1,'UN Treasury'!$A$1:$BQ$1,-1,1),FALSE)</f>
        <v>14.93</v>
      </c>
      <c r="BP126">
        <f>VLOOKUP($A126,'UN Treasury'!$A$1:$BQ$224,_xlfn.XMATCH(BP$1,'UN Treasury'!$A$1:$BQ$1,-1,1),FALSE)</f>
        <v>14.628</v>
      </c>
      <c r="BQ126">
        <f>VLOOKUP($A126,'UN Treasury'!$A$1:$BQ$224,_xlfn.XMATCH(BQ$1,'UN Treasury'!$A$1:$BQ$1,-1,1),FALSE)</f>
        <v>15.241</v>
      </c>
    </row>
    <row r="127" spans="1:69" x14ac:dyDescent="0.25">
      <c r="A127" t="s">
        <v>270</v>
      </c>
      <c r="B127">
        <f>VLOOKUP($A127,'UN Treasury'!$A$1:$BQ$224,_xlfn.XMATCH(B$1,'UN Treasury'!$A$1:$BQ$1,-1,1),FALSE)</f>
        <v>33.119999999999997</v>
      </c>
      <c r="C127">
        <f>VLOOKUP($A127,'UN Treasury'!$A$1:$BQ$224,_xlfn.XMATCH(C$1,'UN Treasury'!$A$1:$BQ$1,-1,1),FALSE)</f>
        <v>33.340000000000003</v>
      </c>
      <c r="D127">
        <f>VLOOKUP($A127,'UN Treasury'!$A$1:$BQ$224,_xlfn.XMATCH(D$1,'UN Treasury'!$A$1:$BQ$1,-1,1),FALSE)</f>
        <v>32.94</v>
      </c>
      <c r="E127">
        <f>VLOOKUP($A127,'UN Treasury'!$A$1:$BQ$224,_xlfn.XMATCH(E$1,'UN Treasury'!$A$1:$BQ$1,-1,1),FALSE)</f>
        <v>32.340000000000003</v>
      </c>
      <c r="F127">
        <f>VLOOKUP($A127,'UN Treasury'!$A$1:$BQ$224,_xlfn.XMATCH(F$1,'UN Treasury'!$A$1:$BQ$1,-1,1),FALSE)</f>
        <v>32.17</v>
      </c>
      <c r="G127">
        <f>VLOOKUP($A127,'UN Treasury'!$A$1:$BQ$224,_xlfn.XMATCH(G$1,'UN Treasury'!$A$1:$BQ$1,-1,1),FALSE)</f>
        <v>32.03</v>
      </c>
      <c r="H127">
        <f>VLOOKUP($A127,'UN Treasury'!$A$1:$BQ$224,_xlfn.XMATCH(H$1,'UN Treasury'!$A$1:$BQ$1,-1,1),FALSE)</f>
        <v>30.974</v>
      </c>
      <c r="I127">
        <f>VLOOKUP($A127,'UN Treasury'!$A$1:$BQ$224,_xlfn.XMATCH(I$1,'UN Treasury'!$A$1:$BQ$1,-1,1),FALSE)</f>
        <v>31.474</v>
      </c>
      <c r="J127">
        <f>VLOOKUP($A127,'UN Treasury'!$A$1:$BQ$224,_xlfn.XMATCH(J$1,'UN Treasury'!$A$1:$BQ$1,-1,1),FALSE)</f>
        <v>31.684999999999999</v>
      </c>
      <c r="K127">
        <f>VLOOKUP($A127,'UN Treasury'!$A$1:$BQ$224,_xlfn.XMATCH(K$1,'UN Treasury'!$A$1:$BQ$1,-1,1),FALSE)</f>
        <v>32.454000000000001</v>
      </c>
      <c r="L127">
        <f>VLOOKUP($A127,'UN Treasury'!$A$1:$BQ$224,_xlfn.XMATCH(L$1,'UN Treasury'!$A$1:$BQ$1,-1,1),FALSE)</f>
        <v>32.72</v>
      </c>
      <c r="M127">
        <f>VLOOKUP($A127,'UN Treasury'!$A$1:$BQ$224,_xlfn.XMATCH(M$1,'UN Treasury'!$A$1:$BQ$1,-1,1),FALSE)</f>
        <v>31.84</v>
      </c>
      <c r="N127">
        <f>VLOOKUP($A127,'UN Treasury'!$A$1:$BQ$224,_xlfn.XMATCH(N$1,'UN Treasury'!$A$1:$BQ$1,-1,1),FALSE)</f>
        <v>32.26</v>
      </c>
      <c r="O127">
        <f>VLOOKUP($A127,'UN Treasury'!$A$1:$BQ$224,_xlfn.XMATCH(O$1,'UN Treasury'!$A$1:$BQ$1,-1,1),FALSE)</f>
        <v>32.4</v>
      </c>
      <c r="P127">
        <f>VLOOKUP($A127,'UN Treasury'!$A$1:$BQ$224,_xlfn.XMATCH(P$1,'UN Treasury'!$A$1:$BQ$1,-1,1),FALSE)</f>
        <v>32.58</v>
      </c>
      <c r="Q127">
        <f>VLOOKUP($A127,'UN Treasury'!$A$1:$BQ$224,_xlfn.XMATCH(Q$1,'UN Treasury'!$A$1:$BQ$1,-1,1),FALSE)</f>
        <v>33.26</v>
      </c>
      <c r="R127">
        <f>VLOOKUP($A127,'UN Treasury'!$A$1:$BQ$224,_xlfn.XMATCH(R$1,'UN Treasury'!$A$1:$BQ$1,-1,1),FALSE)</f>
        <v>33.49</v>
      </c>
      <c r="S127">
        <f>VLOOKUP($A127,'UN Treasury'!$A$1:$BQ$224,_xlfn.XMATCH(S$1,'UN Treasury'!$A$1:$BQ$1,-1,1),FALSE)</f>
        <v>33.840000000000003</v>
      </c>
      <c r="T127">
        <f>VLOOKUP($A127,'UN Treasury'!$A$1:$BQ$224,_xlfn.XMATCH(T$1,'UN Treasury'!$A$1:$BQ$1,-1,1),FALSE)</f>
        <v>34.19</v>
      </c>
      <c r="U127">
        <f>VLOOKUP($A127,'UN Treasury'!$A$1:$BQ$224,_xlfn.XMATCH(U$1,'UN Treasury'!$A$1:$BQ$1,-1,1),FALSE)</f>
        <v>34.76</v>
      </c>
      <c r="V127">
        <f>VLOOKUP($A127,'UN Treasury'!$A$1:$BQ$224,_xlfn.XMATCH(V$1,'UN Treasury'!$A$1:$BQ$1,-1,1),FALSE)</f>
        <v>33.82</v>
      </c>
      <c r="W127">
        <f>VLOOKUP($A127,'UN Treasury'!$A$1:$BQ$224,_xlfn.XMATCH(W$1,'UN Treasury'!$A$1:$BQ$1,-1,1),FALSE)</f>
        <v>34.76</v>
      </c>
      <c r="X127">
        <f>VLOOKUP($A127,'UN Treasury'!$A$1:$BQ$224,_xlfn.XMATCH(X$1,'UN Treasury'!$A$1:$BQ$1,-1,1),FALSE)</f>
        <v>33.21</v>
      </c>
      <c r="Y127">
        <f>VLOOKUP($A127,'UN Treasury'!$A$1:$BQ$224,_xlfn.XMATCH(Y$1,'UN Treasury'!$A$1:$BQ$1,-1,1),FALSE)</f>
        <v>33.75</v>
      </c>
      <c r="Z127">
        <f>VLOOKUP($A127,'UN Treasury'!$A$1:$BQ$224,_xlfn.XMATCH(Z$1,'UN Treasury'!$A$1:$BQ$1,-1,1),FALSE)</f>
        <v>35.03</v>
      </c>
      <c r="AA127">
        <f>VLOOKUP($A127,'UN Treasury'!$A$1:$BQ$224,_xlfn.XMATCH(AA$1,'UN Treasury'!$A$1:$BQ$1,-1,1),FALSE)</f>
        <v>36.119999999999997</v>
      </c>
      <c r="AB127">
        <f>VLOOKUP($A127,'UN Treasury'!$A$1:$BQ$224,_xlfn.XMATCH(AB$1,'UN Treasury'!$A$1:$BQ$1,-1,1),FALSE)</f>
        <v>36.450000000000003</v>
      </c>
      <c r="AC127">
        <f>VLOOKUP($A127,'UN Treasury'!$A$1:$BQ$224,_xlfn.XMATCH(AC$1,'UN Treasury'!$A$1:$BQ$1,-1,1),FALSE)</f>
        <v>36.79</v>
      </c>
      <c r="AD127">
        <f>VLOOKUP($A127,'UN Treasury'!$A$1:$BQ$224,_xlfn.XMATCH(AD$1,'UN Treasury'!$A$1:$BQ$1,-1,1),FALSE)</f>
        <v>36.53</v>
      </c>
      <c r="AE127">
        <f>VLOOKUP($A127,'UN Treasury'!$A$1:$BQ$224,_xlfn.XMATCH(AE$1,'UN Treasury'!$A$1:$BQ$1,-1,1),FALSE)</f>
        <v>35.72</v>
      </c>
      <c r="AF127">
        <f>VLOOKUP($A127,'UN Treasury'!$A$1:$BQ$224,_xlfn.XMATCH(AF$1,'UN Treasury'!$A$1:$BQ$1,-1,1),FALSE)</f>
        <v>35.71</v>
      </c>
      <c r="AG127">
        <f>VLOOKUP($A127,'UN Treasury'!$A$1:$BQ$224,_xlfn.XMATCH(AG$1,'UN Treasury'!$A$1:$BQ$1,-1,1),FALSE)</f>
        <v>35.090000000000003</v>
      </c>
      <c r="AH127">
        <f>VLOOKUP($A127,'UN Treasury'!$A$1:$BQ$224,_xlfn.XMATCH(AH$1,'UN Treasury'!$A$1:$BQ$1,-1,1),FALSE)</f>
        <v>35.729999999999997</v>
      </c>
      <c r="AI127">
        <f>VLOOKUP($A127,'UN Treasury'!$A$1:$BQ$224,_xlfn.XMATCH(AI$1,'UN Treasury'!$A$1:$BQ$1,-1,1),FALSE)</f>
        <v>36.049999999999997</v>
      </c>
      <c r="AJ127">
        <f>VLOOKUP($A127,'UN Treasury'!$A$1:$BQ$224,_xlfn.XMATCH(AJ$1,'UN Treasury'!$A$1:$BQ$1,-1,1),FALSE)</f>
        <v>36.35</v>
      </c>
      <c r="AK127">
        <f>VLOOKUP($A127,'UN Treasury'!$A$1:$BQ$224,_xlfn.XMATCH(AK$1,'UN Treasury'!$A$1:$BQ$1,-1,1),FALSE)</f>
        <v>35.69</v>
      </c>
      <c r="AL127">
        <f>VLOOKUP($A127,'UN Treasury'!$A$1:$BQ$224,_xlfn.XMATCH(AL$1,'UN Treasury'!$A$1:$BQ$1,-1,1),FALSE)</f>
        <v>35.049999999999997</v>
      </c>
      <c r="AM127">
        <f>VLOOKUP($A127,'UN Treasury'!$A$1:$BQ$224,_xlfn.XMATCH(AM$1,'UN Treasury'!$A$1:$BQ$1,-1,1),FALSE)</f>
        <v>34.71</v>
      </c>
      <c r="AN127">
        <f>VLOOKUP($A127,'UN Treasury'!$A$1:$BQ$224,_xlfn.XMATCH(AN$1,'UN Treasury'!$A$1:$BQ$1,-1,1),FALSE)</f>
        <v>34.56</v>
      </c>
      <c r="AO127">
        <f>VLOOKUP($A127,'UN Treasury'!$A$1:$BQ$224,_xlfn.XMATCH(AO$1,'UN Treasury'!$A$1:$BQ$1,-1,1),FALSE)</f>
        <v>33.81</v>
      </c>
      <c r="AP127">
        <f>VLOOKUP($A127,'UN Treasury'!$A$1:$BQ$224,_xlfn.XMATCH(AP$1,'UN Treasury'!$A$1:$BQ$1,-1,1),FALSE)</f>
        <v>34.19</v>
      </c>
      <c r="AQ127">
        <f>VLOOKUP($A127,'UN Treasury'!$A$1:$BQ$224,_xlfn.XMATCH(AQ$1,'UN Treasury'!$A$1:$BQ$1,-1,1),FALSE)</f>
        <v>34.53</v>
      </c>
      <c r="AR127">
        <f>VLOOKUP($A127,'UN Treasury'!$A$1:$BQ$224,_xlfn.XMATCH(AR$1,'UN Treasury'!$A$1:$BQ$1,-1,1),FALSE)</f>
        <v>33.880000000000003</v>
      </c>
      <c r="AS127">
        <f>VLOOKUP($A127,'UN Treasury'!$A$1:$BQ$224,_xlfn.XMATCH(AS$1,'UN Treasury'!$A$1:$BQ$1,-1,1),FALSE)</f>
        <v>33.340000000000003</v>
      </c>
      <c r="AT127">
        <f>VLOOKUP($A127,'UN Treasury'!$A$1:$BQ$224,_xlfn.XMATCH(AT$1,'UN Treasury'!$A$1:$BQ$1,-1,1),FALSE)</f>
        <v>34.56</v>
      </c>
      <c r="AU127">
        <f>VLOOKUP($A127,'UN Treasury'!$A$1:$BQ$224,_xlfn.XMATCH(AU$1,'UN Treasury'!$A$1:$BQ$1,-1,1),FALSE)</f>
        <v>35.97</v>
      </c>
      <c r="AV127">
        <f>VLOOKUP($A127,'UN Treasury'!$A$1:$BQ$224,_xlfn.XMATCH(AV$1,'UN Treasury'!$A$1:$BQ$1,-1,1),FALSE)</f>
        <v>38</v>
      </c>
      <c r="AW127">
        <f>VLOOKUP($A127,'UN Treasury'!$A$1:$BQ$224,_xlfn.XMATCH(AW$1,'UN Treasury'!$A$1:$BQ$1,-1,1),FALSE)</f>
        <v>36.26</v>
      </c>
      <c r="AX127">
        <f>VLOOKUP($A127,'UN Treasury'!$A$1:$BQ$224,_xlfn.XMATCH(AX$1,'UN Treasury'!$A$1:$BQ$1,-1,1),FALSE)</f>
        <v>35.090000000000003</v>
      </c>
      <c r="AY127">
        <f>VLOOKUP($A127,'UN Treasury'!$A$1:$BQ$224,_xlfn.XMATCH(AY$1,'UN Treasury'!$A$1:$BQ$1,-1,1),FALSE)</f>
        <v>36.26</v>
      </c>
      <c r="AZ127">
        <f>VLOOKUP($A127,'UN Treasury'!$A$1:$BQ$224,_xlfn.XMATCH(AZ$1,'UN Treasury'!$A$1:$BQ$1,-1,1),FALSE)</f>
        <v>34.89</v>
      </c>
      <c r="BA127">
        <f>VLOOKUP($A127,'UN Treasury'!$A$1:$BQ$224,_xlfn.XMATCH(BA$1,'UN Treasury'!$A$1:$BQ$1,-1,1),FALSE)</f>
        <v>34.58</v>
      </c>
      <c r="BB127">
        <f>VLOOKUP($A127,'UN Treasury'!$A$1:$BQ$224,_xlfn.XMATCH(BB$1,'UN Treasury'!$A$1:$BQ$1,-1,1),FALSE)</f>
        <v>33.53</v>
      </c>
      <c r="BC127">
        <f>VLOOKUP($A127,'UN Treasury'!$A$1:$BQ$224,_xlfn.XMATCH(BC$1,'UN Treasury'!$A$1:$BQ$1,-1,1),FALSE)</f>
        <v>33.29</v>
      </c>
      <c r="BD127">
        <f>VLOOKUP($A127,'UN Treasury'!$A$1:$BQ$224,_xlfn.XMATCH(BD$1,'UN Treasury'!$A$1:$BQ$1,-1,1),FALSE)</f>
        <v>32.67</v>
      </c>
      <c r="BE127">
        <f>VLOOKUP($A127,'UN Treasury'!$A$1:$BQ$224,_xlfn.XMATCH(BE$1,'UN Treasury'!$A$1:$BQ$1,-1,1),FALSE)</f>
        <v>33.31</v>
      </c>
      <c r="BF127">
        <f>VLOOKUP($A127,'UN Treasury'!$A$1:$BQ$224,_xlfn.XMATCH(BF$1,'UN Treasury'!$A$1:$BQ$1,-1,1),FALSE)</f>
        <v>33.71</v>
      </c>
      <c r="BG127">
        <f>VLOOKUP($A127,'UN Treasury'!$A$1:$BQ$224,_xlfn.XMATCH(BG$1,'UN Treasury'!$A$1:$BQ$1,-1,1),FALSE)</f>
        <v>33.21</v>
      </c>
      <c r="BH127">
        <f>VLOOKUP($A127,'UN Treasury'!$A$1:$BQ$224,_xlfn.XMATCH(BH$1,'UN Treasury'!$A$1:$BQ$1,-1,1),FALSE)</f>
        <v>33.880000000000003</v>
      </c>
      <c r="BI127">
        <f>VLOOKUP($A127,'UN Treasury'!$A$1:$BQ$224,_xlfn.XMATCH(BI$1,'UN Treasury'!$A$1:$BQ$1,-1,1),FALSE)</f>
        <v>32.46</v>
      </c>
      <c r="BJ127">
        <f>VLOOKUP($A127,'UN Treasury'!$A$1:$BQ$224,_xlfn.XMATCH(BJ$1,'UN Treasury'!$A$1:$BQ$1,-1,1),FALSE)</f>
        <v>32.86</v>
      </c>
      <c r="BK127">
        <f>VLOOKUP($A127,'UN Treasury'!$A$1:$BQ$224,_xlfn.XMATCH(BK$1,'UN Treasury'!$A$1:$BQ$1,-1,1),FALSE)</f>
        <v>31.97</v>
      </c>
      <c r="BL127">
        <f>VLOOKUP($A127,'UN Treasury'!$A$1:$BQ$224,_xlfn.XMATCH(BL$1,'UN Treasury'!$A$1:$BQ$1,-1,1),FALSE)</f>
        <v>31.28</v>
      </c>
      <c r="BM127">
        <f>VLOOKUP($A127,'UN Treasury'!$A$1:$BQ$224,_xlfn.XMATCH(BM$1,'UN Treasury'!$A$1:$BQ$1,-1,1),FALSE)</f>
        <v>31.25</v>
      </c>
      <c r="BN127">
        <f>VLOOKUP($A127,'UN Treasury'!$A$1:$BQ$224,_xlfn.XMATCH(BN$1,'UN Treasury'!$A$1:$BQ$1,-1,1),FALSE)</f>
        <v>31.3</v>
      </c>
      <c r="BO127">
        <f>VLOOKUP($A127,'UN Treasury'!$A$1:$BQ$224,_xlfn.XMATCH(BO$1,'UN Treasury'!$A$1:$BQ$1,-1,1),FALSE)</f>
        <v>30.15</v>
      </c>
      <c r="BP127">
        <f>VLOOKUP($A127,'UN Treasury'!$A$1:$BQ$224,_xlfn.XMATCH(BP$1,'UN Treasury'!$A$1:$BQ$1,-1,1),FALSE)</f>
        <v>29.97</v>
      </c>
      <c r="BQ127">
        <f>VLOOKUP($A127,'UN Treasury'!$A$1:$BQ$224,_xlfn.XMATCH(BQ$1,'UN Treasury'!$A$1:$BQ$1,-1,1),FALSE)</f>
        <v>30.04</v>
      </c>
    </row>
    <row r="128" spans="1:69" x14ac:dyDescent="0.25">
      <c r="A128" t="s">
        <v>272</v>
      </c>
      <c r="B128">
        <f>VLOOKUP($A128,'UN Treasury'!$A$1:$BQ$224,_xlfn.XMATCH(B$1,'UN Treasury'!$A$1:$BQ$1,-1,1),FALSE)</f>
        <v>9.1460000000000008</v>
      </c>
      <c r="C128">
        <f>VLOOKUP($A128,'UN Treasury'!$A$1:$BQ$224,_xlfn.XMATCH(C$1,'UN Treasury'!$A$1:$BQ$1,-1,1),FALSE)</f>
        <v>9.1890000000000001</v>
      </c>
      <c r="D128">
        <f>VLOOKUP($A128,'UN Treasury'!$A$1:$BQ$224,_xlfn.XMATCH(D$1,'UN Treasury'!$A$1:$BQ$1,-1,1),FALSE)</f>
        <v>9.2370000000000001</v>
      </c>
      <c r="E128">
        <f>VLOOKUP($A128,'UN Treasury'!$A$1:$BQ$224,_xlfn.XMATCH(E$1,'UN Treasury'!$A$1:$BQ$1,-1,1),FALSE)</f>
        <v>9.2850000000000001</v>
      </c>
      <c r="F128">
        <f>VLOOKUP($A128,'UN Treasury'!$A$1:$BQ$224,_xlfn.XMATCH(F$1,'UN Treasury'!$A$1:$BQ$1,-1,1),FALSE)</f>
        <v>9.4830000000000005</v>
      </c>
      <c r="G128">
        <f>VLOOKUP($A128,'UN Treasury'!$A$1:$BQ$224,_xlfn.XMATCH(G$1,'UN Treasury'!$A$1:$BQ$1,-1,1),FALSE)</f>
        <v>9.4589999999999996</v>
      </c>
      <c r="H128">
        <f>VLOOKUP($A128,'UN Treasury'!$A$1:$BQ$224,_xlfn.XMATCH(H$1,'UN Treasury'!$A$1:$BQ$1,-1,1),FALSE)</f>
        <v>9.32</v>
      </c>
      <c r="I128">
        <f>VLOOKUP($A128,'UN Treasury'!$A$1:$BQ$224,_xlfn.XMATCH(I$1,'UN Treasury'!$A$1:$BQ$1,-1,1),FALSE)</f>
        <v>9.266</v>
      </c>
      <c r="J128">
        <f>VLOOKUP($A128,'UN Treasury'!$A$1:$BQ$224,_xlfn.XMATCH(J$1,'UN Treasury'!$A$1:$BQ$1,-1,1),FALSE)</f>
        <v>9.2319999999999993</v>
      </c>
      <c r="K128">
        <f>VLOOKUP($A128,'UN Treasury'!$A$1:$BQ$224,_xlfn.XMATCH(K$1,'UN Treasury'!$A$1:$BQ$1,-1,1),FALSE)</f>
        <v>9.2759999999999998</v>
      </c>
      <c r="L128">
        <f>VLOOKUP($A128,'UN Treasury'!$A$1:$BQ$224,_xlfn.XMATCH(L$1,'UN Treasury'!$A$1:$BQ$1,-1,1),FALSE)</f>
        <v>9.3149999999999995</v>
      </c>
      <c r="M128">
        <f>VLOOKUP($A128,'UN Treasury'!$A$1:$BQ$224,_xlfn.XMATCH(M$1,'UN Treasury'!$A$1:$BQ$1,-1,1),FALSE)</f>
        <v>9.4600000000000009</v>
      </c>
      <c r="N128">
        <f>VLOOKUP($A128,'UN Treasury'!$A$1:$BQ$224,_xlfn.XMATCH(N$1,'UN Treasury'!$A$1:$BQ$1,-1,1),FALSE)</f>
        <v>9.3789999999999996</v>
      </c>
      <c r="O128">
        <f>VLOOKUP($A128,'UN Treasury'!$A$1:$BQ$224,_xlfn.XMATCH(O$1,'UN Treasury'!$A$1:$BQ$1,-1,1),FALSE)</f>
        <v>9.7330000000000005</v>
      </c>
      <c r="P128">
        <f>VLOOKUP($A128,'UN Treasury'!$A$1:$BQ$224,_xlfn.XMATCH(P$1,'UN Treasury'!$A$1:$BQ$1,-1,1),FALSE)</f>
        <v>9.85</v>
      </c>
      <c r="Q128">
        <f>VLOOKUP($A128,'UN Treasury'!$A$1:$BQ$224,_xlfn.XMATCH(Q$1,'UN Treasury'!$A$1:$BQ$1,-1,1),FALSE)</f>
        <v>10.406000000000001</v>
      </c>
      <c r="R128">
        <f>VLOOKUP($A128,'UN Treasury'!$A$1:$BQ$224,_xlfn.XMATCH(R$1,'UN Treasury'!$A$1:$BQ$1,-1,1),FALSE)</f>
        <v>10.885999999999999</v>
      </c>
      <c r="S128">
        <f>VLOOKUP($A128,'UN Treasury'!$A$1:$BQ$224,_xlfn.XMATCH(S$1,'UN Treasury'!$A$1:$BQ$1,-1,1),FALSE)</f>
        <v>10.949</v>
      </c>
      <c r="T128">
        <f>VLOOKUP($A128,'UN Treasury'!$A$1:$BQ$224,_xlfn.XMATCH(T$1,'UN Treasury'!$A$1:$BQ$1,-1,1),FALSE)</f>
        <v>10.942</v>
      </c>
      <c r="U128">
        <f>VLOOKUP($A128,'UN Treasury'!$A$1:$BQ$224,_xlfn.XMATCH(U$1,'UN Treasury'!$A$1:$BQ$1,-1,1),FALSE)</f>
        <v>10.943</v>
      </c>
      <c r="V128">
        <f>VLOOKUP($A128,'UN Treasury'!$A$1:$BQ$224,_xlfn.XMATCH(V$1,'UN Treasury'!$A$1:$BQ$1,-1,1),FALSE)</f>
        <v>10.893000000000001</v>
      </c>
      <c r="W128">
        <f>VLOOKUP($A128,'UN Treasury'!$A$1:$BQ$224,_xlfn.XMATCH(W$1,'UN Treasury'!$A$1:$BQ$1,-1,1),FALSE)</f>
        <v>10.654999999999999</v>
      </c>
      <c r="X128">
        <f>VLOOKUP($A128,'UN Treasury'!$A$1:$BQ$224,_xlfn.XMATCH(X$1,'UN Treasury'!$A$1:$BQ$1,-1,1),FALSE)</f>
        <v>10.644</v>
      </c>
      <c r="Y128">
        <f>VLOOKUP($A128,'UN Treasury'!$A$1:$BQ$224,_xlfn.XMATCH(Y$1,'UN Treasury'!$A$1:$BQ$1,-1,1),FALSE)</f>
        <v>10.659000000000001</v>
      </c>
      <c r="Z128">
        <f>VLOOKUP($A128,'UN Treasury'!$A$1:$BQ$224,_xlfn.XMATCH(Z$1,'UN Treasury'!$A$1:$BQ$1,-1,1),FALSE)</f>
        <v>10.6</v>
      </c>
      <c r="AA128">
        <f>VLOOKUP($A128,'UN Treasury'!$A$1:$BQ$224,_xlfn.XMATCH(AA$1,'UN Treasury'!$A$1:$BQ$1,-1,1),FALSE)</f>
        <v>10.677</v>
      </c>
      <c r="AB128">
        <f>VLOOKUP($A128,'UN Treasury'!$A$1:$BQ$224,_xlfn.XMATCH(AB$1,'UN Treasury'!$A$1:$BQ$1,-1,1),FALSE)</f>
        <v>10.737</v>
      </c>
      <c r="AC128">
        <f>VLOOKUP($A128,'UN Treasury'!$A$1:$BQ$224,_xlfn.XMATCH(AC$1,'UN Treasury'!$A$1:$BQ$1,-1,1),FALSE)</f>
        <v>10.91</v>
      </c>
      <c r="AD128">
        <f>VLOOKUP($A128,'UN Treasury'!$A$1:$BQ$224,_xlfn.XMATCH(AD$1,'UN Treasury'!$A$1:$BQ$1,-1,1),FALSE)</f>
        <v>10.957000000000001</v>
      </c>
      <c r="AE128">
        <f>VLOOKUP($A128,'UN Treasury'!$A$1:$BQ$224,_xlfn.XMATCH(AE$1,'UN Treasury'!$A$1:$BQ$1,-1,1),FALSE)</f>
        <v>10.955</v>
      </c>
      <c r="AF128">
        <f>VLOOKUP($A128,'UN Treasury'!$A$1:$BQ$224,_xlfn.XMATCH(AF$1,'UN Treasury'!$A$1:$BQ$1,-1,1),FALSE)</f>
        <v>10.96</v>
      </c>
      <c r="AG128">
        <f>VLOOKUP($A128,'UN Treasury'!$A$1:$BQ$224,_xlfn.XMATCH(AG$1,'UN Treasury'!$A$1:$BQ$1,-1,1),FALSE)</f>
        <v>10.91</v>
      </c>
      <c r="AH128">
        <f>VLOOKUP($A128,'UN Treasury'!$A$1:$BQ$224,_xlfn.XMATCH(AH$1,'UN Treasury'!$A$1:$BQ$1,-1,1),FALSE)</f>
        <v>10.964</v>
      </c>
      <c r="AI128">
        <f>VLOOKUP($A128,'UN Treasury'!$A$1:$BQ$224,_xlfn.XMATCH(AI$1,'UN Treasury'!$A$1:$BQ$1,-1,1),FALSE)</f>
        <v>10.95</v>
      </c>
      <c r="AJ128">
        <f>VLOOKUP($A128,'UN Treasury'!$A$1:$BQ$224,_xlfn.XMATCH(AJ$1,'UN Treasury'!$A$1:$BQ$1,-1,1),FALSE)</f>
        <v>10.95</v>
      </c>
      <c r="AK128">
        <f>VLOOKUP($A128,'UN Treasury'!$A$1:$BQ$224,_xlfn.XMATCH(AK$1,'UN Treasury'!$A$1:$BQ$1,-1,1),FALSE)</f>
        <v>10.95</v>
      </c>
      <c r="AL128">
        <f>VLOOKUP($A128,'UN Treasury'!$A$1:$BQ$224,_xlfn.XMATCH(AL$1,'UN Treasury'!$A$1:$BQ$1,-1,1),FALSE)</f>
        <v>10.936999999999999</v>
      </c>
      <c r="AM128">
        <f>VLOOKUP($A128,'UN Treasury'!$A$1:$BQ$224,_xlfn.XMATCH(AM$1,'UN Treasury'!$A$1:$BQ$1,-1,1),FALSE)</f>
        <v>10.92</v>
      </c>
      <c r="AN128">
        <f>VLOOKUP($A128,'UN Treasury'!$A$1:$BQ$224,_xlfn.XMATCH(AN$1,'UN Treasury'!$A$1:$BQ$1,-1,1),FALSE)</f>
        <v>10.914</v>
      </c>
      <c r="AO128">
        <f>VLOOKUP($A128,'UN Treasury'!$A$1:$BQ$224,_xlfn.XMATCH(AO$1,'UN Treasury'!$A$1:$BQ$1,-1,1),FALSE)</f>
        <v>10.914</v>
      </c>
      <c r="AP128">
        <f>VLOOKUP($A128,'UN Treasury'!$A$1:$BQ$224,_xlfn.XMATCH(AP$1,'UN Treasury'!$A$1:$BQ$1,-1,1),FALSE)</f>
        <v>10.913</v>
      </c>
      <c r="AQ128">
        <f>VLOOKUP($A128,'UN Treasury'!$A$1:$BQ$224,_xlfn.XMATCH(AQ$1,'UN Treasury'!$A$1:$BQ$1,-1,1),FALSE)</f>
        <v>10.914</v>
      </c>
      <c r="AR128">
        <f>VLOOKUP($A128,'UN Treasury'!$A$1:$BQ$224,_xlfn.XMATCH(AR$1,'UN Treasury'!$A$1:$BQ$1,-1,1),FALSE)</f>
        <v>10.269</v>
      </c>
      <c r="AS128">
        <f>VLOOKUP($A128,'UN Treasury'!$A$1:$BQ$224,_xlfn.XMATCH(AS$1,'UN Treasury'!$A$1:$BQ$1,-1,1),FALSE)</f>
        <v>10.269</v>
      </c>
      <c r="AT128">
        <f>VLOOKUP($A128,'UN Treasury'!$A$1:$BQ$224,_xlfn.XMATCH(AT$1,'UN Treasury'!$A$1:$BQ$1,-1,1),FALSE)</f>
        <v>10.269</v>
      </c>
      <c r="AU128">
        <f>VLOOKUP($A128,'UN Treasury'!$A$1:$BQ$224,_xlfn.XMATCH(AU$1,'UN Treasury'!$A$1:$BQ$1,-1,1),FALSE)</f>
        <v>10.269</v>
      </c>
      <c r="AV128">
        <f>VLOOKUP($A128,'UN Treasury'!$A$1:$BQ$224,_xlfn.XMATCH(AV$1,'UN Treasury'!$A$1:$BQ$1,-1,1),FALSE)</f>
        <v>10.269</v>
      </c>
      <c r="AW128">
        <f>VLOOKUP($A128,'UN Treasury'!$A$1:$BQ$224,_xlfn.XMATCH(AW$1,'UN Treasury'!$A$1:$BQ$1,-1,1),FALSE)</f>
        <v>10.269</v>
      </c>
      <c r="AX128">
        <f>VLOOKUP($A128,'UN Treasury'!$A$1:$BQ$224,_xlfn.XMATCH(AX$1,'UN Treasury'!$A$1:$BQ$1,-1,1),FALSE)</f>
        <v>10.269</v>
      </c>
      <c r="AY128">
        <f>VLOOKUP($A128,'UN Treasury'!$A$1:$BQ$224,_xlfn.XMATCH(AY$1,'UN Treasury'!$A$1:$BQ$1,-1,1),FALSE)</f>
        <v>10.516</v>
      </c>
      <c r="AZ128">
        <f>VLOOKUP($A128,'UN Treasury'!$A$1:$BQ$224,_xlfn.XMATCH(AZ$1,'UN Treasury'!$A$1:$BQ$1,-1,1),FALSE)</f>
        <v>11.763</v>
      </c>
      <c r="BA128">
        <f>VLOOKUP($A128,'UN Treasury'!$A$1:$BQ$224,_xlfn.XMATCH(BA$1,'UN Treasury'!$A$1:$BQ$1,-1,1),FALSE)</f>
        <v>12.494999999999999</v>
      </c>
      <c r="BB128">
        <f>VLOOKUP($A128,'UN Treasury'!$A$1:$BQ$224,_xlfn.XMATCH(BB$1,'UN Treasury'!$A$1:$BQ$1,-1,1),FALSE)</f>
        <v>12.5</v>
      </c>
      <c r="BC128">
        <f>VLOOKUP($A128,'UN Treasury'!$A$1:$BQ$224,_xlfn.XMATCH(BC$1,'UN Treasury'!$A$1:$BQ$1,-1,1),FALSE)</f>
        <v>11.247</v>
      </c>
      <c r="BD128">
        <f>VLOOKUP($A128,'UN Treasury'!$A$1:$BQ$224,_xlfn.XMATCH(BD$1,'UN Treasury'!$A$1:$BQ$1,-1,1),FALSE)</f>
        <v>11.239000000000001</v>
      </c>
      <c r="BE128">
        <f>VLOOKUP($A128,'UN Treasury'!$A$1:$BQ$224,_xlfn.XMATCH(BE$1,'UN Treasury'!$A$1:$BQ$1,-1,1),FALSE)</f>
        <v>11.231999999999999</v>
      </c>
      <c r="BF128">
        <f>VLOOKUP($A128,'UN Treasury'!$A$1:$BQ$224,_xlfn.XMATCH(BF$1,'UN Treasury'!$A$1:$BQ$1,-1,1),FALSE)</f>
        <v>11.231</v>
      </c>
      <c r="BG128">
        <f>VLOOKUP($A128,'UN Treasury'!$A$1:$BQ$224,_xlfn.XMATCH(BG$1,'UN Treasury'!$A$1:$BQ$1,-1,1),FALSE)</f>
        <v>11.236000000000001</v>
      </c>
      <c r="BH128">
        <f>VLOOKUP($A128,'UN Treasury'!$A$1:$BQ$224,_xlfn.XMATCH(BH$1,'UN Treasury'!$A$1:$BQ$1,-1,1),FALSE)</f>
        <v>11.263999999999999</v>
      </c>
      <c r="BI128">
        <f>VLOOKUP($A128,'UN Treasury'!$A$1:$BQ$224,_xlfn.XMATCH(BI$1,'UN Treasury'!$A$1:$BQ$1,-1,1),FALSE)</f>
        <v>11.273</v>
      </c>
      <c r="BJ128">
        <f>VLOOKUP($A128,'UN Treasury'!$A$1:$BQ$224,_xlfn.XMATCH(BJ$1,'UN Treasury'!$A$1:$BQ$1,-1,1),FALSE)</f>
        <v>11.29</v>
      </c>
      <c r="BK128">
        <f>VLOOKUP($A128,'UN Treasury'!$A$1:$BQ$224,_xlfn.XMATCH(BK$1,'UN Treasury'!$A$1:$BQ$1,-1,1),FALSE)</f>
        <v>11.298</v>
      </c>
      <c r="BL128">
        <f>VLOOKUP($A128,'UN Treasury'!$A$1:$BQ$224,_xlfn.XMATCH(BL$1,'UN Treasury'!$A$1:$BQ$1,-1,1),FALSE)</f>
        <v>11.308999999999999</v>
      </c>
      <c r="BM128">
        <f>VLOOKUP($A128,'UN Treasury'!$A$1:$BQ$224,_xlfn.XMATCH(BM$1,'UN Treasury'!$A$1:$BQ$1,-1,1),FALSE)</f>
        <v>11.297000000000001</v>
      </c>
      <c r="BN128">
        <f>VLOOKUP($A128,'UN Treasury'!$A$1:$BQ$224,_xlfn.XMATCH(BN$1,'UN Treasury'!$A$1:$BQ$1,-1,1),FALSE)</f>
        <v>11.298999999999999</v>
      </c>
      <c r="BO128">
        <f>VLOOKUP($A128,'UN Treasury'!$A$1:$BQ$224,_xlfn.XMATCH(BO$1,'UN Treasury'!$A$1:$BQ$1,-1,1),FALSE)</f>
        <v>11.292999999999999</v>
      </c>
      <c r="BP128">
        <f>VLOOKUP($A128,'UN Treasury'!$A$1:$BQ$224,_xlfn.XMATCH(BP$1,'UN Treasury'!$A$1:$BQ$1,-1,1),FALSE)</f>
        <v>11.278</v>
      </c>
      <c r="BQ128">
        <f>VLOOKUP($A128,'UN Treasury'!$A$1:$BQ$224,_xlfn.XMATCH(BQ$1,'UN Treasury'!$A$1:$BQ$1,-1,1),FALSE)</f>
        <v>11.3</v>
      </c>
    </row>
    <row r="129" spans="1:69" x14ac:dyDescent="0.25">
      <c r="A129" t="s">
        <v>274</v>
      </c>
      <c r="B129">
        <f>VLOOKUP($A129,'UN Treasury'!$A$1:$BQ$224,_xlfn.XMATCH(B$1,'UN Treasury'!$A$1:$BQ$1,-1,1),FALSE)</f>
        <v>3.5</v>
      </c>
      <c r="C129">
        <f>VLOOKUP($A129,'UN Treasury'!$A$1:$BQ$224,_xlfn.XMATCH(C$1,'UN Treasury'!$A$1:$BQ$1,-1,1),FALSE)</f>
        <v>3.5</v>
      </c>
      <c r="D129">
        <f>VLOOKUP($A129,'UN Treasury'!$A$1:$BQ$224,_xlfn.XMATCH(D$1,'UN Treasury'!$A$1:$BQ$1,-1,1),FALSE)</f>
        <v>3.5</v>
      </c>
      <c r="E129">
        <f>VLOOKUP($A129,'UN Treasury'!$A$1:$BQ$224,_xlfn.XMATCH(E$1,'UN Treasury'!$A$1:$BQ$1,-1,1),FALSE)</f>
        <v>3.5</v>
      </c>
      <c r="F129">
        <f>VLOOKUP($A129,'UN Treasury'!$A$1:$BQ$224,_xlfn.XMATCH(F$1,'UN Treasury'!$A$1:$BQ$1,-1,1),FALSE)</f>
        <v>3.5</v>
      </c>
      <c r="G129">
        <f>VLOOKUP($A129,'UN Treasury'!$A$1:$BQ$224,_xlfn.XMATCH(G$1,'UN Treasury'!$A$1:$BQ$1,-1,1),FALSE)</f>
        <v>3.5</v>
      </c>
      <c r="H129">
        <f>VLOOKUP($A129,'UN Treasury'!$A$1:$BQ$224,_xlfn.XMATCH(H$1,'UN Treasury'!$A$1:$BQ$1,-1,1),FALSE)</f>
        <v>3.5</v>
      </c>
      <c r="I129">
        <f>VLOOKUP($A129,'UN Treasury'!$A$1:$BQ$224,_xlfn.XMATCH(I$1,'UN Treasury'!$A$1:$BQ$1,-1,1),FALSE)</f>
        <v>3.5</v>
      </c>
      <c r="J129">
        <f>VLOOKUP($A129,'UN Treasury'!$A$1:$BQ$224,_xlfn.XMATCH(J$1,'UN Treasury'!$A$1:$BQ$1,-1,1),FALSE)</f>
        <v>3.5</v>
      </c>
      <c r="K129">
        <f>VLOOKUP($A129,'UN Treasury'!$A$1:$BQ$224,_xlfn.XMATCH(K$1,'UN Treasury'!$A$1:$BQ$1,-1,1),FALSE)</f>
        <v>3.5</v>
      </c>
      <c r="L129">
        <f>VLOOKUP($A129,'UN Treasury'!$A$1:$BQ$224,_xlfn.XMATCH(L$1,'UN Treasury'!$A$1:$BQ$1,-1,1),FALSE)</f>
        <v>3.5</v>
      </c>
      <c r="M129">
        <f>VLOOKUP($A129,'UN Treasury'!$A$1:$BQ$224,_xlfn.XMATCH(M$1,'UN Treasury'!$A$1:$BQ$1,-1,1),FALSE)</f>
        <v>3.5</v>
      </c>
      <c r="N129">
        <f>VLOOKUP($A129,'UN Treasury'!$A$1:$BQ$224,_xlfn.XMATCH(N$1,'UN Treasury'!$A$1:$BQ$1,-1,1),FALSE)</f>
        <v>3.5</v>
      </c>
      <c r="O129">
        <f>VLOOKUP($A129,'UN Treasury'!$A$1:$BQ$224,_xlfn.XMATCH(O$1,'UN Treasury'!$A$1:$BQ$1,-1,1),FALSE)</f>
        <v>3.5</v>
      </c>
      <c r="P129">
        <f>VLOOKUP($A129,'UN Treasury'!$A$1:$BQ$224,_xlfn.XMATCH(P$1,'UN Treasury'!$A$1:$BQ$1,-1,1),FALSE)</f>
        <v>3.5</v>
      </c>
      <c r="Q129">
        <f>VLOOKUP($A129,'UN Treasury'!$A$1:$BQ$224,_xlfn.XMATCH(Q$1,'UN Treasury'!$A$1:$BQ$1,-1,1),FALSE)</f>
        <v>3.5</v>
      </c>
      <c r="R129">
        <f>VLOOKUP($A129,'UN Treasury'!$A$1:$BQ$224,_xlfn.XMATCH(R$1,'UN Treasury'!$A$1:$BQ$1,-1,1),FALSE)</f>
        <v>3.5</v>
      </c>
      <c r="S129">
        <f>VLOOKUP($A129,'UN Treasury'!$A$1:$BQ$224,_xlfn.XMATCH(S$1,'UN Treasury'!$A$1:$BQ$1,-1,1),FALSE)</f>
        <v>3.5</v>
      </c>
      <c r="T129">
        <f>VLOOKUP($A129,'UN Treasury'!$A$1:$BQ$224,_xlfn.XMATCH(T$1,'UN Treasury'!$A$1:$BQ$1,-1,1),FALSE)</f>
        <v>3.5</v>
      </c>
      <c r="U129">
        <f>VLOOKUP($A129,'UN Treasury'!$A$1:$BQ$224,_xlfn.XMATCH(U$1,'UN Treasury'!$A$1:$BQ$1,-1,1),FALSE)</f>
        <v>3.5</v>
      </c>
      <c r="V129">
        <f>VLOOKUP($A129,'UN Treasury'!$A$1:$BQ$224,_xlfn.XMATCH(V$1,'UN Treasury'!$A$1:$BQ$1,-1,1),FALSE)</f>
        <v>3.5</v>
      </c>
      <c r="W129">
        <f>VLOOKUP($A129,'UN Treasury'!$A$1:$BQ$224,_xlfn.XMATCH(W$1,'UN Treasury'!$A$1:$BQ$1,-1,1),FALSE)</f>
        <v>3.5</v>
      </c>
      <c r="X129">
        <f>VLOOKUP($A129,'UN Treasury'!$A$1:$BQ$224,_xlfn.XMATCH(X$1,'UN Treasury'!$A$1:$BQ$1,-1,1),FALSE)</f>
        <v>3.5</v>
      </c>
      <c r="Y129">
        <f>VLOOKUP($A129,'UN Treasury'!$A$1:$BQ$224,_xlfn.XMATCH(Y$1,'UN Treasury'!$A$1:$BQ$1,-1,1),FALSE)</f>
        <v>3.5</v>
      </c>
      <c r="Z129">
        <f>VLOOKUP($A129,'UN Treasury'!$A$1:$BQ$224,_xlfn.XMATCH(Z$1,'UN Treasury'!$A$1:$BQ$1,-1,1),FALSE)</f>
        <v>3.5</v>
      </c>
      <c r="AA129">
        <f>VLOOKUP($A129,'UN Treasury'!$A$1:$BQ$224,_xlfn.XMATCH(AA$1,'UN Treasury'!$A$1:$BQ$1,-1,1),FALSE)</f>
        <v>3.5</v>
      </c>
      <c r="AB129">
        <f>VLOOKUP($A129,'UN Treasury'!$A$1:$BQ$224,_xlfn.XMATCH(AB$1,'UN Treasury'!$A$1:$BQ$1,-1,1),FALSE)</f>
        <v>3.5</v>
      </c>
      <c r="AC129">
        <f>VLOOKUP($A129,'UN Treasury'!$A$1:$BQ$224,_xlfn.XMATCH(AC$1,'UN Treasury'!$A$1:$BQ$1,-1,1),FALSE)</f>
        <v>3.5</v>
      </c>
      <c r="AD129">
        <f>VLOOKUP($A129,'UN Treasury'!$A$1:$BQ$224,_xlfn.XMATCH(AD$1,'UN Treasury'!$A$1:$BQ$1,-1,1),FALSE)</f>
        <v>3.5</v>
      </c>
      <c r="AE129">
        <f>VLOOKUP($A129,'UN Treasury'!$A$1:$BQ$224,_xlfn.XMATCH(AE$1,'UN Treasury'!$A$1:$BQ$1,-1,1),FALSE)</f>
        <v>3.5</v>
      </c>
      <c r="AF129">
        <f>VLOOKUP($A129,'UN Treasury'!$A$1:$BQ$224,_xlfn.XMATCH(AF$1,'UN Treasury'!$A$1:$BQ$1,-1,1),FALSE)</f>
        <v>3.5</v>
      </c>
      <c r="AG129">
        <f>VLOOKUP($A129,'UN Treasury'!$A$1:$BQ$224,_xlfn.XMATCH(AG$1,'UN Treasury'!$A$1:$BQ$1,-1,1),FALSE)</f>
        <v>3.5</v>
      </c>
      <c r="AH129">
        <f>VLOOKUP($A129,'UN Treasury'!$A$1:$BQ$224,_xlfn.XMATCH(AH$1,'UN Treasury'!$A$1:$BQ$1,-1,1),FALSE)</f>
        <v>3.5</v>
      </c>
      <c r="AI129">
        <f>VLOOKUP($A129,'UN Treasury'!$A$1:$BQ$224,_xlfn.XMATCH(AI$1,'UN Treasury'!$A$1:$BQ$1,-1,1),FALSE)</f>
        <v>3.5</v>
      </c>
      <c r="AJ129">
        <f>VLOOKUP($A129,'UN Treasury'!$A$1:$BQ$224,_xlfn.XMATCH(AJ$1,'UN Treasury'!$A$1:$BQ$1,-1,1),FALSE)</f>
        <v>3.5</v>
      </c>
      <c r="AK129">
        <f>VLOOKUP($A129,'UN Treasury'!$A$1:$BQ$224,_xlfn.XMATCH(AK$1,'UN Treasury'!$A$1:$BQ$1,-1,1),FALSE)</f>
        <v>3.5</v>
      </c>
      <c r="AL129">
        <f>VLOOKUP($A129,'UN Treasury'!$A$1:$BQ$224,_xlfn.XMATCH(AL$1,'UN Treasury'!$A$1:$BQ$1,-1,1),FALSE)</f>
        <v>3.5</v>
      </c>
      <c r="AM129">
        <f>VLOOKUP($A129,'UN Treasury'!$A$1:$BQ$224,_xlfn.XMATCH(AM$1,'UN Treasury'!$A$1:$BQ$1,-1,1),FALSE)</f>
        <v>3.5</v>
      </c>
      <c r="AN129">
        <f>VLOOKUP($A129,'UN Treasury'!$A$1:$BQ$224,_xlfn.XMATCH(AN$1,'UN Treasury'!$A$1:$BQ$1,-1,1),FALSE)</f>
        <v>3.5</v>
      </c>
      <c r="AO129">
        <f>VLOOKUP($A129,'UN Treasury'!$A$1:$BQ$224,_xlfn.XMATCH(AO$1,'UN Treasury'!$A$1:$BQ$1,-1,1),FALSE)</f>
        <v>3.5</v>
      </c>
      <c r="AP129">
        <f>VLOOKUP($A129,'UN Treasury'!$A$1:$BQ$224,_xlfn.XMATCH(AP$1,'UN Treasury'!$A$1:$BQ$1,-1,1),FALSE)</f>
        <v>3.5</v>
      </c>
      <c r="AQ129">
        <f>VLOOKUP($A129,'UN Treasury'!$A$1:$BQ$224,_xlfn.XMATCH(AQ$1,'UN Treasury'!$A$1:$BQ$1,-1,1),FALSE)</f>
        <v>3.5</v>
      </c>
      <c r="AR129">
        <f>VLOOKUP($A129,'UN Treasury'!$A$1:$BQ$224,_xlfn.XMATCH(AR$1,'UN Treasury'!$A$1:$BQ$1,-1,1),FALSE)</f>
        <v>3.5</v>
      </c>
      <c r="AS129">
        <f>VLOOKUP($A129,'UN Treasury'!$A$1:$BQ$224,_xlfn.XMATCH(AS$1,'UN Treasury'!$A$1:$BQ$1,-1,1),FALSE)</f>
        <v>3.5</v>
      </c>
      <c r="AT129">
        <f>VLOOKUP($A129,'UN Treasury'!$A$1:$BQ$224,_xlfn.XMATCH(AT$1,'UN Treasury'!$A$1:$BQ$1,-1,1),FALSE)</f>
        <v>3.5</v>
      </c>
      <c r="AU129">
        <f>VLOOKUP($A129,'UN Treasury'!$A$1:$BQ$224,_xlfn.XMATCH(AU$1,'UN Treasury'!$A$1:$BQ$1,-1,1),FALSE)</f>
        <v>3.5</v>
      </c>
      <c r="AV129">
        <f>VLOOKUP($A129,'UN Treasury'!$A$1:$BQ$224,_xlfn.XMATCH(AV$1,'UN Treasury'!$A$1:$BQ$1,-1,1),FALSE)</f>
        <v>3.5</v>
      </c>
      <c r="AW129">
        <f>VLOOKUP($A129,'UN Treasury'!$A$1:$BQ$224,_xlfn.XMATCH(AW$1,'UN Treasury'!$A$1:$BQ$1,-1,1),FALSE)</f>
        <v>3.5</v>
      </c>
      <c r="AX129">
        <f>VLOOKUP($A129,'UN Treasury'!$A$1:$BQ$224,_xlfn.XMATCH(AX$1,'UN Treasury'!$A$1:$BQ$1,-1,1),FALSE)</f>
        <v>3.5</v>
      </c>
      <c r="AY129">
        <f>VLOOKUP($A129,'UN Treasury'!$A$1:$BQ$224,_xlfn.XMATCH(AY$1,'UN Treasury'!$A$1:$BQ$1,-1,1),FALSE)</f>
        <v>3.5</v>
      </c>
      <c r="AZ129">
        <f>VLOOKUP($A129,'UN Treasury'!$A$1:$BQ$224,_xlfn.XMATCH(AZ$1,'UN Treasury'!$A$1:$BQ$1,-1,1),FALSE)</f>
        <v>3.5</v>
      </c>
      <c r="BA129">
        <f>VLOOKUP($A129,'UN Treasury'!$A$1:$BQ$224,_xlfn.XMATCH(BA$1,'UN Treasury'!$A$1:$BQ$1,-1,1),FALSE)</f>
        <v>3.5</v>
      </c>
      <c r="BB129">
        <f>VLOOKUP($A129,'UN Treasury'!$A$1:$BQ$224,_xlfn.XMATCH(BB$1,'UN Treasury'!$A$1:$BQ$1,-1,1),FALSE)</f>
        <v>3.5</v>
      </c>
      <c r="BC129">
        <f>VLOOKUP($A129,'UN Treasury'!$A$1:$BQ$224,_xlfn.XMATCH(BC$1,'UN Treasury'!$A$1:$BQ$1,-1,1),FALSE)</f>
        <v>3.5</v>
      </c>
      <c r="BD129">
        <f>VLOOKUP($A129,'UN Treasury'!$A$1:$BQ$224,_xlfn.XMATCH(BD$1,'UN Treasury'!$A$1:$BQ$1,-1,1),FALSE)</f>
        <v>3.5</v>
      </c>
      <c r="BE129">
        <f>VLOOKUP($A129,'UN Treasury'!$A$1:$BQ$224,_xlfn.XMATCH(BE$1,'UN Treasury'!$A$1:$BQ$1,-1,1),FALSE)</f>
        <v>3.5</v>
      </c>
      <c r="BF129">
        <f>VLOOKUP($A129,'UN Treasury'!$A$1:$BQ$224,_xlfn.XMATCH(BF$1,'UN Treasury'!$A$1:$BQ$1,-1,1),FALSE)</f>
        <v>3.5</v>
      </c>
      <c r="BG129">
        <f>VLOOKUP($A129,'UN Treasury'!$A$1:$BQ$224,_xlfn.XMATCH(BG$1,'UN Treasury'!$A$1:$BQ$1,-1,1),FALSE)</f>
        <v>3.5</v>
      </c>
      <c r="BH129">
        <f>VLOOKUP($A129,'UN Treasury'!$A$1:$BQ$224,_xlfn.XMATCH(BH$1,'UN Treasury'!$A$1:$BQ$1,-1,1),FALSE)</f>
        <v>3.5</v>
      </c>
      <c r="BI129">
        <f>VLOOKUP($A129,'UN Treasury'!$A$1:$BQ$224,_xlfn.XMATCH(BI$1,'UN Treasury'!$A$1:$BQ$1,-1,1),FALSE)</f>
        <v>3.5</v>
      </c>
      <c r="BJ129">
        <f>VLOOKUP($A129,'UN Treasury'!$A$1:$BQ$224,_xlfn.XMATCH(BJ$1,'UN Treasury'!$A$1:$BQ$1,-1,1),FALSE)</f>
        <v>3.5</v>
      </c>
      <c r="BK129">
        <f>VLOOKUP($A129,'UN Treasury'!$A$1:$BQ$224,_xlfn.XMATCH(BK$1,'UN Treasury'!$A$1:$BQ$1,-1,1),FALSE)</f>
        <v>3.5</v>
      </c>
      <c r="BL129">
        <f>VLOOKUP($A129,'UN Treasury'!$A$1:$BQ$224,_xlfn.XMATCH(BL$1,'UN Treasury'!$A$1:$BQ$1,-1,1),FALSE)</f>
        <v>3.5</v>
      </c>
      <c r="BM129">
        <f>VLOOKUP($A129,'UN Treasury'!$A$1:$BQ$224,_xlfn.XMATCH(BM$1,'UN Treasury'!$A$1:$BQ$1,-1,1),FALSE)</f>
        <v>3.5</v>
      </c>
      <c r="BN129">
        <f>VLOOKUP($A129,'UN Treasury'!$A$1:$BQ$224,_xlfn.XMATCH(BN$1,'UN Treasury'!$A$1:$BQ$1,-1,1),FALSE)</f>
        <v>3.5</v>
      </c>
      <c r="BO129">
        <f>VLOOKUP($A129,'UN Treasury'!$A$1:$BQ$224,_xlfn.XMATCH(BO$1,'UN Treasury'!$A$1:$BQ$1,-1,1),FALSE)</f>
        <v>3.5</v>
      </c>
      <c r="BP129">
        <f>VLOOKUP($A129,'UN Treasury'!$A$1:$BQ$224,_xlfn.XMATCH(BP$1,'UN Treasury'!$A$1:$BQ$1,-1,1),FALSE)</f>
        <v>3.5</v>
      </c>
      <c r="BQ129">
        <f>VLOOKUP($A129,'UN Treasury'!$A$1:$BQ$224,_xlfn.XMATCH(BQ$1,'UN Treasury'!$A$1:$BQ$1,-1,1),FALSE)</f>
        <v>3.5</v>
      </c>
    </row>
    <row r="130" spans="1:69" x14ac:dyDescent="0.25">
      <c r="A130" t="s">
        <v>276</v>
      </c>
      <c r="B130">
        <f>VLOOKUP($A130,'UN Treasury'!$A$1:$BQ$224,_xlfn.XMATCH(B$1,'UN Treasury'!$A$1:$BQ$1,-1,1),FALSE)</f>
        <v>2.92</v>
      </c>
      <c r="C130">
        <f>VLOOKUP($A130,'UN Treasury'!$A$1:$BQ$224,_xlfn.XMATCH(C$1,'UN Treasury'!$A$1:$BQ$1,-1,1),FALSE)</f>
        <v>2.9460000000000002</v>
      </c>
      <c r="D130">
        <f>VLOOKUP($A130,'UN Treasury'!$A$1:$BQ$224,_xlfn.XMATCH(D$1,'UN Treasury'!$A$1:$BQ$1,-1,1),FALSE)</f>
        <v>2.931</v>
      </c>
      <c r="E130">
        <f>VLOOKUP($A130,'UN Treasury'!$A$1:$BQ$224,_xlfn.XMATCH(E$1,'UN Treasury'!$A$1:$BQ$1,-1,1),FALSE)</f>
        <v>2.8820000000000001</v>
      </c>
      <c r="F130">
        <f>VLOOKUP($A130,'UN Treasury'!$A$1:$BQ$224,_xlfn.XMATCH(F$1,'UN Treasury'!$A$1:$BQ$1,-1,1),FALSE)</f>
        <v>2.9</v>
      </c>
      <c r="G130">
        <f>VLOOKUP($A130,'UN Treasury'!$A$1:$BQ$224,_xlfn.XMATCH(G$1,'UN Treasury'!$A$1:$BQ$1,-1,1),FALSE)</f>
        <v>2.9209999999999998</v>
      </c>
      <c r="H130">
        <f>VLOOKUP($A130,'UN Treasury'!$A$1:$BQ$224,_xlfn.XMATCH(H$1,'UN Treasury'!$A$1:$BQ$1,-1,1),FALSE)</f>
        <v>2.8370000000000002</v>
      </c>
      <c r="I130">
        <f>VLOOKUP($A130,'UN Treasury'!$A$1:$BQ$224,_xlfn.XMATCH(I$1,'UN Treasury'!$A$1:$BQ$1,-1,1),FALSE)</f>
        <v>2.883</v>
      </c>
      <c r="J130">
        <f>VLOOKUP($A130,'UN Treasury'!$A$1:$BQ$224,_xlfn.XMATCH(J$1,'UN Treasury'!$A$1:$BQ$1,-1,1),FALSE)</f>
        <v>2.9140000000000001</v>
      </c>
      <c r="K130">
        <f>VLOOKUP($A130,'UN Treasury'!$A$1:$BQ$224,_xlfn.XMATCH(K$1,'UN Treasury'!$A$1:$BQ$1,-1,1),FALSE)</f>
        <v>2.9430000000000001</v>
      </c>
      <c r="L130">
        <f>VLOOKUP($A130,'UN Treasury'!$A$1:$BQ$224,_xlfn.XMATCH(L$1,'UN Treasury'!$A$1:$BQ$1,-1,1),FALSE)</f>
        <v>2.9390000000000001</v>
      </c>
      <c r="M130">
        <f>VLOOKUP($A130,'UN Treasury'!$A$1:$BQ$224,_xlfn.XMATCH(M$1,'UN Treasury'!$A$1:$BQ$1,-1,1),FALSE)</f>
        <v>2.9039999999999999</v>
      </c>
      <c r="N130">
        <f>VLOOKUP($A130,'UN Treasury'!$A$1:$BQ$224,_xlfn.XMATCH(N$1,'UN Treasury'!$A$1:$BQ$1,-1,1),FALSE)</f>
        <v>2.88</v>
      </c>
      <c r="O130">
        <f>VLOOKUP($A130,'UN Treasury'!$A$1:$BQ$224,_xlfn.XMATCH(O$1,'UN Treasury'!$A$1:$BQ$1,-1,1),FALSE)</f>
        <v>2.8969999999999998</v>
      </c>
      <c r="P130">
        <f>VLOOKUP($A130,'UN Treasury'!$A$1:$BQ$224,_xlfn.XMATCH(P$1,'UN Treasury'!$A$1:$BQ$1,-1,1),FALSE)</f>
        <v>2.9489999999999998</v>
      </c>
      <c r="Q130">
        <f>VLOOKUP($A130,'UN Treasury'!$A$1:$BQ$224,_xlfn.XMATCH(Q$1,'UN Treasury'!$A$1:$BQ$1,-1,1),FALSE)</f>
        <v>3.0209999999999999</v>
      </c>
      <c r="R130">
        <f>VLOOKUP($A130,'UN Treasury'!$A$1:$BQ$224,_xlfn.XMATCH(R$1,'UN Treasury'!$A$1:$BQ$1,-1,1),FALSE)</f>
        <v>2.9870000000000001</v>
      </c>
      <c r="S130">
        <f>VLOOKUP($A130,'UN Treasury'!$A$1:$BQ$224,_xlfn.XMATCH(S$1,'UN Treasury'!$A$1:$BQ$1,-1,1),FALSE)</f>
        <v>3.0830000000000002</v>
      </c>
      <c r="T130">
        <f>VLOOKUP($A130,'UN Treasury'!$A$1:$BQ$224,_xlfn.XMATCH(T$1,'UN Treasury'!$A$1:$BQ$1,-1,1),FALSE)</f>
        <v>3.1920000000000002</v>
      </c>
      <c r="U130">
        <f>VLOOKUP($A130,'UN Treasury'!$A$1:$BQ$224,_xlfn.XMATCH(U$1,'UN Treasury'!$A$1:$BQ$1,-1,1),FALSE)</f>
        <v>3.2269999999999999</v>
      </c>
      <c r="V130">
        <f>VLOOKUP($A130,'UN Treasury'!$A$1:$BQ$224,_xlfn.XMATCH(V$1,'UN Treasury'!$A$1:$BQ$1,-1,1),FALSE)</f>
        <v>3.1539999999999999</v>
      </c>
      <c r="W130">
        <f>VLOOKUP($A130,'UN Treasury'!$A$1:$BQ$224,_xlfn.XMATCH(W$1,'UN Treasury'!$A$1:$BQ$1,-1,1),FALSE)</f>
        <v>3.1440000000000001</v>
      </c>
      <c r="X130">
        <f>VLOOKUP($A130,'UN Treasury'!$A$1:$BQ$224,_xlfn.XMATCH(X$1,'UN Treasury'!$A$1:$BQ$1,-1,1),FALSE)</f>
        <v>3.07</v>
      </c>
      <c r="Y130">
        <f>VLOOKUP($A130,'UN Treasury'!$A$1:$BQ$224,_xlfn.XMATCH(Y$1,'UN Treasury'!$A$1:$BQ$1,-1,1),FALSE)</f>
        <v>3.0510000000000002</v>
      </c>
      <c r="Z130">
        <f>VLOOKUP($A130,'UN Treasury'!$A$1:$BQ$224,_xlfn.XMATCH(Z$1,'UN Treasury'!$A$1:$BQ$1,-1,1),FALSE)</f>
        <v>3.081</v>
      </c>
      <c r="AA130">
        <f>VLOOKUP($A130,'UN Treasury'!$A$1:$BQ$224,_xlfn.XMATCH(AA$1,'UN Treasury'!$A$1:$BQ$1,-1,1),FALSE)</f>
        <v>3.097</v>
      </c>
      <c r="AB130">
        <f>VLOOKUP($A130,'UN Treasury'!$A$1:$BQ$224,_xlfn.XMATCH(AB$1,'UN Treasury'!$A$1:$BQ$1,-1,1),FALSE)</f>
        <v>3.117</v>
      </c>
      <c r="AC130">
        <f>VLOOKUP($A130,'UN Treasury'!$A$1:$BQ$224,_xlfn.XMATCH(AC$1,'UN Treasury'!$A$1:$BQ$1,-1,1),FALSE)</f>
        <v>3.1230000000000002</v>
      </c>
      <c r="AD130">
        <f>VLOOKUP($A130,'UN Treasury'!$A$1:$BQ$224,_xlfn.XMATCH(AD$1,'UN Treasury'!$A$1:$BQ$1,-1,1),FALSE)</f>
        <v>3.1120000000000001</v>
      </c>
      <c r="AE130">
        <f>VLOOKUP($A130,'UN Treasury'!$A$1:$BQ$224,_xlfn.XMATCH(AE$1,'UN Treasury'!$A$1:$BQ$1,-1,1),FALSE)</f>
        <v>3.093</v>
      </c>
      <c r="AF130">
        <f>VLOOKUP($A130,'UN Treasury'!$A$1:$BQ$224,_xlfn.XMATCH(AF$1,'UN Treasury'!$A$1:$BQ$1,-1,1),FALSE)</f>
        <v>3.1309999999999998</v>
      </c>
      <c r="AG130">
        <f>VLOOKUP($A130,'UN Treasury'!$A$1:$BQ$224,_xlfn.XMATCH(AG$1,'UN Treasury'!$A$1:$BQ$1,-1,1),FALSE)</f>
        <v>3.0939999999999999</v>
      </c>
      <c r="AH130">
        <f>VLOOKUP($A130,'UN Treasury'!$A$1:$BQ$224,_xlfn.XMATCH(AH$1,'UN Treasury'!$A$1:$BQ$1,-1,1),FALSE)</f>
        <v>3.12</v>
      </c>
      <c r="AI130">
        <f>VLOOKUP($A130,'UN Treasury'!$A$1:$BQ$224,_xlfn.XMATCH(AI$1,'UN Treasury'!$A$1:$BQ$1,-1,1),FALSE)</f>
        <v>3.16</v>
      </c>
      <c r="AJ130">
        <f>VLOOKUP($A130,'UN Treasury'!$A$1:$BQ$224,_xlfn.XMATCH(AJ$1,'UN Treasury'!$A$1:$BQ$1,-1,1),FALSE)</f>
        <v>3.157</v>
      </c>
      <c r="AK130">
        <f>VLOOKUP($A130,'UN Treasury'!$A$1:$BQ$224,_xlfn.XMATCH(AK$1,'UN Treasury'!$A$1:$BQ$1,-1,1),FALSE)</f>
        <v>3.1219999999999999</v>
      </c>
      <c r="AL130">
        <f>VLOOKUP($A130,'UN Treasury'!$A$1:$BQ$224,_xlfn.XMATCH(AL$1,'UN Treasury'!$A$1:$BQ$1,-1,1),FALSE)</f>
        <v>3.0649999999999999</v>
      </c>
      <c r="AM130">
        <f>VLOOKUP($A130,'UN Treasury'!$A$1:$BQ$224,_xlfn.XMATCH(AM$1,'UN Treasury'!$A$1:$BQ$1,-1,1),FALSE)</f>
        <v>3.0539999999999998</v>
      </c>
      <c r="AN130">
        <f>VLOOKUP($A130,'UN Treasury'!$A$1:$BQ$224,_xlfn.XMATCH(AN$1,'UN Treasury'!$A$1:$BQ$1,-1,1),FALSE)</f>
        <v>3.0920000000000001</v>
      </c>
      <c r="AO130">
        <f>VLOOKUP($A130,'UN Treasury'!$A$1:$BQ$224,_xlfn.XMATCH(AO$1,'UN Treasury'!$A$1:$BQ$1,-1,1),FALSE)</f>
        <v>3.0419999999999998</v>
      </c>
      <c r="AP130">
        <f>VLOOKUP($A130,'UN Treasury'!$A$1:$BQ$224,_xlfn.XMATCH(AP$1,'UN Treasury'!$A$1:$BQ$1,-1,1),FALSE)</f>
        <v>3.0379999999999998</v>
      </c>
      <c r="AQ130">
        <f>VLOOKUP($A130,'UN Treasury'!$A$1:$BQ$224,_xlfn.XMATCH(AQ$1,'UN Treasury'!$A$1:$BQ$1,-1,1),FALSE)</f>
        <v>3.1</v>
      </c>
      <c r="AR130">
        <f>VLOOKUP($A130,'UN Treasury'!$A$1:$BQ$224,_xlfn.XMATCH(AR$1,'UN Treasury'!$A$1:$BQ$1,-1,1),FALSE)</f>
        <v>3.1059999999999999</v>
      </c>
      <c r="AS130">
        <f>VLOOKUP($A130,'UN Treasury'!$A$1:$BQ$224,_xlfn.XMATCH(AS$1,'UN Treasury'!$A$1:$BQ$1,-1,1),FALSE)</f>
        <v>3.081</v>
      </c>
      <c r="AT130">
        <f>VLOOKUP($A130,'UN Treasury'!$A$1:$BQ$224,_xlfn.XMATCH(AT$1,'UN Treasury'!$A$1:$BQ$1,-1,1),FALSE)</f>
        <v>3.14</v>
      </c>
      <c r="AU130">
        <f>VLOOKUP($A130,'UN Treasury'!$A$1:$BQ$224,_xlfn.XMATCH(AU$1,'UN Treasury'!$A$1:$BQ$1,-1,1),FALSE)</f>
        <v>3.1829999999999998</v>
      </c>
      <c r="AV130">
        <f>VLOOKUP($A130,'UN Treasury'!$A$1:$BQ$224,_xlfn.XMATCH(AV$1,'UN Treasury'!$A$1:$BQ$1,-1,1),FALSE)</f>
        <v>3.2679999999999998</v>
      </c>
      <c r="AW130">
        <f>VLOOKUP($A130,'UN Treasury'!$A$1:$BQ$224,_xlfn.XMATCH(AW$1,'UN Treasury'!$A$1:$BQ$1,-1,1),FALSE)</f>
        <v>3.181</v>
      </c>
      <c r="AX130">
        <f>VLOOKUP($A130,'UN Treasury'!$A$1:$BQ$224,_xlfn.XMATCH(AX$1,'UN Treasury'!$A$1:$BQ$1,-1,1),FALSE)</f>
        <v>3.0939999999999999</v>
      </c>
      <c r="AY130">
        <f>VLOOKUP($A130,'UN Treasury'!$A$1:$BQ$224,_xlfn.XMATCH(AY$1,'UN Treasury'!$A$1:$BQ$1,-1,1),FALSE)</f>
        <v>3.153</v>
      </c>
      <c r="AZ130">
        <f>VLOOKUP($A130,'UN Treasury'!$A$1:$BQ$224,_xlfn.XMATCH(AZ$1,'UN Treasury'!$A$1:$BQ$1,-1,1),FALSE)</f>
        <v>3.0840000000000001</v>
      </c>
      <c r="BA130">
        <f>VLOOKUP($A130,'UN Treasury'!$A$1:$BQ$224,_xlfn.XMATCH(BA$1,'UN Treasury'!$A$1:$BQ$1,-1,1),FALSE)</f>
        <v>3.0649999999999999</v>
      </c>
      <c r="BB130">
        <f>VLOOKUP($A130,'UN Treasury'!$A$1:$BQ$224,_xlfn.XMATCH(BB$1,'UN Treasury'!$A$1:$BQ$1,-1,1),FALSE)</f>
        <v>2.992</v>
      </c>
      <c r="BC130">
        <f>VLOOKUP($A130,'UN Treasury'!$A$1:$BQ$224,_xlfn.XMATCH(BC$1,'UN Treasury'!$A$1:$BQ$1,-1,1),FALSE)</f>
        <v>2.9470000000000001</v>
      </c>
      <c r="BD130">
        <f>VLOOKUP($A130,'UN Treasury'!$A$1:$BQ$224,_xlfn.XMATCH(BD$1,'UN Treasury'!$A$1:$BQ$1,-1,1),FALSE)</f>
        <v>2.8620000000000001</v>
      </c>
      <c r="BE130">
        <f>VLOOKUP($A130,'UN Treasury'!$A$1:$BQ$224,_xlfn.XMATCH(BE$1,'UN Treasury'!$A$1:$BQ$1,-1,1),FALSE)</f>
        <v>2.867</v>
      </c>
      <c r="BF130">
        <f>VLOOKUP($A130,'UN Treasury'!$A$1:$BQ$224,_xlfn.XMATCH(BF$1,'UN Treasury'!$A$1:$BQ$1,-1,1),FALSE)</f>
        <v>2.8879999999999999</v>
      </c>
      <c r="BG130">
        <f>VLOOKUP($A130,'UN Treasury'!$A$1:$BQ$224,_xlfn.XMATCH(BG$1,'UN Treasury'!$A$1:$BQ$1,-1,1),FALSE)</f>
        <v>2.8119999999999998</v>
      </c>
      <c r="BH130">
        <f>VLOOKUP($A130,'UN Treasury'!$A$1:$BQ$224,_xlfn.XMATCH(BH$1,'UN Treasury'!$A$1:$BQ$1,-1,1),FALSE)</f>
        <v>2.8109999999999999</v>
      </c>
      <c r="BI130">
        <f>VLOOKUP($A130,'UN Treasury'!$A$1:$BQ$224,_xlfn.XMATCH(BI$1,'UN Treasury'!$A$1:$BQ$1,-1,1),FALSE)</f>
        <v>2.782</v>
      </c>
      <c r="BJ130">
        <f>VLOOKUP($A130,'UN Treasury'!$A$1:$BQ$224,_xlfn.XMATCH(BJ$1,'UN Treasury'!$A$1:$BQ$1,-1,1),FALSE)</f>
        <v>2.7749999999999999</v>
      </c>
      <c r="BK130">
        <f>VLOOKUP($A130,'UN Treasury'!$A$1:$BQ$224,_xlfn.XMATCH(BK$1,'UN Treasury'!$A$1:$BQ$1,-1,1),FALSE)</f>
        <v>2.7730000000000001</v>
      </c>
      <c r="BL130">
        <f>VLOOKUP($A130,'UN Treasury'!$A$1:$BQ$224,_xlfn.XMATCH(BL$1,'UN Treasury'!$A$1:$BQ$1,-1,1),FALSE)</f>
        <v>2.722</v>
      </c>
      <c r="BM130">
        <f>VLOOKUP($A130,'UN Treasury'!$A$1:$BQ$224,_xlfn.XMATCH(BM$1,'UN Treasury'!$A$1:$BQ$1,-1,1),FALSE)</f>
        <v>2.7349999999999999</v>
      </c>
      <c r="BN130">
        <f>VLOOKUP($A130,'UN Treasury'!$A$1:$BQ$224,_xlfn.XMATCH(BN$1,'UN Treasury'!$A$1:$BQ$1,-1,1),FALSE)</f>
        <v>2.7919999999999998</v>
      </c>
      <c r="BO130">
        <f>VLOOKUP($A130,'UN Treasury'!$A$1:$BQ$224,_xlfn.XMATCH(BO$1,'UN Treasury'!$A$1:$BQ$1,-1,1),FALSE)</f>
        <v>2.6989999999999998</v>
      </c>
      <c r="BP130">
        <f>VLOOKUP($A130,'UN Treasury'!$A$1:$BQ$224,_xlfn.XMATCH(BP$1,'UN Treasury'!$A$1:$BQ$1,-1,1),FALSE)</f>
        <v>2.6920000000000002</v>
      </c>
      <c r="BQ130">
        <f>VLOOKUP($A130,'UN Treasury'!$A$1:$BQ$224,_xlfn.XMATCH(BQ$1,'UN Treasury'!$A$1:$BQ$1,-1,1),FALSE)</f>
        <v>2.6840000000000002</v>
      </c>
    </row>
    <row r="131" spans="1:69" x14ac:dyDescent="0.25">
      <c r="A131" t="s">
        <v>278</v>
      </c>
      <c r="B131">
        <f>VLOOKUP($A131,'UN Treasury'!$A$1:$BQ$224,_xlfn.XMATCH(B$1,'UN Treasury'!$A$1:$BQ$1,-1,1),FALSE)</f>
        <v>2.298</v>
      </c>
      <c r="C131">
        <f>VLOOKUP($A131,'UN Treasury'!$A$1:$BQ$224,_xlfn.XMATCH(C$1,'UN Treasury'!$A$1:$BQ$1,-1,1),FALSE)</f>
        <v>2.3250000000000002</v>
      </c>
      <c r="D131">
        <f>VLOOKUP($A131,'UN Treasury'!$A$1:$BQ$224,_xlfn.XMATCH(D$1,'UN Treasury'!$A$1:$BQ$1,-1,1),FALSE)</f>
        <v>2.3109999999999999</v>
      </c>
      <c r="E131">
        <f>VLOOKUP($A131,'UN Treasury'!$A$1:$BQ$224,_xlfn.XMATCH(E$1,'UN Treasury'!$A$1:$BQ$1,-1,1),FALSE)</f>
        <v>2.2869999999999999</v>
      </c>
      <c r="F131">
        <f>VLOOKUP($A131,'UN Treasury'!$A$1:$BQ$224,_xlfn.XMATCH(F$1,'UN Treasury'!$A$1:$BQ$1,-1,1),FALSE)</f>
        <v>2.3130000000000002</v>
      </c>
      <c r="G131">
        <f>VLOOKUP($A131,'UN Treasury'!$A$1:$BQ$224,_xlfn.XMATCH(G$1,'UN Treasury'!$A$1:$BQ$1,-1,1),FALSE)</f>
        <v>2.298</v>
      </c>
      <c r="H131">
        <f>VLOOKUP($A131,'UN Treasury'!$A$1:$BQ$224,_xlfn.XMATCH(H$1,'UN Treasury'!$A$1:$BQ$1,-1,1),FALSE)</f>
        <v>2.3069999999999999</v>
      </c>
      <c r="I131">
        <f>VLOOKUP($A131,'UN Treasury'!$A$1:$BQ$224,_xlfn.XMATCH(I$1,'UN Treasury'!$A$1:$BQ$1,-1,1),FALSE)</f>
        <v>2.335</v>
      </c>
      <c r="J131">
        <f>VLOOKUP($A131,'UN Treasury'!$A$1:$BQ$224,_xlfn.XMATCH(J$1,'UN Treasury'!$A$1:$BQ$1,-1,1),FALSE)</f>
        <v>2.3620000000000001</v>
      </c>
      <c r="K131">
        <f>VLOOKUP($A131,'UN Treasury'!$A$1:$BQ$224,_xlfn.XMATCH(K$1,'UN Treasury'!$A$1:$BQ$1,-1,1),FALSE)</f>
        <v>2.35</v>
      </c>
      <c r="L131">
        <f>VLOOKUP($A131,'UN Treasury'!$A$1:$BQ$224,_xlfn.XMATCH(L$1,'UN Treasury'!$A$1:$BQ$1,-1,1),FALSE)</f>
        <v>2.35</v>
      </c>
      <c r="M131">
        <f>VLOOKUP($A131,'UN Treasury'!$A$1:$BQ$224,_xlfn.XMATCH(M$1,'UN Treasury'!$A$1:$BQ$1,-1,1),FALSE)</f>
        <v>2.3340000000000001</v>
      </c>
      <c r="N131">
        <f>VLOOKUP($A131,'UN Treasury'!$A$1:$BQ$224,_xlfn.XMATCH(N$1,'UN Treasury'!$A$1:$BQ$1,-1,1),FALSE)</f>
        <v>2.339</v>
      </c>
      <c r="O131">
        <f>VLOOKUP($A131,'UN Treasury'!$A$1:$BQ$224,_xlfn.XMATCH(O$1,'UN Treasury'!$A$1:$BQ$1,-1,1),FALSE)</f>
        <v>2.331</v>
      </c>
      <c r="P131">
        <f>VLOOKUP($A131,'UN Treasury'!$A$1:$BQ$224,_xlfn.XMATCH(P$1,'UN Treasury'!$A$1:$BQ$1,-1,1),FALSE)</f>
        <v>2.3359999999999999</v>
      </c>
      <c r="Q131">
        <f>VLOOKUP($A131,'UN Treasury'!$A$1:$BQ$224,_xlfn.XMATCH(Q$1,'UN Treasury'!$A$1:$BQ$1,-1,1),FALSE)</f>
        <v>2.347</v>
      </c>
      <c r="R131">
        <f>VLOOKUP($A131,'UN Treasury'!$A$1:$BQ$224,_xlfn.XMATCH(R$1,'UN Treasury'!$A$1:$BQ$1,-1,1),FALSE)</f>
        <v>2.3719999999999999</v>
      </c>
      <c r="S131">
        <f>VLOOKUP($A131,'UN Treasury'!$A$1:$BQ$224,_xlfn.XMATCH(S$1,'UN Treasury'!$A$1:$BQ$1,-1,1),FALSE)</f>
        <v>2.3719999999999999</v>
      </c>
      <c r="T131">
        <f>VLOOKUP($A131,'UN Treasury'!$A$1:$BQ$224,_xlfn.XMATCH(T$1,'UN Treasury'!$A$1:$BQ$1,-1,1),FALSE)</f>
        <v>2.37</v>
      </c>
      <c r="U131">
        <f>VLOOKUP($A131,'UN Treasury'!$A$1:$BQ$224,_xlfn.XMATCH(U$1,'UN Treasury'!$A$1:$BQ$1,-1,1),FALSE)</f>
        <v>2.399</v>
      </c>
      <c r="V131">
        <f>VLOOKUP($A131,'UN Treasury'!$A$1:$BQ$224,_xlfn.XMATCH(V$1,'UN Treasury'!$A$1:$BQ$1,-1,1),FALSE)</f>
        <v>2.3519999999999999</v>
      </c>
      <c r="W131">
        <f>VLOOKUP($A131,'UN Treasury'!$A$1:$BQ$224,_xlfn.XMATCH(W$1,'UN Treasury'!$A$1:$BQ$1,-1,1),FALSE)</f>
        <v>2.3380000000000001</v>
      </c>
      <c r="X131">
        <f>VLOOKUP($A131,'UN Treasury'!$A$1:$BQ$224,_xlfn.XMATCH(X$1,'UN Treasury'!$A$1:$BQ$1,-1,1),FALSE)</f>
        <v>2.2879999999999998</v>
      </c>
      <c r="Y131">
        <f>VLOOKUP($A131,'UN Treasury'!$A$1:$BQ$224,_xlfn.XMATCH(Y$1,'UN Treasury'!$A$1:$BQ$1,-1,1),FALSE)</f>
        <v>2.3069999999999999</v>
      </c>
      <c r="Z131">
        <f>VLOOKUP($A131,'UN Treasury'!$A$1:$BQ$224,_xlfn.XMATCH(Z$1,'UN Treasury'!$A$1:$BQ$1,-1,1),FALSE)</f>
        <v>2.3159999999999998</v>
      </c>
      <c r="AA131">
        <f>VLOOKUP($A131,'UN Treasury'!$A$1:$BQ$224,_xlfn.XMATCH(AA$1,'UN Treasury'!$A$1:$BQ$1,-1,1),FALSE)</f>
        <v>2.3069999999999999</v>
      </c>
      <c r="AB131">
        <f>VLOOKUP($A131,'UN Treasury'!$A$1:$BQ$224,_xlfn.XMATCH(AB$1,'UN Treasury'!$A$1:$BQ$1,-1,1),FALSE)</f>
        <v>2.3069999999999999</v>
      </c>
      <c r="AC131">
        <f>VLOOKUP($A131,'UN Treasury'!$A$1:$BQ$224,_xlfn.XMATCH(AC$1,'UN Treasury'!$A$1:$BQ$1,-1,1),FALSE)</f>
        <v>2.323</v>
      </c>
      <c r="AD131">
        <f>VLOOKUP($A131,'UN Treasury'!$A$1:$BQ$224,_xlfn.XMATCH(AD$1,'UN Treasury'!$A$1:$BQ$1,-1,1),FALSE)</f>
        <v>2.3140000000000001</v>
      </c>
      <c r="AE131">
        <f>VLOOKUP($A131,'UN Treasury'!$A$1:$BQ$224,_xlfn.XMATCH(AE$1,'UN Treasury'!$A$1:$BQ$1,-1,1),FALSE)</f>
        <v>2.3069999999999999</v>
      </c>
      <c r="AF131">
        <f>VLOOKUP($A131,'UN Treasury'!$A$1:$BQ$224,_xlfn.XMATCH(AF$1,'UN Treasury'!$A$1:$BQ$1,-1,1),FALSE)</f>
        <v>2.3319999999999999</v>
      </c>
      <c r="AG131">
        <f>VLOOKUP($A131,'UN Treasury'!$A$1:$BQ$224,_xlfn.XMATCH(AG$1,'UN Treasury'!$A$1:$BQ$1,-1,1),FALSE)</f>
        <v>2.3319999999999999</v>
      </c>
      <c r="AH131">
        <f>VLOOKUP($A131,'UN Treasury'!$A$1:$BQ$224,_xlfn.XMATCH(AH$1,'UN Treasury'!$A$1:$BQ$1,-1,1),FALSE)</f>
        <v>2.3290000000000002</v>
      </c>
      <c r="AI131">
        <f>VLOOKUP($A131,'UN Treasury'!$A$1:$BQ$224,_xlfn.XMATCH(AI$1,'UN Treasury'!$A$1:$BQ$1,-1,1),FALSE)</f>
        <v>2.35</v>
      </c>
      <c r="AJ131">
        <f>VLOOKUP($A131,'UN Treasury'!$A$1:$BQ$224,_xlfn.XMATCH(AJ$1,'UN Treasury'!$A$1:$BQ$1,-1,1),FALSE)</f>
        <v>2.3279999999999998</v>
      </c>
      <c r="AK131">
        <f>VLOOKUP($A131,'UN Treasury'!$A$1:$BQ$224,_xlfn.XMATCH(AK$1,'UN Treasury'!$A$1:$BQ$1,-1,1),FALSE)</f>
        <v>2.323</v>
      </c>
      <c r="AL131">
        <f>VLOOKUP($A131,'UN Treasury'!$A$1:$BQ$224,_xlfn.XMATCH(AL$1,'UN Treasury'!$A$1:$BQ$1,-1,1),FALSE)</f>
        <v>2.3109999999999999</v>
      </c>
      <c r="AM131">
        <f>VLOOKUP($A131,'UN Treasury'!$A$1:$BQ$224,_xlfn.XMATCH(AM$1,'UN Treasury'!$A$1:$BQ$1,-1,1),FALSE)</f>
        <v>2.2989999999999999</v>
      </c>
      <c r="AN131">
        <f>VLOOKUP($A131,'UN Treasury'!$A$1:$BQ$224,_xlfn.XMATCH(AN$1,'UN Treasury'!$A$1:$BQ$1,-1,1),FALSE)</f>
        <v>2.294</v>
      </c>
      <c r="AO131">
        <f>VLOOKUP($A131,'UN Treasury'!$A$1:$BQ$224,_xlfn.XMATCH(AO$1,'UN Treasury'!$A$1:$BQ$1,-1,1),FALSE)</f>
        <v>2.2970000000000002</v>
      </c>
      <c r="AP131">
        <f>VLOOKUP($A131,'UN Treasury'!$A$1:$BQ$224,_xlfn.XMATCH(AP$1,'UN Treasury'!$A$1:$BQ$1,-1,1),FALSE)</f>
        <v>2.3010000000000002</v>
      </c>
      <c r="AQ131">
        <f>VLOOKUP($A131,'UN Treasury'!$A$1:$BQ$224,_xlfn.XMATCH(AQ$1,'UN Treasury'!$A$1:$BQ$1,-1,1),FALSE)</f>
        <v>2.306</v>
      </c>
      <c r="AR131">
        <f>VLOOKUP($A131,'UN Treasury'!$A$1:$BQ$224,_xlfn.XMATCH(AR$1,'UN Treasury'!$A$1:$BQ$1,-1,1),FALSE)</f>
        <v>2.2770000000000001</v>
      </c>
      <c r="AS131">
        <f>VLOOKUP($A131,'UN Treasury'!$A$1:$BQ$224,_xlfn.XMATCH(AS$1,'UN Treasury'!$A$1:$BQ$1,-1,1),FALSE)</f>
        <v>2.3069999999999999</v>
      </c>
      <c r="AT131">
        <f>VLOOKUP($A131,'UN Treasury'!$A$1:$BQ$224,_xlfn.XMATCH(AT$1,'UN Treasury'!$A$1:$BQ$1,-1,1),FALSE)</f>
        <v>2.3530000000000002</v>
      </c>
      <c r="AU131">
        <f>VLOOKUP($A131,'UN Treasury'!$A$1:$BQ$224,_xlfn.XMATCH(AU$1,'UN Treasury'!$A$1:$BQ$1,-1,1),FALSE)</f>
        <v>2.3460000000000001</v>
      </c>
      <c r="AV131">
        <f>VLOOKUP($A131,'UN Treasury'!$A$1:$BQ$224,_xlfn.XMATCH(AV$1,'UN Treasury'!$A$1:$BQ$1,-1,1),FALSE)</f>
        <v>2.3839999999999999</v>
      </c>
      <c r="AW131">
        <f>VLOOKUP($A131,'UN Treasury'!$A$1:$BQ$224,_xlfn.XMATCH(AW$1,'UN Treasury'!$A$1:$BQ$1,-1,1),FALSE)</f>
        <v>2.2999999999999998</v>
      </c>
      <c r="AX131">
        <f>VLOOKUP($A131,'UN Treasury'!$A$1:$BQ$224,_xlfn.XMATCH(AX$1,'UN Treasury'!$A$1:$BQ$1,-1,1),FALSE)</f>
        <v>2.2770000000000001</v>
      </c>
      <c r="AY131">
        <f>VLOOKUP($A131,'UN Treasury'!$A$1:$BQ$224,_xlfn.XMATCH(AY$1,'UN Treasury'!$A$1:$BQ$1,-1,1),FALSE)</f>
        <v>2.2930000000000001</v>
      </c>
      <c r="AZ131">
        <f>VLOOKUP($A131,'UN Treasury'!$A$1:$BQ$224,_xlfn.XMATCH(AZ$1,'UN Treasury'!$A$1:$BQ$1,-1,1),FALSE)</f>
        <v>2.2709999999999999</v>
      </c>
      <c r="BA131">
        <f>VLOOKUP($A131,'UN Treasury'!$A$1:$BQ$224,_xlfn.XMATCH(BA$1,'UN Treasury'!$A$1:$BQ$1,-1,1),FALSE)</f>
        <v>2.2759999999999998</v>
      </c>
      <c r="BB131">
        <f>VLOOKUP($A131,'UN Treasury'!$A$1:$BQ$224,_xlfn.XMATCH(BB$1,'UN Treasury'!$A$1:$BQ$1,-1,1),FALSE)</f>
        <v>2.2080000000000002</v>
      </c>
      <c r="BC131">
        <f>VLOOKUP($A131,'UN Treasury'!$A$1:$BQ$224,_xlfn.XMATCH(BC$1,'UN Treasury'!$A$1:$BQ$1,-1,1),FALSE)</f>
        <v>2.226</v>
      </c>
      <c r="BD131">
        <f>VLOOKUP($A131,'UN Treasury'!$A$1:$BQ$224,_xlfn.XMATCH(BD$1,'UN Treasury'!$A$1:$BQ$1,-1,1),FALSE)</f>
        <v>2.2240000000000002</v>
      </c>
      <c r="BE131">
        <f>VLOOKUP($A131,'UN Treasury'!$A$1:$BQ$224,_xlfn.XMATCH(BE$1,'UN Treasury'!$A$1:$BQ$1,-1,1),FALSE)</f>
        <v>2.234</v>
      </c>
      <c r="BF131">
        <f>VLOOKUP($A131,'UN Treasury'!$A$1:$BQ$224,_xlfn.XMATCH(BF$1,'UN Treasury'!$A$1:$BQ$1,-1,1),FALSE)</f>
        <v>2.226</v>
      </c>
      <c r="BG131">
        <f>VLOOKUP($A131,'UN Treasury'!$A$1:$BQ$224,_xlfn.XMATCH(BG$1,'UN Treasury'!$A$1:$BQ$1,-1,1),FALSE)</f>
        <v>2.1779999999999999</v>
      </c>
      <c r="BH131">
        <f>VLOOKUP($A131,'UN Treasury'!$A$1:$BQ$224,_xlfn.XMATCH(BH$1,'UN Treasury'!$A$1:$BQ$1,-1,1),FALSE)</f>
        <v>2.1920000000000002</v>
      </c>
      <c r="BI131">
        <f>VLOOKUP($A131,'UN Treasury'!$A$1:$BQ$224,_xlfn.XMATCH(BI$1,'UN Treasury'!$A$1:$BQ$1,-1,1),FALSE)</f>
        <v>2.1920000000000002</v>
      </c>
      <c r="BJ131">
        <f>VLOOKUP($A131,'UN Treasury'!$A$1:$BQ$224,_xlfn.XMATCH(BJ$1,'UN Treasury'!$A$1:$BQ$1,-1,1),FALSE)</f>
        <v>2.1920000000000002</v>
      </c>
      <c r="BK131">
        <f>VLOOKUP($A131,'UN Treasury'!$A$1:$BQ$224,_xlfn.XMATCH(BK$1,'UN Treasury'!$A$1:$BQ$1,-1,1),FALSE)</f>
        <v>2.1869999999999998</v>
      </c>
      <c r="BL131">
        <f>VLOOKUP($A131,'UN Treasury'!$A$1:$BQ$224,_xlfn.XMATCH(BL$1,'UN Treasury'!$A$1:$BQ$1,-1,1),FALSE)</f>
        <v>2.2040000000000002</v>
      </c>
      <c r="BM131">
        <f>VLOOKUP($A131,'UN Treasury'!$A$1:$BQ$224,_xlfn.XMATCH(BM$1,'UN Treasury'!$A$1:$BQ$1,-1,1),FALSE)</f>
        <v>2.2309999999999999</v>
      </c>
      <c r="BN131">
        <f>VLOOKUP($A131,'UN Treasury'!$A$1:$BQ$224,_xlfn.XMATCH(BN$1,'UN Treasury'!$A$1:$BQ$1,-1,1),FALSE)</f>
        <v>2.2320000000000002</v>
      </c>
      <c r="BO131">
        <f>VLOOKUP($A131,'UN Treasury'!$A$1:$BQ$224,_xlfn.XMATCH(BO$1,'UN Treasury'!$A$1:$BQ$1,-1,1),FALSE)</f>
        <v>2.2530000000000001</v>
      </c>
      <c r="BP131">
        <f>VLOOKUP($A131,'UN Treasury'!$A$1:$BQ$224,_xlfn.XMATCH(BP$1,'UN Treasury'!$A$1:$BQ$1,-1,1),FALSE)</f>
        <v>2.2490000000000001</v>
      </c>
      <c r="BQ131">
        <f>VLOOKUP($A131,'UN Treasury'!$A$1:$BQ$224,_xlfn.XMATCH(BQ$1,'UN Treasury'!$A$1:$BQ$1,-1,1),FALSE)</f>
        <v>2.206</v>
      </c>
    </row>
    <row r="132" spans="1:69" x14ac:dyDescent="0.25">
      <c r="A132" t="s">
        <v>280</v>
      </c>
      <c r="B132">
        <f>VLOOKUP($A132,'UN Treasury'!$A$1:$BQ$224,_xlfn.XMATCH(B$1,'UN Treasury'!$A$1:$BQ$1,-1,1),FALSE)</f>
        <v>47.774000000000001</v>
      </c>
      <c r="C132">
        <f>VLOOKUP($A132,'UN Treasury'!$A$1:$BQ$224,_xlfn.XMATCH(C$1,'UN Treasury'!$A$1:$BQ$1,-1,1),FALSE)</f>
        <v>46.997</v>
      </c>
      <c r="D132">
        <f>VLOOKUP($A132,'UN Treasury'!$A$1:$BQ$224,_xlfn.XMATCH(D$1,'UN Treasury'!$A$1:$BQ$1,-1,1),FALSE)</f>
        <v>46.152999999999999</v>
      </c>
      <c r="E132">
        <f>VLOOKUP($A132,'UN Treasury'!$A$1:$BQ$224,_xlfn.XMATCH(E$1,'UN Treasury'!$A$1:$BQ$1,-1,1),FALSE)</f>
        <v>45.415999999999997</v>
      </c>
      <c r="F132">
        <f>VLOOKUP($A132,'UN Treasury'!$A$1:$BQ$224,_xlfn.XMATCH(F$1,'UN Treasury'!$A$1:$BQ$1,-1,1),FALSE)</f>
        <v>44.716000000000001</v>
      </c>
      <c r="G132">
        <f>VLOOKUP($A132,'UN Treasury'!$A$1:$BQ$224,_xlfn.XMATCH(G$1,'UN Treasury'!$A$1:$BQ$1,-1,1),FALSE)</f>
        <v>44.113999999999997</v>
      </c>
      <c r="H132">
        <f>VLOOKUP($A132,'UN Treasury'!$A$1:$BQ$224,_xlfn.XMATCH(H$1,'UN Treasury'!$A$1:$BQ$1,-1,1),FALSE)</f>
        <v>43.648000000000003</v>
      </c>
      <c r="I132">
        <f>VLOOKUP($A132,'UN Treasury'!$A$1:$BQ$224,_xlfn.XMATCH(I$1,'UN Treasury'!$A$1:$BQ$1,-1,1),FALSE)</f>
        <v>43.156999999999996</v>
      </c>
      <c r="J132">
        <f>VLOOKUP($A132,'UN Treasury'!$A$1:$BQ$224,_xlfn.XMATCH(J$1,'UN Treasury'!$A$1:$BQ$1,-1,1),FALSE)</f>
        <v>42.615000000000002</v>
      </c>
      <c r="K132">
        <f>VLOOKUP($A132,'UN Treasury'!$A$1:$BQ$224,_xlfn.XMATCH(K$1,'UN Treasury'!$A$1:$BQ$1,-1,1),FALSE)</f>
        <v>42.241</v>
      </c>
      <c r="L132">
        <f>VLOOKUP($A132,'UN Treasury'!$A$1:$BQ$224,_xlfn.XMATCH(L$1,'UN Treasury'!$A$1:$BQ$1,-1,1),FALSE)</f>
        <v>41.8</v>
      </c>
      <c r="M132">
        <f>VLOOKUP($A132,'UN Treasury'!$A$1:$BQ$224,_xlfn.XMATCH(M$1,'UN Treasury'!$A$1:$BQ$1,-1,1),FALSE)</f>
        <v>41.284999999999997</v>
      </c>
      <c r="N132">
        <f>VLOOKUP($A132,'UN Treasury'!$A$1:$BQ$224,_xlfn.XMATCH(N$1,'UN Treasury'!$A$1:$BQ$1,-1,1),FALSE)</f>
        <v>40.744999999999997</v>
      </c>
      <c r="O132">
        <f>VLOOKUP($A132,'UN Treasury'!$A$1:$BQ$224,_xlfn.XMATCH(O$1,'UN Treasury'!$A$1:$BQ$1,-1,1),FALSE)</f>
        <v>40.170999999999999</v>
      </c>
      <c r="P132">
        <f>VLOOKUP($A132,'UN Treasury'!$A$1:$BQ$224,_xlfn.XMATCH(P$1,'UN Treasury'!$A$1:$BQ$1,-1,1),FALSE)</f>
        <v>39.183</v>
      </c>
      <c r="Q132">
        <f>VLOOKUP($A132,'UN Treasury'!$A$1:$BQ$224,_xlfn.XMATCH(Q$1,'UN Treasury'!$A$1:$BQ$1,-1,1),FALSE)</f>
        <v>38.756999999999998</v>
      </c>
      <c r="R132">
        <f>VLOOKUP($A132,'UN Treasury'!$A$1:$BQ$224,_xlfn.XMATCH(R$1,'UN Treasury'!$A$1:$BQ$1,-1,1),FALSE)</f>
        <v>38.048999999999999</v>
      </c>
      <c r="S132">
        <f>VLOOKUP($A132,'UN Treasury'!$A$1:$BQ$224,_xlfn.XMATCH(S$1,'UN Treasury'!$A$1:$BQ$1,-1,1),FALSE)</f>
        <v>36.601999999999997</v>
      </c>
      <c r="T132">
        <f>VLOOKUP($A132,'UN Treasury'!$A$1:$BQ$224,_xlfn.XMATCH(T$1,'UN Treasury'!$A$1:$BQ$1,-1,1),FALSE)</f>
        <v>36.1</v>
      </c>
      <c r="U132">
        <f>VLOOKUP($A132,'UN Treasury'!$A$1:$BQ$224,_xlfn.XMATCH(U$1,'UN Treasury'!$A$1:$BQ$1,-1,1),FALSE)</f>
        <v>35.484000000000002</v>
      </c>
      <c r="V132">
        <f>VLOOKUP($A132,'UN Treasury'!$A$1:$BQ$224,_xlfn.XMATCH(V$1,'UN Treasury'!$A$1:$BQ$1,-1,1),FALSE)</f>
        <v>34.863</v>
      </c>
      <c r="W132">
        <f>VLOOKUP($A132,'UN Treasury'!$A$1:$BQ$224,_xlfn.XMATCH(W$1,'UN Treasury'!$A$1:$BQ$1,-1,1),FALSE)</f>
        <v>34.340000000000003</v>
      </c>
      <c r="X132">
        <f>VLOOKUP($A132,'UN Treasury'!$A$1:$BQ$224,_xlfn.XMATCH(X$1,'UN Treasury'!$A$1:$BQ$1,-1,1),FALSE)</f>
        <v>34.284999999999997</v>
      </c>
      <c r="Y132">
        <f>VLOOKUP($A132,'UN Treasury'!$A$1:$BQ$224,_xlfn.XMATCH(Y$1,'UN Treasury'!$A$1:$BQ$1,-1,1),FALSE)</f>
        <v>33.99</v>
      </c>
      <c r="Z132">
        <f>VLOOKUP($A132,'UN Treasury'!$A$1:$BQ$224,_xlfn.XMATCH(Z$1,'UN Treasury'!$A$1:$BQ$1,-1,1),FALSE)</f>
        <v>33.537999999999997</v>
      </c>
      <c r="AA132">
        <f>VLOOKUP($A132,'UN Treasury'!$A$1:$BQ$224,_xlfn.XMATCH(AA$1,'UN Treasury'!$A$1:$BQ$1,-1,1),FALSE)</f>
        <v>32.83</v>
      </c>
      <c r="AB132">
        <f>VLOOKUP($A132,'UN Treasury'!$A$1:$BQ$224,_xlfn.XMATCH(AB$1,'UN Treasury'!$A$1:$BQ$1,-1,1),FALSE)</f>
        <v>32.286000000000001</v>
      </c>
      <c r="AC132">
        <f>VLOOKUP($A132,'UN Treasury'!$A$1:$BQ$224,_xlfn.XMATCH(AC$1,'UN Treasury'!$A$1:$BQ$1,-1,1),FALSE)</f>
        <v>32.182000000000002</v>
      </c>
      <c r="AD132">
        <f>VLOOKUP($A132,'UN Treasury'!$A$1:$BQ$224,_xlfn.XMATCH(AD$1,'UN Treasury'!$A$1:$BQ$1,-1,1),FALSE)</f>
        <v>32.265999999999998</v>
      </c>
      <c r="AE132">
        <f>VLOOKUP($A132,'UN Treasury'!$A$1:$BQ$224,_xlfn.XMATCH(AE$1,'UN Treasury'!$A$1:$BQ$1,-1,1),FALSE)</f>
        <v>32.094999999999999</v>
      </c>
      <c r="AF132">
        <f>VLOOKUP($A132,'UN Treasury'!$A$1:$BQ$224,_xlfn.XMATCH(AF$1,'UN Treasury'!$A$1:$BQ$1,-1,1),FALSE)</f>
        <v>30.722999999999999</v>
      </c>
      <c r="AG132">
        <f>VLOOKUP($A132,'UN Treasury'!$A$1:$BQ$224,_xlfn.XMATCH(AG$1,'UN Treasury'!$A$1:$BQ$1,-1,1),FALSE)</f>
        <v>29.994</v>
      </c>
      <c r="AH132">
        <f>VLOOKUP($A132,'UN Treasury'!$A$1:$BQ$224,_xlfn.XMATCH(AH$1,'UN Treasury'!$A$1:$BQ$1,-1,1),FALSE)</f>
        <v>29.055</v>
      </c>
      <c r="AI132">
        <f>VLOOKUP($A132,'UN Treasury'!$A$1:$BQ$224,_xlfn.XMATCH(AI$1,'UN Treasury'!$A$1:$BQ$1,-1,1),FALSE)</f>
        <v>28.584</v>
      </c>
      <c r="AJ132">
        <f>VLOOKUP($A132,'UN Treasury'!$A$1:$BQ$224,_xlfn.XMATCH(AJ$1,'UN Treasury'!$A$1:$BQ$1,-1,1),FALSE)</f>
        <v>27.731999999999999</v>
      </c>
      <c r="AK132">
        <f>VLOOKUP($A132,'UN Treasury'!$A$1:$BQ$224,_xlfn.XMATCH(AK$1,'UN Treasury'!$A$1:$BQ$1,-1,1),FALSE)</f>
        <v>26.931000000000001</v>
      </c>
      <c r="AL132">
        <f>VLOOKUP($A132,'UN Treasury'!$A$1:$BQ$224,_xlfn.XMATCH(AL$1,'UN Treasury'!$A$1:$BQ$1,-1,1),FALSE)</f>
        <v>27.044</v>
      </c>
      <c r="AM132">
        <f>VLOOKUP($A132,'UN Treasury'!$A$1:$BQ$224,_xlfn.XMATCH(AM$1,'UN Treasury'!$A$1:$BQ$1,-1,1),FALSE)</f>
        <v>26.145</v>
      </c>
      <c r="AN132">
        <f>VLOOKUP($A132,'UN Treasury'!$A$1:$BQ$224,_xlfn.XMATCH(AN$1,'UN Treasury'!$A$1:$BQ$1,-1,1),FALSE)</f>
        <v>23.628</v>
      </c>
      <c r="AO132">
        <f>VLOOKUP($A132,'UN Treasury'!$A$1:$BQ$224,_xlfn.XMATCH(AO$1,'UN Treasury'!$A$1:$BQ$1,-1,1),FALSE)</f>
        <v>19.558</v>
      </c>
      <c r="AP132">
        <f>VLOOKUP($A132,'UN Treasury'!$A$1:$BQ$224,_xlfn.XMATCH(AP$1,'UN Treasury'!$A$1:$BQ$1,-1,1),FALSE)</f>
        <v>19.315999999999999</v>
      </c>
      <c r="AQ132">
        <f>VLOOKUP($A132,'UN Treasury'!$A$1:$BQ$224,_xlfn.XMATCH(AQ$1,'UN Treasury'!$A$1:$BQ$1,-1,1),FALSE)</f>
        <v>18.975000000000001</v>
      </c>
      <c r="AR132">
        <f>VLOOKUP($A132,'UN Treasury'!$A$1:$BQ$224,_xlfn.XMATCH(AR$1,'UN Treasury'!$A$1:$BQ$1,-1,1),FALSE)</f>
        <v>18.843</v>
      </c>
      <c r="AS132">
        <f>VLOOKUP($A132,'UN Treasury'!$A$1:$BQ$224,_xlfn.XMATCH(AS$1,'UN Treasury'!$A$1:$BQ$1,-1,1),FALSE)</f>
        <v>18.774999999999999</v>
      </c>
      <c r="AT132">
        <f>VLOOKUP($A132,'UN Treasury'!$A$1:$BQ$224,_xlfn.XMATCH(AT$1,'UN Treasury'!$A$1:$BQ$1,-1,1),FALSE)</f>
        <v>18.632999999999999</v>
      </c>
      <c r="AU132">
        <f>VLOOKUP($A132,'UN Treasury'!$A$1:$BQ$224,_xlfn.XMATCH(AU$1,'UN Treasury'!$A$1:$BQ$1,-1,1),FALSE)</f>
        <v>18.538</v>
      </c>
      <c r="AV132">
        <f>VLOOKUP($A132,'UN Treasury'!$A$1:$BQ$224,_xlfn.XMATCH(AV$1,'UN Treasury'!$A$1:$BQ$1,-1,1),FALSE)</f>
        <v>18.582000000000001</v>
      </c>
      <c r="AW132">
        <f>VLOOKUP($A132,'UN Treasury'!$A$1:$BQ$224,_xlfn.XMATCH(AW$1,'UN Treasury'!$A$1:$BQ$1,-1,1),FALSE)</f>
        <v>18.247</v>
      </c>
      <c r="AX132">
        <f>VLOOKUP($A132,'UN Treasury'!$A$1:$BQ$224,_xlfn.XMATCH(AX$1,'UN Treasury'!$A$1:$BQ$1,-1,1),FALSE)</f>
        <v>17.954999999999998</v>
      </c>
      <c r="AY132">
        <f>VLOOKUP($A132,'UN Treasury'!$A$1:$BQ$224,_xlfn.XMATCH(AY$1,'UN Treasury'!$A$1:$BQ$1,-1,1),FALSE)</f>
        <v>17.417999999999999</v>
      </c>
      <c r="AZ132">
        <f>VLOOKUP($A132,'UN Treasury'!$A$1:$BQ$224,_xlfn.XMATCH(AZ$1,'UN Treasury'!$A$1:$BQ$1,-1,1),FALSE)</f>
        <v>17.257000000000001</v>
      </c>
      <c r="BA132">
        <f>VLOOKUP($A132,'UN Treasury'!$A$1:$BQ$224,_xlfn.XMATCH(BA$1,'UN Treasury'!$A$1:$BQ$1,-1,1),FALSE)</f>
        <v>15.308</v>
      </c>
      <c r="BB132">
        <f>VLOOKUP($A132,'UN Treasury'!$A$1:$BQ$224,_xlfn.XMATCH(BB$1,'UN Treasury'!$A$1:$BQ$1,-1,1),FALSE)</f>
        <v>14.659000000000001</v>
      </c>
      <c r="BC132">
        <f>VLOOKUP($A132,'UN Treasury'!$A$1:$BQ$224,_xlfn.XMATCH(BC$1,'UN Treasury'!$A$1:$BQ$1,-1,1),FALSE)</f>
        <v>14.718</v>
      </c>
      <c r="BD132">
        <f>VLOOKUP($A132,'UN Treasury'!$A$1:$BQ$224,_xlfn.XMATCH(BD$1,'UN Treasury'!$A$1:$BQ$1,-1,1),FALSE)</f>
        <v>13.489000000000001</v>
      </c>
      <c r="BE132">
        <f>VLOOKUP($A132,'UN Treasury'!$A$1:$BQ$224,_xlfn.XMATCH(BE$1,'UN Treasury'!$A$1:$BQ$1,-1,1),FALSE)</f>
        <v>13.68</v>
      </c>
      <c r="BF132">
        <f>VLOOKUP($A132,'UN Treasury'!$A$1:$BQ$224,_xlfn.XMATCH(BF$1,'UN Treasury'!$A$1:$BQ$1,-1,1),FALSE)</f>
        <v>14.278</v>
      </c>
      <c r="BG132">
        <f>VLOOKUP($A132,'UN Treasury'!$A$1:$BQ$224,_xlfn.XMATCH(BG$1,'UN Treasury'!$A$1:$BQ$1,-1,1),FALSE)</f>
        <v>9.5299999999999994</v>
      </c>
      <c r="BH132">
        <f>VLOOKUP($A132,'UN Treasury'!$A$1:$BQ$224,_xlfn.XMATCH(BH$1,'UN Treasury'!$A$1:$BQ$1,-1,1),FALSE)</f>
        <v>8.8699999999999992</v>
      </c>
      <c r="BI132">
        <f>VLOOKUP($A132,'UN Treasury'!$A$1:$BQ$224,_xlfn.XMATCH(BI$1,'UN Treasury'!$A$1:$BQ$1,-1,1),FALSE)</f>
        <v>8.3770000000000007</v>
      </c>
      <c r="BJ132">
        <f>VLOOKUP($A132,'UN Treasury'!$A$1:$BQ$224,_xlfn.XMATCH(BJ$1,'UN Treasury'!$A$1:$BQ$1,-1,1),FALSE)</f>
        <v>8.4920000000000009</v>
      </c>
      <c r="BK132">
        <f>VLOOKUP($A132,'UN Treasury'!$A$1:$BQ$224,_xlfn.XMATCH(BK$1,'UN Treasury'!$A$1:$BQ$1,-1,1),FALSE)</f>
        <v>8.7140000000000004</v>
      </c>
      <c r="BL132">
        <f>VLOOKUP($A132,'UN Treasury'!$A$1:$BQ$224,_xlfn.XMATCH(BL$1,'UN Treasury'!$A$1:$BQ$1,-1,1),FALSE)</f>
        <v>8.452</v>
      </c>
      <c r="BM132">
        <f>VLOOKUP($A132,'UN Treasury'!$A$1:$BQ$224,_xlfn.XMATCH(BM$1,'UN Treasury'!$A$1:$BQ$1,-1,1),FALSE)</f>
        <v>8.23</v>
      </c>
      <c r="BN132">
        <f>VLOOKUP($A132,'UN Treasury'!$A$1:$BQ$224,_xlfn.XMATCH(BN$1,'UN Treasury'!$A$1:$BQ$1,-1,1),FALSE)</f>
        <v>8.31</v>
      </c>
      <c r="BO132">
        <f>VLOOKUP($A132,'UN Treasury'!$A$1:$BQ$224,_xlfn.XMATCH(BO$1,'UN Treasury'!$A$1:$BQ$1,-1,1),FALSE)</f>
        <v>7.1989999999999998</v>
      </c>
      <c r="BP132">
        <f>VLOOKUP($A132,'UN Treasury'!$A$1:$BQ$224,_xlfn.XMATCH(BP$1,'UN Treasury'!$A$1:$BQ$1,-1,1),FALSE)</f>
        <v>7.3460000000000001</v>
      </c>
      <c r="BQ132">
        <f>VLOOKUP($A132,'UN Treasury'!$A$1:$BQ$224,_xlfn.XMATCH(BQ$1,'UN Treasury'!$A$1:$BQ$1,-1,1),FALSE)</f>
        <v>7.3449999999999998</v>
      </c>
    </row>
    <row r="133" spans="1:69" x14ac:dyDescent="0.25">
      <c r="A133" t="s">
        <v>282</v>
      </c>
      <c r="B133">
        <f>VLOOKUP($A133,'UN Treasury'!$A$1:$BQ$224,_xlfn.XMATCH(B$1,'UN Treasury'!$A$1:$BQ$1,-1,1),FALSE)</f>
        <v>6.718</v>
      </c>
      <c r="C133">
        <f>VLOOKUP($A133,'UN Treasury'!$A$1:$BQ$224,_xlfn.XMATCH(C$1,'UN Treasury'!$A$1:$BQ$1,-1,1),FALSE)</f>
        <v>6.7350000000000003</v>
      </c>
      <c r="D133">
        <f>VLOOKUP($A133,'UN Treasury'!$A$1:$BQ$224,_xlfn.XMATCH(D$1,'UN Treasury'!$A$1:$BQ$1,-1,1),FALSE)</f>
        <v>6.7350000000000003</v>
      </c>
      <c r="E133">
        <f>VLOOKUP($A133,'UN Treasury'!$A$1:$BQ$224,_xlfn.XMATCH(E$1,'UN Treasury'!$A$1:$BQ$1,-1,1),FALSE)</f>
        <v>6.726</v>
      </c>
      <c r="F133">
        <f>VLOOKUP($A133,'UN Treasury'!$A$1:$BQ$224,_xlfn.XMATCH(F$1,'UN Treasury'!$A$1:$BQ$1,-1,1),FALSE)</f>
        <v>6.7140000000000004</v>
      </c>
      <c r="G133">
        <f>VLOOKUP($A133,'UN Treasury'!$A$1:$BQ$224,_xlfn.XMATCH(G$1,'UN Treasury'!$A$1:$BQ$1,-1,1),FALSE)</f>
        <v>6.7140000000000004</v>
      </c>
      <c r="H133">
        <f>VLOOKUP($A133,'UN Treasury'!$A$1:$BQ$224,_xlfn.XMATCH(H$1,'UN Treasury'!$A$1:$BQ$1,-1,1),FALSE)</f>
        <v>6.7140000000000004</v>
      </c>
      <c r="I133">
        <f>VLOOKUP($A133,'UN Treasury'!$A$1:$BQ$224,_xlfn.XMATCH(I$1,'UN Treasury'!$A$1:$BQ$1,-1,1),FALSE)</f>
        <v>6.75</v>
      </c>
      <c r="J133">
        <f>VLOOKUP($A133,'UN Treasury'!$A$1:$BQ$224,_xlfn.XMATCH(J$1,'UN Treasury'!$A$1:$BQ$1,-1,1),FALSE)</f>
        <v>6.7539999999999996</v>
      </c>
      <c r="K133">
        <f>VLOOKUP($A133,'UN Treasury'!$A$1:$BQ$224,_xlfn.XMATCH(K$1,'UN Treasury'!$A$1:$BQ$1,-1,1),FALSE)</f>
        <v>6.7240000000000002</v>
      </c>
      <c r="L133">
        <f>VLOOKUP($A133,'UN Treasury'!$A$1:$BQ$224,_xlfn.XMATCH(L$1,'UN Treasury'!$A$1:$BQ$1,-1,1),FALSE)</f>
        <v>6.7590000000000003</v>
      </c>
      <c r="M133">
        <f>VLOOKUP($A133,'UN Treasury'!$A$1:$BQ$224,_xlfn.XMATCH(M$1,'UN Treasury'!$A$1:$BQ$1,-1,1),FALSE)</f>
        <v>6.7610000000000001</v>
      </c>
      <c r="N133">
        <f>VLOOKUP($A133,'UN Treasury'!$A$1:$BQ$224,_xlfn.XMATCH(N$1,'UN Treasury'!$A$1:$BQ$1,-1,1),FALSE)</f>
        <v>6.7469999999999999</v>
      </c>
      <c r="O133">
        <f>VLOOKUP($A133,'UN Treasury'!$A$1:$BQ$224,_xlfn.XMATCH(O$1,'UN Treasury'!$A$1:$BQ$1,-1,1),FALSE)</f>
        <v>6.7519999999999998</v>
      </c>
      <c r="P133">
        <f>VLOOKUP($A133,'UN Treasury'!$A$1:$BQ$224,_xlfn.XMATCH(P$1,'UN Treasury'!$A$1:$BQ$1,-1,1),FALSE)</f>
        <v>6.7519999999999998</v>
      </c>
      <c r="Q133">
        <f>VLOOKUP($A133,'UN Treasury'!$A$1:$BQ$224,_xlfn.XMATCH(Q$1,'UN Treasury'!$A$1:$BQ$1,-1,1),FALSE)</f>
        <v>6.7320000000000002</v>
      </c>
      <c r="R133">
        <f>VLOOKUP($A133,'UN Treasury'!$A$1:$BQ$224,_xlfn.XMATCH(R$1,'UN Treasury'!$A$1:$BQ$1,-1,1),FALSE)</f>
        <v>6.7569999999999997</v>
      </c>
      <c r="S133">
        <f>VLOOKUP($A133,'UN Treasury'!$A$1:$BQ$224,_xlfn.XMATCH(S$1,'UN Treasury'!$A$1:$BQ$1,-1,1),FALSE)</f>
        <v>6.7530000000000001</v>
      </c>
      <c r="T133">
        <f>VLOOKUP($A133,'UN Treasury'!$A$1:$BQ$224,_xlfn.XMATCH(T$1,'UN Treasury'!$A$1:$BQ$1,-1,1),FALSE)</f>
        <v>6.7409999999999997</v>
      </c>
      <c r="U133">
        <f>VLOOKUP($A133,'UN Treasury'!$A$1:$BQ$224,_xlfn.XMATCH(U$1,'UN Treasury'!$A$1:$BQ$1,-1,1),FALSE)</f>
        <v>6.7640000000000002</v>
      </c>
      <c r="V133">
        <f>VLOOKUP($A133,'UN Treasury'!$A$1:$BQ$224,_xlfn.XMATCH(V$1,'UN Treasury'!$A$1:$BQ$1,-1,1),FALSE)</f>
        <v>6.7539999999999996</v>
      </c>
      <c r="W133">
        <f>VLOOKUP($A133,'UN Treasury'!$A$1:$BQ$224,_xlfn.XMATCH(W$1,'UN Treasury'!$A$1:$BQ$1,-1,1),FALSE)</f>
        <v>6.7530000000000001</v>
      </c>
      <c r="X133">
        <f>VLOOKUP($A133,'UN Treasury'!$A$1:$BQ$224,_xlfn.XMATCH(X$1,'UN Treasury'!$A$1:$BQ$1,-1,1),FALSE)</f>
        <v>6.758</v>
      </c>
      <c r="Y133">
        <f>VLOOKUP($A133,'UN Treasury'!$A$1:$BQ$224,_xlfn.XMATCH(Y$1,'UN Treasury'!$A$1:$BQ$1,-1,1),FALSE)</f>
        <v>6.7560000000000002</v>
      </c>
      <c r="Z133">
        <f>VLOOKUP($A133,'UN Treasury'!$A$1:$BQ$224,_xlfn.XMATCH(Z$1,'UN Treasury'!$A$1:$BQ$1,-1,1),FALSE)</f>
        <v>6.7619999999999996</v>
      </c>
      <c r="AA133">
        <f>VLOOKUP($A133,'UN Treasury'!$A$1:$BQ$224,_xlfn.XMATCH(AA$1,'UN Treasury'!$A$1:$BQ$1,-1,1),FALSE)</f>
        <v>6.7530000000000001</v>
      </c>
      <c r="AB133">
        <f>VLOOKUP($A133,'UN Treasury'!$A$1:$BQ$224,_xlfn.XMATCH(AB$1,'UN Treasury'!$A$1:$BQ$1,-1,1),FALSE)</f>
        <v>6.758</v>
      </c>
      <c r="AC133">
        <f>VLOOKUP($A133,'UN Treasury'!$A$1:$BQ$224,_xlfn.XMATCH(AC$1,'UN Treasury'!$A$1:$BQ$1,-1,1),FALSE)</f>
        <v>6.7539999999999996</v>
      </c>
      <c r="AD133">
        <f>VLOOKUP($A133,'UN Treasury'!$A$1:$BQ$224,_xlfn.XMATCH(AD$1,'UN Treasury'!$A$1:$BQ$1,-1,1),FALSE)</f>
        <v>6.7510000000000003</v>
      </c>
      <c r="AE133">
        <f>VLOOKUP($A133,'UN Treasury'!$A$1:$BQ$224,_xlfn.XMATCH(AE$1,'UN Treasury'!$A$1:$BQ$1,-1,1),FALSE)</f>
        <v>6.7549999999999999</v>
      </c>
      <c r="AF133">
        <f>VLOOKUP($A133,'UN Treasury'!$A$1:$BQ$224,_xlfn.XMATCH(AF$1,'UN Treasury'!$A$1:$BQ$1,-1,1),FALSE)</f>
        <v>6.75</v>
      </c>
      <c r="AG133">
        <f>VLOOKUP($A133,'UN Treasury'!$A$1:$BQ$224,_xlfn.XMATCH(AG$1,'UN Treasury'!$A$1:$BQ$1,-1,1),FALSE)</f>
        <v>6.7469999999999999</v>
      </c>
      <c r="AH133">
        <f>VLOOKUP($A133,'UN Treasury'!$A$1:$BQ$224,_xlfn.XMATCH(AH$1,'UN Treasury'!$A$1:$BQ$1,-1,1),FALSE)</f>
        <v>6.7450000000000001</v>
      </c>
      <c r="AI133">
        <f>VLOOKUP($A133,'UN Treasury'!$A$1:$BQ$224,_xlfn.XMATCH(AI$1,'UN Treasury'!$A$1:$BQ$1,-1,1),FALSE)</f>
        <v>6.7320000000000002</v>
      </c>
      <c r="AJ133">
        <f>VLOOKUP($A133,'UN Treasury'!$A$1:$BQ$224,_xlfn.XMATCH(AJ$1,'UN Treasury'!$A$1:$BQ$1,-1,1),FALSE)</f>
        <v>6.7439999999999998</v>
      </c>
      <c r="AK133">
        <f>VLOOKUP($A133,'UN Treasury'!$A$1:$BQ$224,_xlfn.XMATCH(AK$1,'UN Treasury'!$A$1:$BQ$1,-1,1),FALSE)</f>
        <v>6.75</v>
      </c>
      <c r="AL133">
        <f>VLOOKUP($A133,'UN Treasury'!$A$1:$BQ$224,_xlfn.XMATCH(AL$1,'UN Treasury'!$A$1:$BQ$1,-1,1),FALSE)</f>
        <v>6.7329999999999997</v>
      </c>
      <c r="AM133">
        <f>VLOOKUP($A133,'UN Treasury'!$A$1:$BQ$224,_xlfn.XMATCH(AM$1,'UN Treasury'!$A$1:$BQ$1,-1,1),FALSE)</f>
        <v>6.7359999999999998</v>
      </c>
      <c r="AN133">
        <f>VLOOKUP($A133,'UN Treasury'!$A$1:$BQ$224,_xlfn.XMATCH(AN$1,'UN Treasury'!$A$1:$BQ$1,-1,1),FALSE)</f>
        <v>6.7279999999999998</v>
      </c>
      <c r="AO133">
        <f>VLOOKUP($A133,'UN Treasury'!$A$1:$BQ$224,_xlfn.XMATCH(AO$1,'UN Treasury'!$A$1:$BQ$1,-1,1),FALSE)</f>
        <v>6.7530000000000001</v>
      </c>
      <c r="AP133">
        <f>VLOOKUP($A133,'UN Treasury'!$A$1:$BQ$224,_xlfn.XMATCH(AP$1,'UN Treasury'!$A$1:$BQ$1,-1,1),FALSE)</f>
        <v>6.7530000000000001</v>
      </c>
      <c r="AQ133">
        <f>VLOOKUP($A133,'UN Treasury'!$A$1:$BQ$224,_xlfn.XMATCH(AQ$1,'UN Treasury'!$A$1:$BQ$1,-1,1),FALSE)</f>
        <v>6.7709999999999999</v>
      </c>
      <c r="AR133">
        <f>VLOOKUP($A133,'UN Treasury'!$A$1:$BQ$224,_xlfn.XMATCH(AR$1,'UN Treasury'!$A$1:$BQ$1,-1,1),FALSE)</f>
        <v>6.7649999999999997</v>
      </c>
      <c r="AS133">
        <f>VLOOKUP($A133,'UN Treasury'!$A$1:$BQ$224,_xlfn.XMATCH(AS$1,'UN Treasury'!$A$1:$BQ$1,-1,1),FALSE)</f>
        <v>6.7629999999999999</v>
      </c>
      <c r="AT133">
        <f>VLOOKUP($A133,'UN Treasury'!$A$1:$BQ$224,_xlfn.XMATCH(AT$1,'UN Treasury'!$A$1:$BQ$1,-1,1),FALSE)</f>
        <v>6.7460000000000004</v>
      </c>
      <c r="AU133">
        <f>VLOOKUP($A133,'UN Treasury'!$A$1:$BQ$224,_xlfn.XMATCH(AU$1,'UN Treasury'!$A$1:$BQ$1,-1,1),FALSE)</f>
        <v>6.7519999999999998</v>
      </c>
      <c r="AV133">
        <f>VLOOKUP($A133,'UN Treasury'!$A$1:$BQ$224,_xlfn.XMATCH(AV$1,'UN Treasury'!$A$1:$BQ$1,-1,1),FALSE)</f>
        <v>6.7460000000000004</v>
      </c>
      <c r="AW133">
        <f>VLOOKUP($A133,'UN Treasury'!$A$1:$BQ$224,_xlfn.XMATCH(AW$1,'UN Treasury'!$A$1:$BQ$1,-1,1),FALSE)</f>
        <v>6.7519999999999998</v>
      </c>
      <c r="AX133">
        <f>VLOOKUP($A133,'UN Treasury'!$A$1:$BQ$224,_xlfn.XMATCH(AX$1,'UN Treasury'!$A$1:$BQ$1,-1,1),FALSE)</f>
        <v>6.7469999999999999</v>
      </c>
      <c r="AY133">
        <f>VLOOKUP($A133,'UN Treasury'!$A$1:$BQ$224,_xlfn.XMATCH(AY$1,'UN Treasury'!$A$1:$BQ$1,-1,1),FALSE)</f>
        <v>6.7270000000000003</v>
      </c>
      <c r="AZ133">
        <f>VLOOKUP($A133,'UN Treasury'!$A$1:$BQ$224,_xlfn.XMATCH(AZ$1,'UN Treasury'!$A$1:$BQ$1,-1,1),FALSE)</f>
        <v>6.74</v>
      </c>
      <c r="BA133">
        <f>VLOOKUP($A133,'UN Treasury'!$A$1:$BQ$224,_xlfn.XMATCH(BA$1,'UN Treasury'!$A$1:$BQ$1,-1,1),FALSE)</f>
        <v>6.7610000000000001</v>
      </c>
      <c r="BB133">
        <f>VLOOKUP($A133,'UN Treasury'!$A$1:$BQ$224,_xlfn.XMATCH(BB$1,'UN Treasury'!$A$1:$BQ$1,-1,1),FALSE)</f>
        <v>6.7530000000000001</v>
      </c>
      <c r="BC133">
        <f>VLOOKUP($A133,'UN Treasury'!$A$1:$BQ$224,_xlfn.XMATCH(BC$1,'UN Treasury'!$A$1:$BQ$1,-1,1),FALSE)</f>
        <v>6.766</v>
      </c>
      <c r="BD133">
        <f>VLOOKUP($A133,'UN Treasury'!$A$1:$BQ$224,_xlfn.XMATCH(BD$1,'UN Treasury'!$A$1:$BQ$1,-1,1),FALSE)</f>
        <v>6.7640000000000002</v>
      </c>
      <c r="BE133">
        <f>VLOOKUP($A133,'UN Treasury'!$A$1:$BQ$224,_xlfn.XMATCH(BE$1,'UN Treasury'!$A$1:$BQ$1,-1,1),FALSE)</f>
        <v>6.7779999999999996</v>
      </c>
      <c r="BF133">
        <f>VLOOKUP($A133,'UN Treasury'!$A$1:$BQ$224,_xlfn.XMATCH(BF$1,'UN Treasury'!$A$1:$BQ$1,-1,1),FALSE)</f>
        <v>6.7389999999999999</v>
      </c>
      <c r="BG133">
        <f>VLOOKUP($A133,'UN Treasury'!$A$1:$BQ$224,_xlfn.XMATCH(BG$1,'UN Treasury'!$A$1:$BQ$1,-1,1),FALSE)</f>
        <v>6.7530000000000001</v>
      </c>
      <c r="BH133">
        <f>VLOOKUP($A133,'UN Treasury'!$A$1:$BQ$224,_xlfn.XMATCH(BH$1,'UN Treasury'!$A$1:$BQ$1,-1,1),FALSE)</f>
        <v>6.7610000000000001</v>
      </c>
      <c r="BI133">
        <f>VLOOKUP($A133,'UN Treasury'!$A$1:$BQ$224,_xlfn.XMATCH(BI$1,'UN Treasury'!$A$1:$BQ$1,-1,1),FALSE)</f>
        <v>6.7569999999999997</v>
      </c>
      <c r="BJ133">
        <f>VLOOKUP($A133,'UN Treasury'!$A$1:$BQ$224,_xlfn.XMATCH(BJ$1,'UN Treasury'!$A$1:$BQ$1,-1,1),FALSE)</f>
        <v>6.7389999999999999</v>
      </c>
      <c r="BK133">
        <f>VLOOKUP($A133,'UN Treasury'!$A$1:$BQ$224,_xlfn.XMATCH(BK$1,'UN Treasury'!$A$1:$BQ$1,-1,1),FALSE)</f>
        <v>6.7409999999999997</v>
      </c>
      <c r="BL133">
        <f>VLOOKUP($A133,'UN Treasury'!$A$1:$BQ$224,_xlfn.XMATCH(BL$1,'UN Treasury'!$A$1:$BQ$1,-1,1),FALSE)</f>
        <v>6.742</v>
      </c>
      <c r="BM133">
        <f>VLOOKUP($A133,'UN Treasury'!$A$1:$BQ$224,_xlfn.XMATCH(BM$1,'UN Treasury'!$A$1:$BQ$1,-1,1),FALSE)</f>
        <v>6.6680000000000001</v>
      </c>
      <c r="BN133">
        <f>VLOOKUP($A133,'UN Treasury'!$A$1:$BQ$224,_xlfn.XMATCH(BN$1,'UN Treasury'!$A$1:$BQ$1,-1,1),FALSE)</f>
        <v>6.774</v>
      </c>
      <c r="BO133">
        <f>VLOOKUP($A133,'UN Treasury'!$A$1:$BQ$224,_xlfn.XMATCH(BO$1,'UN Treasury'!$A$1:$BQ$1,-1,1),FALSE)</f>
        <v>6.7610000000000001</v>
      </c>
      <c r="BP133">
        <f>VLOOKUP($A133,'UN Treasury'!$A$1:$BQ$224,_xlfn.XMATCH(BP$1,'UN Treasury'!$A$1:$BQ$1,-1,1),FALSE)</f>
        <v>6.7750000000000004</v>
      </c>
      <c r="BQ133">
        <f>VLOOKUP($A133,'UN Treasury'!$A$1:$BQ$224,_xlfn.XMATCH(BQ$1,'UN Treasury'!$A$1:$BQ$1,-1,1),FALSE)</f>
        <v>6.7510000000000003</v>
      </c>
    </row>
    <row r="134" spans="1:69" x14ac:dyDescent="0.25">
      <c r="A134" t="s">
        <v>284</v>
      </c>
      <c r="B134">
        <f>VLOOKUP($A134,'UN Treasury'!$A$1:$BQ$224,_xlfn.XMATCH(B$1,'UN Treasury'!$A$1:$BQ$1,-1,1),FALSE)</f>
        <v>2630</v>
      </c>
      <c r="C134">
        <f>VLOOKUP($A134,'UN Treasury'!$A$1:$BQ$224,_xlfn.XMATCH(C$1,'UN Treasury'!$A$1:$BQ$1,-1,1),FALSE)</f>
        <v>2603.25</v>
      </c>
      <c r="D134">
        <f>VLOOKUP($A134,'UN Treasury'!$A$1:$BQ$224,_xlfn.XMATCH(D$1,'UN Treasury'!$A$1:$BQ$1,-1,1),FALSE)</f>
        <v>2594.75</v>
      </c>
      <c r="E134">
        <f>VLOOKUP($A134,'UN Treasury'!$A$1:$BQ$224,_xlfn.XMATCH(E$1,'UN Treasury'!$A$1:$BQ$1,-1,1),FALSE)</f>
        <v>2583.54</v>
      </c>
      <c r="F134">
        <f>VLOOKUP($A134,'UN Treasury'!$A$1:$BQ$224,_xlfn.XMATCH(F$1,'UN Treasury'!$A$1:$BQ$1,-1,1),FALSE)</f>
        <v>2585.14</v>
      </c>
      <c r="G134">
        <f>VLOOKUP($A134,'UN Treasury'!$A$1:$BQ$224,_xlfn.XMATCH(G$1,'UN Treasury'!$A$1:$BQ$1,-1,1),FALSE)</f>
        <v>2580</v>
      </c>
      <c r="H134">
        <f>VLOOKUP($A134,'UN Treasury'!$A$1:$BQ$224,_xlfn.XMATCH(H$1,'UN Treasury'!$A$1:$BQ$1,-1,1),FALSE)</f>
        <v>2560.9</v>
      </c>
      <c r="I134">
        <f>VLOOKUP($A134,'UN Treasury'!$A$1:$BQ$224,_xlfn.XMATCH(I$1,'UN Treasury'!$A$1:$BQ$1,-1,1),FALSE)</f>
        <v>2473.86</v>
      </c>
      <c r="J134">
        <f>VLOOKUP($A134,'UN Treasury'!$A$1:$BQ$224,_xlfn.XMATCH(J$1,'UN Treasury'!$A$1:$BQ$1,-1,1),FALSE)</f>
        <v>2437.2399999999998</v>
      </c>
      <c r="K134">
        <f>VLOOKUP($A134,'UN Treasury'!$A$1:$BQ$224,_xlfn.XMATCH(K$1,'UN Treasury'!$A$1:$BQ$1,-1,1),FALSE)</f>
        <v>2430</v>
      </c>
      <c r="L134">
        <f>VLOOKUP($A134,'UN Treasury'!$A$1:$BQ$224,_xlfn.XMATCH(L$1,'UN Treasury'!$A$1:$BQ$1,-1,1),FALSE)</f>
        <v>2425</v>
      </c>
      <c r="M134">
        <f>VLOOKUP($A134,'UN Treasury'!$A$1:$BQ$224,_xlfn.XMATCH(M$1,'UN Treasury'!$A$1:$BQ$1,-1,1),FALSE)</f>
        <v>2437</v>
      </c>
      <c r="N134">
        <f>VLOOKUP($A134,'UN Treasury'!$A$1:$BQ$224,_xlfn.XMATCH(N$1,'UN Treasury'!$A$1:$BQ$1,-1,1),FALSE)</f>
        <v>2520</v>
      </c>
      <c r="O134">
        <f>VLOOKUP($A134,'UN Treasury'!$A$1:$BQ$224,_xlfn.XMATCH(O$1,'UN Treasury'!$A$1:$BQ$1,-1,1),FALSE)</f>
        <v>2570</v>
      </c>
      <c r="P134">
        <f>VLOOKUP($A134,'UN Treasury'!$A$1:$BQ$224,_xlfn.XMATCH(P$1,'UN Treasury'!$A$1:$BQ$1,-1,1),FALSE)</f>
        <v>2591.14</v>
      </c>
      <c r="Q134">
        <f>VLOOKUP($A134,'UN Treasury'!$A$1:$BQ$224,_xlfn.XMATCH(Q$1,'UN Treasury'!$A$1:$BQ$1,-1,1),FALSE)</f>
        <v>2671.81</v>
      </c>
      <c r="R134">
        <f>VLOOKUP($A134,'UN Treasury'!$A$1:$BQ$224,_xlfn.XMATCH(R$1,'UN Treasury'!$A$1:$BQ$1,-1,1),FALSE)</f>
        <v>2668.47</v>
      </c>
      <c r="S134">
        <f>VLOOKUP($A134,'UN Treasury'!$A$1:$BQ$224,_xlfn.XMATCH(S$1,'UN Treasury'!$A$1:$BQ$1,-1,1),FALSE)</f>
        <v>2631</v>
      </c>
      <c r="T134">
        <f>VLOOKUP($A134,'UN Treasury'!$A$1:$BQ$224,_xlfn.XMATCH(T$1,'UN Treasury'!$A$1:$BQ$1,-1,1),FALSE)</f>
        <v>2566.79</v>
      </c>
      <c r="U134">
        <f>VLOOKUP($A134,'UN Treasury'!$A$1:$BQ$224,_xlfn.XMATCH(U$1,'UN Treasury'!$A$1:$BQ$1,-1,1),FALSE)</f>
        <v>2462</v>
      </c>
      <c r="V134">
        <f>VLOOKUP($A134,'UN Treasury'!$A$1:$BQ$224,_xlfn.XMATCH(V$1,'UN Treasury'!$A$1:$BQ$1,-1,1),FALSE)</f>
        <v>2418.5</v>
      </c>
      <c r="W134">
        <f>VLOOKUP($A134,'UN Treasury'!$A$1:$BQ$224,_xlfn.XMATCH(W$1,'UN Treasury'!$A$1:$BQ$1,-1,1),FALSE)</f>
        <v>2647.02</v>
      </c>
      <c r="X134">
        <f>VLOOKUP($A134,'UN Treasury'!$A$1:$BQ$224,_xlfn.XMATCH(X$1,'UN Treasury'!$A$1:$BQ$1,-1,1),FALSE)</f>
        <v>2715</v>
      </c>
      <c r="Y134">
        <f>VLOOKUP($A134,'UN Treasury'!$A$1:$BQ$224,_xlfn.XMATCH(Y$1,'UN Treasury'!$A$1:$BQ$1,-1,1),FALSE)</f>
        <v>2711.53</v>
      </c>
      <c r="Z134">
        <f>VLOOKUP($A134,'UN Treasury'!$A$1:$BQ$224,_xlfn.XMATCH(Z$1,'UN Treasury'!$A$1:$BQ$1,-1,1),FALSE)</f>
        <v>2699.49</v>
      </c>
      <c r="AA134">
        <f>VLOOKUP($A134,'UN Treasury'!$A$1:$BQ$224,_xlfn.XMATCH(AA$1,'UN Treasury'!$A$1:$BQ$1,-1,1),FALSE)</f>
        <v>2667.21</v>
      </c>
      <c r="AB134">
        <f>VLOOKUP($A134,'UN Treasury'!$A$1:$BQ$224,_xlfn.XMATCH(AB$1,'UN Treasury'!$A$1:$BQ$1,-1,1),FALSE)</f>
        <v>2601.62</v>
      </c>
      <c r="AC134">
        <f>VLOOKUP($A134,'UN Treasury'!$A$1:$BQ$224,_xlfn.XMATCH(AC$1,'UN Treasury'!$A$1:$BQ$1,-1,1),FALSE)</f>
        <v>2580.77</v>
      </c>
      <c r="AD134">
        <f>VLOOKUP($A134,'UN Treasury'!$A$1:$BQ$224,_xlfn.XMATCH(AD$1,'UN Treasury'!$A$1:$BQ$1,-1,1),FALSE)</f>
        <v>2571.7800000000002</v>
      </c>
      <c r="AE134">
        <f>VLOOKUP($A134,'UN Treasury'!$A$1:$BQ$224,_xlfn.XMATCH(AE$1,'UN Treasury'!$A$1:$BQ$1,-1,1),FALSE)</f>
        <v>2530</v>
      </c>
      <c r="AF134">
        <f>VLOOKUP($A134,'UN Treasury'!$A$1:$BQ$224,_xlfn.XMATCH(AF$1,'UN Treasury'!$A$1:$BQ$1,-1,1),FALSE)</f>
        <v>2533.08</v>
      </c>
      <c r="AG134">
        <f>VLOOKUP($A134,'UN Treasury'!$A$1:$BQ$224,_xlfn.XMATCH(AG$1,'UN Treasury'!$A$1:$BQ$1,-1,1),FALSE)</f>
        <v>2514.98</v>
      </c>
      <c r="AH134">
        <f>VLOOKUP($A134,'UN Treasury'!$A$1:$BQ$224,_xlfn.XMATCH(AH$1,'UN Treasury'!$A$1:$BQ$1,-1,1),FALSE)</f>
        <v>2492.88</v>
      </c>
      <c r="AI134">
        <f>VLOOKUP($A134,'UN Treasury'!$A$1:$BQ$224,_xlfn.XMATCH(AI$1,'UN Treasury'!$A$1:$BQ$1,-1,1),FALSE)</f>
        <v>2495</v>
      </c>
      <c r="AJ134">
        <f>VLOOKUP($A134,'UN Treasury'!$A$1:$BQ$224,_xlfn.XMATCH(AJ$1,'UN Treasury'!$A$1:$BQ$1,-1,1),FALSE)</f>
        <v>2492.2600000000002</v>
      </c>
      <c r="AK134">
        <f>VLOOKUP($A134,'UN Treasury'!$A$1:$BQ$224,_xlfn.XMATCH(AK$1,'UN Treasury'!$A$1:$BQ$1,-1,1),FALSE)</f>
        <v>2500</v>
      </c>
      <c r="AL134">
        <f>VLOOKUP($A134,'UN Treasury'!$A$1:$BQ$224,_xlfn.XMATCH(AL$1,'UN Treasury'!$A$1:$BQ$1,-1,1),FALSE)</f>
        <v>2455.91</v>
      </c>
      <c r="AM134">
        <f>VLOOKUP($A134,'UN Treasury'!$A$1:$BQ$224,_xlfn.XMATCH(AM$1,'UN Treasury'!$A$1:$BQ$1,-1,1),FALSE)</f>
        <v>2440</v>
      </c>
      <c r="AN134">
        <f>VLOOKUP($A134,'UN Treasury'!$A$1:$BQ$224,_xlfn.XMATCH(AN$1,'UN Treasury'!$A$1:$BQ$1,-1,1),FALSE)</f>
        <v>2376.37</v>
      </c>
      <c r="AO134">
        <f>VLOOKUP($A134,'UN Treasury'!$A$1:$BQ$224,_xlfn.XMATCH(AO$1,'UN Treasury'!$A$1:$BQ$1,-1,1),FALSE)</f>
        <v>2348.9899999999998</v>
      </c>
      <c r="AP134">
        <f>VLOOKUP($A134,'UN Treasury'!$A$1:$BQ$224,_xlfn.XMATCH(AP$1,'UN Treasury'!$A$1:$BQ$1,-1,1),FALSE)</f>
        <v>2335.5</v>
      </c>
      <c r="AQ134">
        <f>VLOOKUP($A134,'UN Treasury'!$A$1:$BQ$224,_xlfn.XMATCH(AQ$1,'UN Treasury'!$A$1:$BQ$1,-1,1),FALSE)</f>
        <v>2335</v>
      </c>
      <c r="AR134">
        <f>VLOOKUP($A134,'UN Treasury'!$A$1:$BQ$224,_xlfn.XMATCH(AR$1,'UN Treasury'!$A$1:$BQ$1,-1,1),FALSE)</f>
        <v>2333.9</v>
      </c>
      <c r="AS134">
        <f>VLOOKUP($A134,'UN Treasury'!$A$1:$BQ$224,_xlfn.XMATCH(AS$1,'UN Treasury'!$A$1:$BQ$1,-1,1),FALSE)</f>
        <v>2331.3000000000002</v>
      </c>
      <c r="AT134">
        <f>VLOOKUP($A134,'UN Treasury'!$A$1:$BQ$224,_xlfn.XMATCH(AT$1,'UN Treasury'!$A$1:$BQ$1,-1,1),FALSE)</f>
        <v>2326.84</v>
      </c>
      <c r="AU134">
        <f>VLOOKUP($A134,'UN Treasury'!$A$1:$BQ$224,_xlfn.XMATCH(AU$1,'UN Treasury'!$A$1:$BQ$1,-1,1),FALSE)</f>
        <v>2323</v>
      </c>
      <c r="AV134">
        <f>VLOOKUP($A134,'UN Treasury'!$A$1:$BQ$224,_xlfn.XMATCH(AV$1,'UN Treasury'!$A$1:$BQ$1,-1,1),FALSE)</f>
        <v>2323</v>
      </c>
      <c r="AW134">
        <f>VLOOKUP($A134,'UN Treasury'!$A$1:$BQ$224,_xlfn.XMATCH(AW$1,'UN Treasury'!$A$1:$BQ$1,-1,1),FALSE)</f>
        <v>2323</v>
      </c>
      <c r="AX134">
        <f>VLOOKUP($A134,'UN Treasury'!$A$1:$BQ$224,_xlfn.XMATCH(AX$1,'UN Treasury'!$A$1:$BQ$1,-1,1),FALSE)</f>
        <v>2321.84</v>
      </c>
      <c r="AY134">
        <f>VLOOKUP($A134,'UN Treasury'!$A$1:$BQ$224,_xlfn.XMATCH(AY$1,'UN Treasury'!$A$1:$BQ$1,-1,1),FALSE)</f>
        <v>2323</v>
      </c>
      <c r="AZ134">
        <f>VLOOKUP($A134,'UN Treasury'!$A$1:$BQ$224,_xlfn.XMATCH(AZ$1,'UN Treasury'!$A$1:$BQ$1,-1,1),FALSE)</f>
        <v>2311.37</v>
      </c>
      <c r="BA134">
        <f>VLOOKUP($A134,'UN Treasury'!$A$1:$BQ$224,_xlfn.XMATCH(BA$1,'UN Treasury'!$A$1:$BQ$1,-1,1),FALSE)</f>
        <v>2316</v>
      </c>
      <c r="BB134">
        <f>VLOOKUP($A134,'UN Treasury'!$A$1:$BQ$224,_xlfn.XMATCH(BB$1,'UN Treasury'!$A$1:$BQ$1,-1,1),FALSE)</f>
        <v>2311.5</v>
      </c>
      <c r="BC134">
        <f>VLOOKUP($A134,'UN Treasury'!$A$1:$BQ$224,_xlfn.XMATCH(BC$1,'UN Treasury'!$A$1:$BQ$1,-1,1),FALSE)</f>
        <v>2307</v>
      </c>
      <c r="BD134">
        <f>VLOOKUP($A134,'UN Treasury'!$A$1:$BQ$224,_xlfn.XMATCH(BD$1,'UN Treasury'!$A$1:$BQ$1,-1,1),FALSE)</f>
        <v>2305</v>
      </c>
      <c r="BE134">
        <f>VLOOKUP($A134,'UN Treasury'!$A$1:$BQ$224,_xlfn.XMATCH(BE$1,'UN Treasury'!$A$1:$BQ$1,-1,1),FALSE)</f>
        <v>2295.85</v>
      </c>
      <c r="BF134">
        <f>VLOOKUP($A134,'UN Treasury'!$A$1:$BQ$224,_xlfn.XMATCH(BF$1,'UN Treasury'!$A$1:$BQ$1,-1,1),FALSE)</f>
        <v>2298.44</v>
      </c>
      <c r="BG134">
        <f>VLOOKUP($A134,'UN Treasury'!$A$1:$BQ$224,_xlfn.XMATCH(BG$1,'UN Treasury'!$A$1:$BQ$1,-1,1),FALSE)</f>
        <v>2296</v>
      </c>
      <c r="BH134">
        <f>VLOOKUP($A134,'UN Treasury'!$A$1:$BQ$224,_xlfn.XMATCH(BH$1,'UN Treasury'!$A$1:$BQ$1,-1,1),FALSE)</f>
        <v>2300</v>
      </c>
      <c r="BI134">
        <f>VLOOKUP($A134,'UN Treasury'!$A$1:$BQ$224,_xlfn.XMATCH(BI$1,'UN Treasury'!$A$1:$BQ$1,-1,1),FALSE)</f>
        <v>2310.5</v>
      </c>
      <c r="BJ134">
        <f>VLOOKUP($A134,'UN Treasury'!$A$1:$BQ$224,_xlfn.XMATCH(BJ$1,'UN Treasury'!$A$1:$BQ$1,-1,1),FALSE)</f>
        <v>2310</v>
      </c>
      <c r="BK134">
        <f>VLOOKUP($A134,'UN Treasury'!$A$1:$BQ$224,_xlfn.XMATCH(BK$1,'UN Treasury'!$A$1:$BQ$1,-1,1),FALSE)</f>
        <v>2310</v>
      </c>
      <c r="BL134">
        <f>VLOOKUP($A134,'UN Treasury'!$A$1:$BQ$224,_xlfn.XMATCH(BL$1,'UN Treasury'!$A$1:$BQ$1,-1,1),FALSE)</f>
        <v>2310</v>
      </c>
      <c r="BM134">
        <f>VLOOKUP($A134,'UN Treasury'!$A$1:$BQ$224,_xlfn.XMATCH(BM$1,'UN Treasury'!$A$1:$BQ$1,-1,1),FALSE)</f>
        <v>2311.9499999999998</v>
      </c>
      <c r="BN134">
        <f>VLOOKUP($A134,'UN Treasury'!$A$1:$BQ$224,_xlfn.XMATCH(BN$1,'UN Treasury'!$A$1:$BQ$1,-1,1),FALSE)</f>
        <v>2310</v>
      </c>
      <c r="BO134">
        <f>VLOOKUP($A134,'UN Treasury'!$A$1:$BQ$224,_xlfn.XMATCH(BO$1,'UN Treasury'!$A$1:$BQ$1,-1,1),FALSE)</f>
        <v>2312</v>
      </c>
      <c r="BP134">
        <f>VLOOKUP($A134,'UN Treasury'!$A$1:$BQ$224,_xlfn.XMATCH(BP$1,'UN Treasury'!$A$1:$BQ$1,-1,1),FALSE)</f>
        <v>2312</v>
      </c>
      <c r="BQ134">
        <f>VLOOKUP($A134,'UN Treasury'!$A$1:$BQ$224,_xlfn.XMATCH(BQ$1,'UN Treasury'!$A$1:$BQ$1,-1,1),FALSE)</f>
        <v>2291</v>
      </c>
    </row>
    <row r="135" spans="1:69" x14ac:dyDescent="0.25">
      <c r="A135" t="s">
        <v>287</v>
      </c>
      <c r="B135">
        <f>VLOOKUP($A135,'UN Treasury'!$A$1:$BQ$224,_xlfn.XMATCH(B$1,'UN Treasury'!$A$1:$BQ$1,-1,1),FALSE)</f>
        <v>44.685000000000002</v>
      </c>
      <c r="C135">
        <f>VLOOKUP($A135,'UN Treasury'!$A$1:$BQ$224,_xlfn.XMATCH(C$1,'UN Treasury'!$A$1:$BQ$1,-1,1),FALSE)</f>
        <v>44.79</v>
      </c>
      <c r="D135">
        <f>VLOOKUP($A135,'UN Treasury'!$A$1:$BQ$224,_xlfn.XMATCH(D$1,'UN Treasury'!$A$1:$BQ$1,-1,1),FALSE)</f>
        <v>44.89</v>
      </c>
      <c r="E135">
        <f>VLOOKUP($A135,'UN Treasury'!$A$1:$BQ$224,_xlfn.XMATCH(E$1,'UN Treasury'!$A$1:$BQ$1,-1,1),FALSE)</f>
        <v>43.89</v>
      </c>
      <c r="F135">
        <f>VLOOKUP($A135,'UN Treasury'!$A$1:$BQ$224,_xlfn.XMATCH(F$1,'UN Treasury'!$A$1:$BQ$1,-1,1),FALSE)</f>
        <v>43.51</v>
      </c>
      <c r="G135">
        <f>VLOOKUP($A135,'UN Treasury'!$A$1:$BQ$224,_xlfn.XMATCH(G$1,'UN Treasury'!$A$1:$BQ$1,-1,1),FALSE)</f>
        <v>44.215000000000003</v>
      </c>
      <c r="H135">
        <f>VLOOKUP($A135,'UN Treasury'!$A$1:$BQ$224,_xlfn.XMATCH(H$1,'UN Treasury'!$A$1:$BQ$1,-1,1),FALSE)</f>
        <v>43</v>
      </c>
      <c r="I135">
        <f>VLOOKUP($A135,'UN Treasury'!$A$1:$BQ$224,_xlfn.XMATCH(I$1,'UN Treasury'!$A$1:$BQ$1,-1,1),FALSE)</f>
        <v>43.09</v>
      </c>
      <c r="J135">
        <f>VLOOKUP($A135,'UN Treasury'!$A$1:$BQ$224,_xlfn.XMATCH(J$1,'UN Treasury'!$A$1:$BQ$1,-1,1),FALSE)</f>
        <v>42.18</v>
      </c>
      <c r="K135">
        <f>VLOOKUP($A135,'UN Treasury'!$A$1:$BQ$224,_xlfn.XMATCH(K$1,'UN Treasury'!$A$1:$BQ$1,-1,1),FALSE)</f>
        <v>42.1</v>
      </c>
      <c r="L135">
        <f>VLOOKUP($A135,'UN Treasury'!$A$1:$BQ$224,_xlfn.XMATCH(L$1,'UN Treasury'!$A$1:$BQ$1,-1,1),FALSE)</f>
        <v>41.4</v>
      </c>
      <c r="M135">
        <f>VLOOKUP($A135,'UN Treasury'!$A$1:$BQ$224,_xlfn.XMATCH(M$1,'UN Treasury'!$A$1:$BQ$1,-1,1),FALSE)</f>
        <v>41.3</v>
      </c>
      <c r="N135">
        <f>VLOOKUP($A135,'UN Treasury'!$A$1:$BQ$224,_xlfn.XMATCH(N$1,'UN Treasury'!$A$1:$BQ$1,-1,1),FALSE)</f>
        <v>41.8</v>
      </c>
      <c r="O135">
        <f>VLOOKUP($A135,'UN Treasury'!$A$1:$BQ$224,_xlfn.XMATCH(O$1,'UN Treasury'!$A$1:$BQ$1,-1,1),FALSE)</f>
        <v>41.8</v>
      </c>
      <c r="P135">
        <f>VLOOKUP($A135,'UN Treasury'!$A$1:$BQ$224,_xlfn.XMATCH(P$1,'UN Treasury'!$A$1:$BQ$1,-1,1),FALSE)</f>
        <v>41.518000000000001</v>
      </c>
      <c r="Q135">
        <f>VLOOKUP($A135,'UN Treasury'!$A$1:$BQ$224,_xlfn.XMATCH(Q$1,'UN Treasury'!$A$1:$BQ$1,-1,1),FALSE)</f>
        <v>41.8</v>
      </c>
      <c r="R135">
        <f>VLOOKUP($A135,'UN Treasury'!$A$1:$BQ$224,_xlfn.XMATCH(R$1,'UN Treasury'!$A$1:$BQ$1,-1,1),FALSE)</f>
        <v>41.5</v>
      </c>
      <c r="S135">
        <f>VLOOKUP($A135,'UN Treasury'!$A$1:$BQ$224,_xlfn.XMATCH(S$1,'UN Treasury'!$A$1:$BQ$1,-1,1),FALSE)</f>
        <v>41.5</v>
      </c>
      <c r="T135">
        <f>VLOOKUP($A135,'UN Treasury'!$A$1:$BQ$224,_xlfn.XMATCH(T$1,'UN Treasury'!$A$1:$BQ$1,-1,1),FALSE)</f>
        <v>41.8</v>
      </c>
      <c r="U135">
        <f>VLOOKUP($A135,'UN Treasury'!$A$1:$BQ$224,_xlfn.XMATCH(U$1,'UN Treasury'!$A$1:$BQ$1,-1,1),FALSE)</f>
        <v>42.5</v>
      </c>
      <c r="V135">
        <f>VLOOKUP($A135,'UN Treasury'!$A$1:$BQ$224,_xlfn.XMATCH(V$1,'UN Treasury'!$A$1:$BQ$1,-1,1),FALSE)</f>
        <v>41.65</v>
      </c>
      <c r="W135">
        <f>VLOOKUP($A135,'UN Treasury'!$A$1:$BQ$224,_xlfn.XMATCH(W$1,'UN Treasury'!$A$1:$BQ$1,-1,1),FALSE)</f>
        <v>41.5</v>
      </c>
      <c r="X135">
        <f>VLOOKUP($A135,'UN Treasury'!$A$1:$BQ$224,_xlfn.XMATCH(X$1,'UN Treasury'!$A$1:$BQ$1,-1,1),FALSE)</f>
        <v>41.5</v>
      </c>
      <c r="Y135">
        <f>VLOOKUP($A135,'UN Treasury'!$A$1:$BQ$224,_xlfn.XMATCH(Y$1,'UN Treasury'!$A$1:$BQ$1,-1,1),FALSE)</f>
        <v>41.5</v>
      </c>
      <c r="Z135">
        <f>VLOOKUP($A135,'UN Treasury'!$A$1:$BQ$224,_xlfn.XMATCH(Z$1,'UN Treasury'!$A$1:$BQ$1,-1,1),FALSE)</f>
        <v>41.5</v>
      </c>
      <c r="AA135">
        <f>VLOOKUP($A135,'UN Treasury'!$A$1:$BQ$224,_xlfn.XMATCH(AA$1,'UN Treasury'!$A$1:$BQ$1,-1,1),FALSE)</f>
        <v>40.799999999999997</v>
      </c>
      <c r="AB135">
        <f>VLOOKUP($A135,'UN Treasury'!$A$1:$BQ$224,_xlfn.XMATCH(AB$1,'UN Treasury'!$A$1:$BQ$1,-1,1),FALSE)</f>
        <v>40.5</v>
      </c>
      <c r="AC135">
        <f>VLOOKUP($A135,'UN Treasury'!$A$1:$BQ$224,_xlfn.XMATCH(AC$1,'UN Treasury'!$A$1:$BQ$1,-1,1),FALSE)</f>
        <v>39.5</v>
      </c>
      <c r="AD135">
        <f>VLOOKUP($A135,'UN Treasury'!$A$1:$BQ$224,_xlfn.XMATCH(AD$1,'UN Treasury'!$A$1:$BQ$1,-1,1),FALSE)</f>
        <v>39.1</v>
      </c>
      <c r="AE135">
        <f>VLOOKUP($A135,'UN Treasury'!$A$1:$BQ$224,_xlfn.XMATCH(AE$1,'UN Treasury'!$A$1:$BQ$1,-1,1),FALSE)</f>
        <v>38.5</v>
      </c>
      <c r="AF135">
        <f>VLOOKUP($A135,'UN Treasury'!$A$1:$BQ$224,_xlfn.XMATCH(AF$1,'UN Treasury'!$A$1:$BQ$1,-1,1),FALSE)</f>
        <v>38</v>
      </c>
      <c r="AG135">
        <f>VLOOKUP($A135,'UN Treasury'!$A$1:$BQ$224,_xlfn.XMATCH(AG$1,'UN Treasury'!$A$1:$BQ$1,-1,1),FALSE)</f>
        <v>38</v>
      </c>
      <c r="AH135">
        <f>VLOOKUP($A135,'UN Treasury'!$A$1:$BQ$224,_xlfn.XMATCH(AH$1,'UN Treasury'!$A$1:$BQ$1,-1,1),FALSE)</f>
        <v>37</v>
      </c>
      <c r="AI135">
        <f>VLOOKUP($A135,'UN Treasury'!$A$1:$BQ$224,_xlfn.XMATCH(AI$1,'UN Treasury'!$A$1:$BQ$1,-1,1),FALSE)</f>
        <v>37</v>
      </c>
      <c r="AJ135">
        <f>VLOOKUP($A135,'UN Treasury'!$A$1:$BQ$224,_xlfn.XMATCH(AJ$1,'UN Treasury'!$A$1:$BQ$1,-1,1),FALSE)</f>
        <v>37</v>
      </c>
      <c r="AK135">
        <f>VLOOKUP($A135,'UN Treasury'!$A$1:$BQ$224,_xlfn.XMATCH(AK$1,'UN Treasury'!$A$1:$BQ$1,-1,1),FALSE)</f>
        <v>37</v>
      </c>
      <c r="AL135">
        <f>VLOOKUP($A135,'UN Treasury'!$A$1:$BQ$224,_xlfn.XMATCH(AL$1,'UN Treasury'!$A$1:$BQ$1,-1,1),FALSE)</f>
        <v>37</v>
      </c>
      <c r="AM135">
        <f>VLOOKUP($A135,'UN Treasury'!$A$1:$BQ$224,_xlfn.XMATCH(AM$1,'UN Treasury'!$A$1:$BQ$1,-1,1),FALSE)</f>
        <v>37</v>
      </c>
      <c r="AN135">
        <f>VLOOKUP($A135,'UN Treasury'!$A$1:$BQ$224,_xlfn.XMATCH(AN$1,'UN Treasury'!$A$1:$BQ$1,-1,1),FALSE)</f>
        <v>37</v>
      </c>
      <c r="AO135">
        <f>VLOOKUP($A135,'UN Treasury'!$A$1:$BQ$224,_xlfn.XMATCH(AO$1,'UN Treasury'!$A$1:$BQ$1,-1,1),FALSE)</f>
        <v>37</v>
      </c>
      <c r="AP135">
        <f>VLOOKUP($A135,'UN Treasury'!$A$1:$BQ$224,_xlfn.XMATCH(AP$1,'UN Treasury'!$A$1:$BQ$1,-1,1),FALSE)</f>
        <v>37</v>
      </c>
      <c r="AQ135">
        <f>VLOOKUP($A135,'UN Treasury'!$A$1:$BQ$224,_xlfn.XMATCH(AQ$1,'UN Treasury'!$A$1:$BQ$1,-1,1),FALSE)</f>
        <v>37</v>
      </c>
      <c r="AR135">
        <f>VLOOKUP($A135,'UN Treasury'!$A$1:$BQ$224,_xlfn.XMATCH(AR$1,'UN Treasury'!$A$1:$BQ$1,-1,1),FALSE)</f>
        <v>37</v>
      </c>
      <c r="AS135">
        <f>VLOOKUP($A135,'UN Treasury'!$A$1:$BQ$224,_xlfn.XMATCH(AS$1,'UN Treasury'!$A$1:$BQ$1,-1,1),FALSE)</f>
        <v>37</v>
      </c>
      <c r="AT135">
        <f>VLOOKUP($A135,'UN Treasury'!$A$1:$BQ$224,_xlfn.XMATCH(AT$1,'UN Treasury'!$A$1:$BQ$1,-1,1),FALSE)</f>
        <v>37</v>
      </c>
      <c r="AU135">
        <f>VLOOKUP($A135,'UN Treasury'!$A$1:$BQ$224,_xlfn.XMATCH(AU$1,'UN Treasury'!$A$1:$BQ$1,-1,1),FALSE)</f>
        <v>37</v>
      </c>
      <c r="AV135">
        <f>VLOOKUP($A135,'UN Treasury'!$A$1:$BQ$224,_xlfn.XMATCH(AV$1,'UN Treasury'!$A$1:$BQ$1,-1,1),FALSE)</f>
        <v>37</v>
      </c>
      <c r="AW135">
        <f>VLOOKUP($A135,'UN Treasury'!$A$1:$BQ$224,_xlfn.XMATCH(AW$1,'UN Treasury'!$A$1:$BQ$1,-1,1),FALSE)</f>
        <v>37</v>
      </c>
      <c r="AX135">
        <f>VLOOKUP($A135,'UN Treasury'!$A$1:$BQ$224,_xlfn.XMATCH(AX$1,'UN Treasury'!$A$1:$BQ$1,-1,1),FALSE)</f>
        <v>37</v>
      </c>
      <c r="AY135">
        <f>VLOOKUP($A135,'UN Treasury'!$A$1:$BQ$224,_xlfn.XMATCH(AY$1,'UN Treasury'!$A$1:$BQ$1,-1,1),FALSE)</f>
        <v>30</v>
      </c>
      <c r="AZ135">
        <f>VLOOKUP($A135,'UN Treasury'!$A$1:$BQ$224,_xlfn.XMATCH(AZ$1,'UN Treasury'!$A$1:$BQ$1,-1,1),FALSE)</f>
        <v>30</v>
      </c>
      <c r="BA135">
        <f>VLOOKUP($A135,'UN Treasury'!$A$1:$BQ$224,_xlfn.XMATCH(BA$1,'UN Treasury'!$A$1:$BQ$1,-1,1),FALSE)</f>
        <v>30</v>
      </c>
      <c r="BB135">
        <f>VLOOKUP($A135,'UN Treasury'!$A$1:$BQ$224,_xlfn.XMATCH(BB$1,'UN Treasury'!$A$1:$BQ$1,-1,1),FALSE)</f>
        <v>30</v>
      </c>
      <c r="BC135">
        <f>VLOOKUP($A135,'UN Treasury'!$A$1:$BQ$224,_xlfn.XMATCH(BC$1,'UN Treasury'!$A$1:$BQ$1,-1,1),FALSE)</f>
        <v>30</v>
      </c>
      <c r="BD135">
        <f>VLOOKUP($A135,'UN Treasury'!$A$1:$BQ$224,_xlfn.XMATCH(BD$1,'UN Treasury'!$A$1:$BQ$1,-1,1),FALSE)</f>
        <v>28.32</v>
      </c>
      <c r="BE135">
        <f>VLOOKUP($A135,'UN Treasury'!$A$1:$BQ$224,_xlfn.XMATCH(BE$1,'UN Treasury'!$A$1:$BQ$1,-1,1),FALSE)</f>
        <v>27.47</v>
      </c>
      <c r="BF135">
        <f>VLOOKUP($A135,'UN Treasury'!$A$1:$BQ$224,_xlfn.XMATCH(BF$1,'UN Treasury'!$A$1:$BQ$1,-1,1),FALSE)</f>
        <v>26.9</v>
      </c>
      <c r="BG135">
        <f>VLOOKUP($A135,'UN Treasury'!$A$1:$BQ$224,_xlfn.XMATCH(BG$1,'UN Treasury'!$A$1:$BQ$1,-1,1),FALSE)</f>
        <v>26.4</v>
      </c>
      <c r="BH135">
        <f>VLOOKUP($A135,'UN Treasury'!$A$1:$BQ$224,_xlfn.XMATCH(BH$1,'UN Treasury'!$A$1:$BQ$1,-1,1),FALSE)</f>
        <v>26.61</v>
      </c>
      <c r="BI135">
        <f>VLOOKUP($A135,'UN Treasury'!$A$1:$BQ$224,_xlfn.XMATCH(BI$1,'UN Treasury'!$A$1:$BQ$1,-1,1),FALSE)</f>
        <v>26.75</v>
      </c>
      <c r="BJ135">
        <f>VLOOKUP($A135,'UN Treasury'!$A$1:$BQ$224,_xlfn.XMATCH(BJ$1,'UN Treasury'!$A$1:$BQ$1,-1,1),FALSE)</f>
        <v>27</v>
      </c>
      <c r="BK135">
        <f>VLOOKUP($A135,'UN Treasury'!$A$1:$BQ$224,_xlfn.XMATCH(BK$1,'UN Treasury'!$A$1:$BQ$1,-1,1),FALSE)</f>
        <v>27.3</v>
      </c>
      <c r="BL135">
        <f>VLOOKUP($A135,'UN Treasury'!$A$1:$BQ$224,_xlfn.XMATCH(BL$1,'UN Treasury'!$A$1:$BQ$1,-1,1),FALSE)</f>
        <v>27.6</v>
      </c>
      <c r="BM135">
        <f>VLOOKUP($A135,'UN Treasury'!$A$1:$BQ$224,_xlfn.XMATCH(BM$1,'UN Treasury'!$A$1:$BQ$1,-1,1),FALSE)</f>
        <v>28</v>
      </c>
      <c r="BN135">
        <f>VLOOKUP($A135,'UN Treasury'!$A$1:$BQ$224,_xlfn.XMATCH(BN$1,'UN Treasury'!$A$1:$BQ$1,-1,1),FALSE)</f>
        <v>28</v>
      </c>
      <c r="BO135">
        <f>VLOOKUP($A135,'UN Treasury'!$A$1:$BQ$224,_xlfn.XMATCH(BO$1,'UN Treasury'!$A$1:$BQ$1,-1,1),FALSE)</f>
        <v>28</v>
      </c>
      <c r="BP135">
        <f>VLOOKUP($A135,'UN Treasury'!$A$1:$BQ$224,_xlfn.XMATCH(BP$1,'UN Treasury'!$A$1:$BQ$1,-1,1),FALSE)</f>
        <v>28.25</v>
      </c>
      <c r="BQ135">
        <f>VLOOKUP($A135,'UN Treasury'!$A$1:$BQ$224,_xlfn.XMATCH(BQ$1,'UN Treasury'!$A$1:$BQ$1,-1,1),FALSE)</f>
        <v>28.5</v>
      </c>
    </row>
    <row r="136" spans="1:69" x14ac:dyDescent="0.25">
      <c r="A136" t="s">
        <v>290</v>
      </c>
      <c r="B136">
        <f>VLOOKUP($A136,'UN Treasury'!$A$1:$BQ$224,_xlfn.XMATCH(B$1,'UN Treasury'!$A$1:$BQ$1,-1,1),FALSE)</f>
        <v>3705.65</v>
      </c>
      <c r="C136">
        <f>VLOOKUP($A136,'UN Treasury'!$A$1:$BQ$224,_xlfn.XMATCH(C$1,'UN Treasury'!$A$1:$BQ$1,-1,1),FALSE)</f>
        <v>3685</v>
      </c>
      <c r="D136">
        <f>VLOOKUP($A136,'UN Treasury'!$A$1:$BQ$224,_xlfn.XMATCH(D$1,'UN Treasury'!$A$1:$BQ$1,-1,1),FALSE)</f>
        <v>3764.54</v>
      </c>
      <c r="E136">
        <f>VLOOKUP($A136,'UN Treasury'!$A$1:$BQ$224,_xlfn.XMATCH(E$1,'UN Treasury'!$A$1:$BQ$1,-1,1),FALSE)</f>
        <v>3744.24</v>
      </c>
      <c r="F136">
        <f>VLOOKUP($A136,'UN Treasury'!$A$1:$BQ$224,_xlfn.XMATCH(F$1,'UN Treasury'!$A$1:$BQ$1,-1,1),FALSE)</f>
        <v>3730.81</v>
      </c>
      <c r="G136">
        <f>VLOOKUP($A136,'UN Treasury'!$A$1:$BQ$224,_xlfn.XMATCH(G$1,'UN Treasury'!$A$1:$BQ$1,-1,1),FALSE)</f>
        <v>3735.2</v>
      </c>
      <c r="H136">
        <f>VLOOKUP($A136,'UN Treasury'!$A$1:$BQ$224,_xlfn.XMATCH(H$1,'UN Treasury'!$A$1:$BQ$1,-1,1),FALSE)</f>
        <v>3535.77</v>
      </c>
      <c r="I136">
        <f>VLOOKUP($A136,'UN Treasury'!$A$1:$BQ$224,_xlfn.XMATCH(I$1,'UN Treasury'!$A$1:$BQ$1,-1,1),FALSE)</f>
        <v>3570.33</v>
      </c>
      <c r="J136">
        <f>VLOOKUP($A136,'UN Treasury'!$A$1:$BQ$224,_xlfn.XMATCH(J$1,'UN Treasury'!$A$1:$BQ$1,-1,1),FALSE)</f>
        <v>3551.25</v>
      </c>
      <c r="K136">
        <f>VLOOKUP($A136,'UN Treasury'!$A$1:$BQ$224,_xlfn.XMATCH(K$1,'UN Treasury'!$A$1:$BQ$1,-1,1),FALSE)</f>
        <v>3621.2</v>
      </c>
      <c r="L136">
        <f>VLOOKUP($A136,'UN Treasury'!$A$1:$BQ$224,_xlfn.XMATCH(L$1,'UN Treasury'!$A$1:$BQ$1,-1,1),FALSE)</f>
        <v>3428</v>
      </c>
      <c r="M136">
        <f>VLOOKUP($A136,'UN Treasury'!$A$1:$BQ$224,_xlfn.XMATCH(M$1,'UN Treasury'!$A$1:$BQ$1,-1,1),FALSE)</f>
        <v>3505.24</v>
      </c>
      <c r="N136">
        <f>VLOOKUP($A136,'UN Treasury'!$A$1:$BQ$224,_xlfn.XMATCH(N$1,'UN Treasury'!$A$1:$BQ$1,-1,1),FALSE)</f>
        <v>3551.54</v>
      </c>
      <c r="O136">
        <f>VLOOKUP($A136,'UN Treasury'!$A$1:$BQ$224,_xlfn.XMATCH(O$1,'UN Treasury'!$A$1:$BQ$1,-1,1),FALSE)</f>
        <v>3580</v>
      </c>
      <c r="P136">
        <f>VLOOKUP($A136,'UN Treasury'!$A$1:$BQ$224,_xlfn.XMATCH(P$1,'UN Treasury'!$A$1:$BQ$1,-1,1),FALSE)</f>
        <v>3583</v>
      </c>
      <c r="Q136">
        <f>VLOOKUP($A136,'UN Treasury'!$A$1:$BQ$224,_xlfn.XMATCH(Q$1,'UN Treasury'!$A$1:$BQ$1,-1,1),FALSE)</f>
        <v>3648.48</v>
      </c>
      <c r="R136">
        <f>VLOOKUP($A136,'UN Treasury'!$A$1:$BQ$224,_xlfn.XMATCH(R$1,'UN Treasury'!$A$1:$BQ$1,-1,1),FALSE)</f>
        <v>3671.86</v>
      </c>
      <c r="S136">
        <f>VLOOKUP($A136,'UN Treasury'!$A$1:$BQ$224,_xlfn.XMATCH(S$1,'UN Treasury'!$A$1:$BQ$1,-1,1),FALSE)</f>
        <v>3665.16</v>
      </c>
      <c r="T136">
        <f>VLOOKUP($A136,'UN Treasury'!$A$1:$BQ$224,_xlfn.XMATCH(T$1,'UN Treasury'!$A$1:$BQ$1,-1,1),FALSE)</f>
        <v>3677</v>
      </c>
      <c r="U136">
        <f>VLOOKUP($A136,'UN Treasury'!$A$1:$BQ$224,_xlfn.XMATCH(U$1,'UN Treasury'!$A$1:$BQ$1,-1,1),FALSE)</f>
        <v>3695.5</v>
      </c>
      <c r="V136">
        <f>VLOOKUP($A136,'UN Treasury'!$A$1:$BQ$224,_xlfn.XMATCH(V$1,'UN Treasury'!$A$1:$BQ$1,-1,1),FALSE)</f>
        <v>3654.14</v>
      </c>
      <c r="W136">
        <f>VLOOKUP($A136,'UN Treasury'!$A$1:$BQ$224,_xlfn.XMATCH(W$1,'UN Treasury'!$A$1:$BQ$1,-1,1),FALSE)</f>
        <v>3665</v>
      </c>
      <c r="X136">
        <f>VLOOKUP($A136,'UN Treasury'!$A$1:$BQ$224,_xlfn.XMATCH(X$1,'UN Treasury'!$A$1:$BQ$1,-1,1),FALSE)</f>
        <v>3661.37</v>
      </c>
      <c r="Y136">
        <f>VLOOKUP($A136,'UN Treasury'!$A$1:$BQ$224,_xlfn.XMATCH(Y$1,'UN Treasury'!$A$1:$BQ$1,-1,1),FALSE)</f>
        <v>3717.52</v>
      </c>
      <c r="Z136">
        <f>VLOOKUP($A136,'UN Treasury'!$A$1:$BQ$224,_xlfn.XMATCH(Z$1,'UN Treasury'!$A$1:$BQ$1,-1,1),FALSE)</f>
        <v>3726.91</v>
      </c>
      <c r="AA136">
        <f>VLOOKUP($A136,'UN Treasury'!$A$1:$BQ$224,_xlfn.XMATCH(AA$1,'UN Treasury'!$A$1:$BQ$1,-1,1),FALSE)</f>
        <v>3700</v>
      </c>
      <c r="AB136">
        <f>VLOOKUP($A136,'UN Treasury'!$A$1:$BQ$224,_xlfn.XMATCH(AB$1,'UN Treasury'!$A$1:$BQ$1,-1,1),FALSE)</f>
        <v>3745.75</v>
      </c>
      <c r="AC136">
        <f>VLOOKUP($A136,'UN Treasury'!$A$1:$BQ$224,_xlfn.XMATCH(AC$1,'UN Treasury'!$A$1:$BQ$1,-1,1),FALSE)</f>
        <v>3765</v>
      </c>
      <c r="AD136">
        <f>VLOOKUP($A136,'UN Treasury'!$A$1:$BQ$224,_xlfn.XMATCH(AD$1,'UN Treasury'!$A$1:$BQ$1,-1,1),FALSE)</f>
        <v>3806</v>
      </c>
      <c r="AE136">
        <f>VLOOKUP($A136,'UN Treasury'!$A$1:$BQ$224,_xlfn.XMATCH(AE$1,'UN Treasury'!$A$1:$BQ$1,-1,1),FALSE)</f>
        <v>3886.13</v>
      </c>
      <c r="AF136">
        <f>VLOOKUP($A136,'UN Treasury'!$A$1:$BQ$224,_xlfn.XMATCH(AF$1,'UN Treasury'!$A$1:$BQ$1,-1,1),FALSE)</f>
        <v>3866.35</v>
      </c>
      <c r="AG136">
        <f>VLOOKUP($A136,'UN Treasury'!$A$1:$BQ$224,_xlfn.XMATCH(AG$1,'UN Treasury'!$A$1:$BQ$1,-1,1),FALSE)</f>
        <v>3797</v>
      </c>
      <c r="AH136">
        <f>VLOOKUP($A136,'UN Treasury'!$A$1:$BQ$224,_xlfn.XMATCH(AH$1,'UN Treasury'!$A$1:$BQ$1,-1,1),FALSE)</f>
        <v>3789</v>
      </c>
      <c r="AI136">
        <f>VLOOKUP($A136,'UN Treasury'!$A$1:$BQ$224,_xlfn.XMATCH(AI$1,'UN Treasury'!$A$1:$BQ$1,-1,1),FALSE)</f>
        <v>3774</v>
      </c>
      <c r="AJ136">
        <f>VLOOKUP($A136,'UN Treasury'!$A$1:$BQ$224,_xlfn.XMATCH(AJ$1,'UN Treasury'!$A$1:$BQ$1,-1,1),FALSE)</f>
        <v>3751.78</v>
      </c>
      <c r="AK136">
        <f>VLOOKUP($A136,'UN Treasury'!$A$1:$BQ$224,_xlfn.XMATCH(AK$1,'UN Treasury'!$A$1:$BQ$1,-1,1),FALSE)</f>
        <v>3722.75</v>
      </c>
      <c r="AL136">
        <f>VLOOKUP($A136,'UN Treasury'!$A$1:$BQ$224,_xlfn.XMATCH(AL$1,'UN Treasury'!$A$1:$BQ$1,-1,1),FALSE)</f>
        <v>3726</v>
      </c>
      <c r="AM136">
        <f>VLOOKUP($A136,'UN Treasury'!$A$1:$BQ$224,_xlfn.XMATCH(AM$1,'UN Treasury'!$A$1:$BQ$1,-1,1),FALSE)</f>
        <v>3665.79</v>
      </c>
      <c r="AN136">
        <f>VLOOKUP($A136,'UN Treasury'!$A$1:$BQ$224,_xlfn.XMATCH(AN$1,'UN Treasury'!$A$1:$BQ$1,-1,1),FALSE)</f>
        <v>3720</v>
      </c>
      <c r="AO136">
        <f>VLOOKUP($A136,'UN Treasury'!$A$1:$BQ$224,_xlfn.XMATCH(AO$1,'UN Treasury'!$A$1:$BQ$1,-1,1),FALSE)</f>
        <v>3720.15</v>
      </c>
      <c r="AP136">
        <f>VLOOKUP($A136,'UN Treasury'!$A$1:$BQ$224,_xlfn.XMATCH(AP$1,'UN Treasury'!$A$1:$BQ$1,-1,1),FALSE)</f>
        <v>3742.09</v>
      </c>
      <c r="AQ136">
        <f>VLOOKUP($A136,'UN Treasury'!$A$1:$BQ$224,_xlfn.XMATCH(AQ$1,'UN Treasury'!$A$1:$BQ$1,-1,1),FALSE)</f>
        <v>3720.57</v>
      </c>
      <c r="AR136">
        <f>VLOOKUP($A136,'UN Treasury'!$A$1:$BQ$224,_xlfn.XMATCH(AR$1,'UN Treasury'!$A$1:$BQ$1,-1,1),FALSE)</f>
        <v>3668.32</v>
      </c>
      <c r="AS136">
        <f>VLOOKUP($A136,'UN Treasury'!$A$1:$BQ$224,_xlfn.XMATCH(AS$1,'UN Treasury'!$A$1:$BQ$1,-1,1),FALSE)</f>
        <v>3687.48</v>
      </c>
      <c r="AT136">
        <f>VLOOKUP($A136,'UN Treasury'!$A$1:$BQ$224,_xlfn.XMATCH(AT$1,'UN Treasury'!$A$1:$BQ$1,-1,1),FALSE)</f>
        <v>3690.67</v>
      </c>
      <c r="AU136">
        <f>VLOOKUP($A136,'UN Treasury'!$A$1:$BQ$224,_xlfn.XMATCH(AU$1,'UN Treasury'!$A$1:$BQ$1,-1,1),FALSE)</f>
        <v>3757.46</v>
      </c>
      <c r="AV136">
        <f>VLOOKUP($A136,'UN Treasury'!$A$1:$BQ$224,_xlfn.XMATCH(AV$1,'UN Treasury'!$A$1:$BQ$1,-1,1),FALSE)</f>
        <v>3832.15</v>
      </c>
      <c r="AW136">
        <f>VLOOKUP($A136,'UN Treasury'!$A$1:$BQ$224,_xlfn.XMATCH(AW$1,'UN Treasury'!$A$1:$BQ$1,-1,1),FALSE)</f>
        <v>3805.98</v>
      </c>
      <c r="AX136">
        <f>VLOOKUP($A136,'UN Treasury'!$A$1:$BQ$224,_xlfn.XMATCH(AX$1,'UN Treasury'!$A$1:$BQ$1,-1,1),FALSE)</f>
        <v>3808.61</v>
      </c>
      <c r="AY136">
        <f>VLOOKUP($A136,'UN Treasury'!$A$1:$BQ$224,_xlfn.XMATCH(AY$1,'UN Treasury'!$A$1:$BQ$1,-1,1),FALSE)</f>
        <v>3769.62</v>
      </c>
      <c r="AZ136">
        <f>VLOOKUP($A136,'UN Treasury'!$A$1:$BQ$224,_xlfn.XMATCH(AZ$1,'UN Treasury'!$A$1:$BQ$1,-1,1),FALSE)</f>
        <v>3731.75</v>
      </c>
      <c r="BA136">
        <f>VLOOKUP($A136,'UN Treasury'!$A$1:$BQ$224,_xlfn.XMATCH(BA$1,'UN Treasury'!$A$1:$BQ$1,-1,1),FALSE)</f>
        <v>3591.26</v>
      </c>
      <c r="BB136">
        <f>VLOOKUP($A136,'UN Treasury'!$A$1:$BQ$224,_xlfn.XMATCH(BB$1,'UN Treasury'!$A$1:$BQ$1,-1,1),FALSE)</f>
        <v>3517.21</v>
      </c>
      <c r="BC136">
        <f>VLOOKUP($A136,'UN Treasury'!$A$1:$BQ$224,_xlfn.XMATCH(BC$1,'UN Treasury'!$A$1:$BQ$1,-1,1),FALSE)</f>
        <v>3608</v>
      </c>
      <c r="BD136">
        <f>VLOOKUP($A136,'UN Treasury'!$A$1:$BQ$224,_xlfn.XMATCH(BD$1,'UN Treasury'!$A$1:$BQ$1,-1,1),FALSE)</f>
        <v>3515.91</v>
      </c>
      <c r="BE136">
        <f>VLOOKUP($A136,'UN Treasury'!$A$1:$BQ$224,_xlfn.XMATCH(BE$1,'UN Treasury'!$A$1:$BQ$1,-1,1),FALSE)</f>
        <v>3519.64</v>
      </c>
      <c r="BF136">
        <f>VLOOKUP($A136,'UN Treasury'!$A$1:$BQ$224,_xlfn.XMATCH(BF$1,'UN Treasury'!$A$1:$BQ$1,-1,1),FALSE)</f>
        <v>3560</v>
      </c>
      <c r="BG136">
        <f>VLOOKUP($A136,'UN Treasury'!$A$1:$BQ$224,_xlfn.XMATCH(BG$1,'UN Treasury'!$A$1:$BQ$1,-1,1),FALSE)</f>
        <v>3548</v>
      </c>
      <c r="BH136">
        <f>VLOOKUP($A136,'UN Treasury'!$A$1:$BQ$224,_xlfn.XMATCH(BH$1,'UN Treasury'!$A$1:$BQ$1,-1,1),FALSE)</f>
        <v>3533.24</v>
      </c>
      <c r="BI136">
        <f>VLOOKUP($A136,'UN Treasury'!$A$1:$BQ$224,_xlfn.XMATCH(BI$1,'UN Treasury'!$A$1:$BQ$1,-1,1),FALSE)</f>
        <v>3540.06</v>
      </c>
      <c r="BJ136">
        <f>VLOOKUP($A136,'UN Treasury'!$A$1:$BQ$224,_xlfn.XMATCH(BJ$1,'UN Treasury'!$A$1:$BQ$1,-1,1),FALSE)</f>
        <v>3544.15</v>
      </c>
      <c r="BK136">
        <f>VLOOKUP($A136,'UN Treasury'!$A$1:$BQ$224,_xlfn.XMATCH(BK$1,'UN Treasury'!$A$1:$BQ$1,-1,1),FALSE)</f>
        <v>3550</v>
      </c>
      <c r="BL136">
        <f>VLOOKUP($A136,'UN Treasury'!$A$1:$BQ$224,_xlfn.XMATCH(BL$1,'UN Treasury'!$A$1:$BQ$1,-1,1),FALSE)</f>
        <v>3545</v>
      </c>
      <c r="BM136">
        <f>VLOOKUP($A136,'UN Treasury'!$A$1:$BQ$224,_xlfn.XMATCH(BM$1,'UN Treasury'!$A$1:$BQ$1,-1,1),FALSE)</f>
        <v>3578.29</v>
      </c>
      <c r="BN136">
        <f>VLOOKUP($A136,'UN Treasury'!$A$1:$BQ$224,_xlfn.XMATCH(BN$1,'UN Treasury'!$A$1:$BQ$1,-1,1),FALSE)</f>
        <v>3660</v>
      </c>
      <c r="BO136">
        <f>VLOOKUP($A136,'UN Treasury'!$A$1:$BQ$224,_xlfn.XMATCH(BO$1,'UN Treasury'!$A$1:$BQ$1,-1,1),FALSE)</f>
        <v>3660</v>
      </c>
      <c r="BP136">
        <f>VLOOKUP($A136,'UN Treasury'!$A$1:$BQ$224,_xlfn.XMATCH(BP$1,'UN Treasury'!$A$1:$BQ$1,-1,1),FALSE)</f>
        <v>3684</v>
      </c>
      <c r="BQ136">
        <f>VLOOKUP($A136,'UN Treasury'!$A$1:$BQ$224,_xlfn.XMATCH(BQ$1,'UN Treasury'!$A$1:$BQ$1,-1,1),FALSE)</f>
        <v>3633.5</v>
      </c>
    </row>
    <row r="137" spans="1:69" x14ac:dyDescent="0.25">
      <c r="A137" t="s">
        <v>124</v>
      </c>
      <c r="B137">
        <f>VLOOKUP($A137,'UN Treasury'!$A$1:$BQ$224,_xlfn.XMATCH(B$1,'UN Treasury'!$A$1:$BQ$1,-1,1),FALSE)</f>
        <v>1</v>
      </c>
      <c r="C137">
        <f>VLOOKUP($A137,'UN Treasury'!$A$1:$BQ$224,_xlfn.XMATCH(C$1,'UN Treasury'!$A$1:$BQ$1,-1,1),FALSE)</f>
        <v>1</v>
      </c>
      <c r="D137">
        <f>VLOOKUP($A137,'UN Treasury'!$A$1:$BQ$224,_xlfn.XMATCH(D$1,'UN Treasury'!$A$1:$BQ$1,-1,1),FALSE)</f>
        <v>1</v>
      </c>
      <c r="E137">
        <f>VLOOKUP($A137,'UN Treasury'!$A$1:$BQ$224,_xlfn.XMATCH(E$1,'UN Treasury'!$A$1:$BQ$1,-1,1),FALSE)</f>
        <v>1</v>
      </c>
      <c r="F137">
        <f>VLOOKUP($A137,'UN Treasury'!$A$1:$BQ$224,_xlfn.XMATCH(F$1,'UN Treasury'!$A$1:$BQ$1,-1,1),FALSE)</f>
        <v>1</v>
      </c>
      <c r="G137">
        <f>VLOOKUP($A137,'UN Treasury'!$A$1:$BQ$224,_xlfn.XMATCH(G$1,'UN Treasury'!$A$1:$BQ$1,-1,1),FALSE)</f>
        <v>1</v>
      </c>
      <c r="H137">
        <f>VLOOKUP($A137,'UN Treasury'!$A$1:$BQ$224,_xlfn.XMATCH(H$1,'UN Treasury'!$A$1:$BQ$1,-1,1),FALSE)</f>
        <v>1</v>
      </c>
      <c r="I137">
        <f>VLOOKUP($A137,'UN Treasury'!$A$1:$BQ$224,_xlfn.XMATCH(I$1,'UN Treasury'!$A$1:$BQ$1,-1,1),FALSE)</f>
        <v>1</v>
      </c>
      <c r="J137">
        <f>VLOOKUP($A137,'UN Treasury'!$A$1:$BQ$224,_xlfn.XMATCH(J$1,'UN Treasury'!$A$1:$BQ$1,-1,1),FALSE)</f>
        <v>1</v>
      </c>
      <c r="K137">
        <f>VLOOKUP($A137,'UN Treasury'!$A$1:$BQ$224,_xlfn.XMATCH(K$1,'UN Treasury'!$A$1:$BQ$1,-1,1),FALSE)</f>
        <v>1</v>
      </c>
      <c r="L137">
        <f>VLOOKUP($A137,'UN Treasury'!$A$1:$BQ$224,_xlfn.XMATCH(L$1,'UN Treasury'!$A$1:$BQ$1,-1,1),FALSE)</f>
        <v>1</v>
      </c>
      <c r="M137">
        <f>VLOOKUP($A137,'UN Treasury'!$A$1:$BQ$224,_xlfn.XMATCH(M$1,'UN Treasury'!$A$1:$BQ$1,-1,1),FALSE)</f>
        <v>1</v>
      </c>
      <c r="N137">
        <f>VLOOKUP($A137,'UN Treasury'!$A$1:$BQ$224,_xlfn.XMATCH(N$1,'UN Treasury'!$A$1:$BQ$1,-1,1),FALSE)</f>
        <v>1</v>
      </c>
      <c r="O137">
        <f>VLOOKUP($A137,'UN Treasury'!$A$1:$BQ$224,_xlfn.XMATCH(O$1,'UN Treasury'!$A$1:$BQ$1,-1,1),FALSE)</f>
        <v>1</v>
      </c>
      <c r="P137">
        <f>VLOOKUP($A137,'UN Treasury'!$A$1:$BQ$224,_xlfn.XMATCH(P$1,'UN Treasury'!$A$1:$BQ$1,-1,1),FALSE)</f>
        <v>1</v>
      </c>
      <c r="Q137">
        <f>VLOOKUP($A137,'UN Treasury'!$A$1:$BQ$224,_xlfn.XMATCH(Q$1,'UN Treasury'!$A$1:$BQ$1,-1,1),FALSE)</f>
        <v>1</v>
      </c>
      <c r="R137">
        <f>VLOOKUP($A137,'UN Treasury'!$A$1:$BQ$224,_xlfn.XMATCH(R$1,'UN Treasury'!$A$1:$BQ$1,-1,1),FALSE)</f>
        <v>1</v>
      </c>
      <c r="S137">
        <f>VLOOKUP($A137,'UN Treasury'!$A$1:$BQ$224,_xlfn.XMATCH(S$1,'UN Treasury'!$A$1:$BQ$1,-1,1),FALSE)</f>
        <v>1</v>
      </c>
      <c r="T137">
        <f>VLOOKUP($A137,'UN Treasury'!$A$1:$BQ$224,_xlfn.XMATCH(T$1,'UN Treasury'!$A$1:$BQ$1,-1,1),FALSE)</f>
        <v>1</v>
      </c>
      <c r="U137">
        <f>VLOOKUP($A137,'UN Treasury'!$A$1:$BQ$224,_xlfn.XMATCH(U$1,'UN Treasury'!$A$1:$BQ$1,-1,1),FALSE)</f>
        <v>1</v>
      </c>
      <c r="V137">
        <f>VLOOKUP($A137,'UN Treasury'!$A$1:$BQ$224,_xlfn.XMATCH(V$1,'UN Treasury'!$A$1:$BQ$1,-1,1),FALSE)</f>
        <v>1</v>
      </c>
      <c r="W137">
        <f>VLOOKUP($A137,'UN Treasury'!$A$1:$BQ$224,_xlfn.XMATCH(W$1,'UN Treasury'!$A$1:$BQ$1,-1,1),FALSE)</f>
        <v>1</v>
      </c>
      <c r="X137">
        <f>VLOOKUP($A137,'UN Treasury'!$A$1:$BQ$224,_xlfn.XMATCH(X$1,'UN Treasury'!$A$1:$BQ$1,-1,1),FALSE)</f>
        <v>1</v>
      </c>
      <c r="Y137">
        <f>VLOOKUP($A137,'UN Treasury'!$A$1:$BQ$224,_xlfn.XMATCH(Y$1,'UN Treasury'!$A$1:$BQ$1,-1,1),FALSE)</f>
        <v>1</v>
      </c>
      <c r="Z137">
        <f>VLOOKUP($A137,'UN Treasury'!$A$1:$BQ$224,_xlfn.XMATCH(Z$1,'UN Treasury'!$A$1:$BQ$1,-1,1),FALSE)</f>
        <v>1</v>
      </c>
      <c r="AA137">
        <f>VLOOKUP($A137,'UN Treasury'!$A$1:$BQ$224,_xlfn.XMATCH(AA$1,'UN Treasury'!$A$1:$BQ$1,-1,1),FALSE)</f>
        <v>1</v>
      </c>
      <c r="AB137">
        <f>VLOOKUP($A137,'UN Treasury'!$A$1:$BQ$224,_xlfn.XMATCH(AB$1,'UN Treasury'!$A$1:$BQ$1,-1,1),FALSE)</f>
        <v>1</v>
      </c>
      <c r="AC137">
        <f>VLOOKUP($A137,'UN Treasury'!$A$1:$BQ$224,_xlfn.XMATCH(AC$1,'UN Treasury'!$A$1:$BQ$1,-1,1),FALSE)</f>
        <v>1</v>
      </c>
      <c r="AD137">
        <f>VLOOKUP($A137,'UN Treasury'!$A$1:$BQ$224,_xlfn.XMATCH(AD$1,'UN Treasury'!$A$1:$BQ$1,-1,1),FALSE)</f>
        <v>1</v>
      </c>
      <c r="AE137">
        <f>VLOOKUP($A137,'UN Treasury'!$A$1:$BQ$224,_xlfn.XMATCH(AE$1,'UN Treasury'!$A$1:$BQ$1,-1,1),FALSE)</f>
        <v>1</v>
      </c>
      <c r="AF137">
        <f>VLOOKUP($A137,'UN Treasury'!$A$1:$BQ$224,_xlfn.XMATCH(AF$1,'UN Treasury'!$A$1:$BQ$1,-1,1),FALSE)</f>
        <v>1</v>
      </c>
      <c r="AG137">
        <f>VLOOKUP($A137,'UN Treasury'!$A$1:$BQ$224,_xlfn.XMATCH(AG$1,'UN Treasury'!$A$1:$BQ$1,-1,1),FALSE)</f>
        <v>1</v>
      </c>
      <c r="AH137">
        <f>VLOOKUP($A137,'UN Treasury'!$A$1:$BQ$224,_xlfn.XMATCH(AH$1,'UN Treasury'!$A$1:$BQ$1,-1,1),FALSE)</f>
        <v>1</v>
      </c>
      <c r="AI137">
        <f>VLOOKUP($A137,'UN Treasury'!$A$1:$BQ$224,_xlfn.XMATCH(AI$1,'UN Treasury'!$A$1:$BQ$1,-1,1),FALSE)</f>
        <v>1</v>
      </c>
      <c r="AJ137">
        <f>VLOOKUP($A137,'UN Treasury'!$A$1:$BQ$224,_xlfn.XMATCH(AJ$1,'UN Treasury'!$A$1:$BQ$1,-1,1),FALSE)</f>
        <v>1</v>
      </c>
      <c r="AK137">
        <f>VLOOKUP($A137,'UN Treasury'!$A$1:$BQ$224,_xlfn.XMATCH(AK$1,'UN Treasury'!$A$1:$BQ$1,-1,1),FALSE)</f>
        <v>1</v>
      </c>
      <c r="AL137">
        <f>VLOOKUP($A137,'UN Treasury'!$A$1:$BQ$224,_xlfn.XMATCH(AL$1,'UN Treasury'!$A$1:$BQ$1,-1,1),FALSE)</f>
        <v>1</v>
      </c>
      <c r="AM137">
        <f>VLOOKUP($A137,'UN Treasury'!$A$1:$BQ$224,_xlfn.XMATCH(AM$1,'UN Treasury'!$A$1:$BQ$1,-1,1),FALSE)</f>
        <v>1</v>
      </c>
      <c r="AN137">
        <f>VLOOKUP($A137,'UN Treasury'!$A$1:$BQ$224,_xlfn.XMATCH(AN$1,'UN Treasury'!$A$1:$BQ$1,-1,1),FALSE)</f>
        <v>1</v>
      </c>
      <c r="AO137">
        <f>VLOOKUP($A137,'UN Treasury'!$A$1:$BQ$224,_xlfn.XMATCH(AO$1,'UN Treasury'!$A$1:$BQ$1,-1,1),FALSE)</f>
        <v>1</v>
      </c>
      <c r="AP137">
        <f>VLOOKUP($A137,'UN Treasury'!$A$1:$BQ$224,_xlfn.XMATCH(AP$1,'UN Treasury'!$A$1:$BQ$1,-1,1),FALSE)</f>
        <v>1</v>
      </c>
      <c r="AQ137">
        <f>VLOOKUP($A137,'UN Treasury'!$A$1:$BQ$224,_xlfn.XMATCH(AQ$1,'UN Treasury'!$A$1:$BQ$1,-1,1),FALSE)</f>
        <v>1</v>
      </c>
      <c r="AR137">
        <f>VLOOKUP($A137,'UN Treasury'!$A$1:$BQ$224,_xlfn.XMATCH(AR$1,'UN Treasury'!$A$1:$BQ$1,-1,1),FALSE)</f>
        <v>1</v>
      </c>
      <c r="AS137">
        <f>VLOOKUP($A137,'UN Treasury'!$A$1:$BQ$224,_xlfn.XMATCH(AS$1,'UN Treasury'!$A$1:$BQ$1,-1,1),FALSE)</f>
        <v>1</v>
      </c>
      <c r="AT137">
        <f>VLOOKUP($A137,'UN Treasury'!$A$1:$BQ$224,_xlfn.XMATCH(AT$1,'UN Treasury'!$A$1:$BQ$1,-1,1),FALSE)</f>
        <v>1</v>
      </c>
      <c r="AU137">
        <f>VLOOKUP($A137,'UN Treasury'!$A$1:$BQ$224,_xlfn.XMATCH(AU$1,'UN Treasury'!$A$1:$BQ$1,-1,1),FALSE)</f>
        <v>1</v>
      </c>
      <c r="AV137">
        <f>VLOOKUP($A137,'UN Treasury'!$A$1:$BQ$224,_xlfn.XMATCH(AV$1,'UN Treasury'!$A$1:$BQ$1,-1,1),FALSE)</f>
        <v>1</v>
      </c>
      <c r="AW137">
        <f>VLOOKUP($A137,'UN Treasury'!$A$1:$BQ$224,_xlfn.XMATCH(AW$1,'UN Treasury'!$A$1:$BQ$1,-1,1),FALSE)</f>
        <v>1</v>
      </c>
      <c r="AX137">
        <f>VLOOKUP($A137,'UN Treasury'!$A$1:$BQ$224,_xlfn.XMATCH(AX$1,'UN Treasury'!$A$1:$BQ$1,-1,1),FALSE)</f>
        <v>1</v>
      </c>
      <c r="AY137">
        <f>VLOOKUP($A137,'UN Treasury'!$A$1:$BQ$224,_xlfn.XMATCH(AY$1,'UN Treasury'!$A$1:$BQ$1,-1,1),FALSE)</f>
        <v>1</v>
      </c>
      <c r="AZ137">
        <f>VLOOKUP($A137,'UN Treasury'!$A$1:$BQ$224,_xlfn.XMATCH(AZ$1,'UN Treasury'!$A$1:$BQ$1,-1,1),FALSE)</f>
        <v>1</v>
      </c>
      <c r="BA137">
        <f>VLOOKUP($A137,'UN Treasury'!$A$1:$BQ$224,_xlfn.XMATCH(BA$1,'UN Treasury'!$A$1:$BQ$1,-1,1),FALSE)</f>
        <v>1</v>
      </c>
      <c r="BB137">
        <f>VLOOKUP($A137,'UN Treasury'!$A$1:$BQ$224,_xlfn.XMATCH(BB$1,'UN Treasury'!$A$1:$BQ$1,-1,1),FALSE)</f>
        <v>1</v>
      </c>
      <c r="BC137">
        <f>VLOOKUP($A137,'UN Treasury'!$A$1:$BQ$224,_xlfn.XMATCH(BC$1,'UN Treasury'!$A$1:$BQ$1,-1,1),FALSE)</f>
        <v>1</v>
      </c>
      <c r="BD137">
        <f>VLOOKUP($A137,'UN Treasury'!$A$1:$BQ$224,_xlfn.XMATCH(BD$1,'UN Treasury'!$A$1:$BQ$1,-1,1),FALSE)</f>
        <v>1</v>
      </c>
      <c r="BE137">
        <f>VLOOKUP($A137,'UN Treasury'!$A$1:$BQ$224,_xlfn.XMATCH(BE$1,'UN Treasury'!$A$1:$BQ$1,-1,1),FALSE)</f>
        <v>1</v>
      </c>
      <c r="BF137">
        <f>VLOOKUP($A137,'UN Treasury'!$A$1:$BQ$224,_xlfn.XMATCH(BF$1,'UN Treasury'!$A$1:$BQ$1,-1,1),FALSE)</f>
        <v>1</v>
      </c>
      <c r="BG137">
        <f>VLOOKUP($A137,'UN Treasury'!$A$1:$BQ$224,_xlfn.XMATCH(BG$1,'UN Treasury'!$A$1:$BQ$1,-1,1),FALSE)</f>
        <v>1</v>
      </c>
      <c r="BH137">
        <f>VLOOKUP($A137,'UN Treasury'!$A$1:$BQ$224,_xlfn.XMATCH(BH$1,'UN Treasury'!$A$1:$BQ$1,-1,1),FALSE)</f>
        <v>1</v>
      </c>
      <c r="BI137">
        <f>VLOOKUP($A137,'UN Treasury'!$A$1:$BQ$224,_xlfn.XMATCH(BI$1,'UN Treasury'!$A$1:$BQ$1,-1,1),FALSE)</f>
        <v>1</v>
      </c>
      <c r="BJ137">
        <f>VLOOKUP($A137,'UN Treasury'!$A$1:$BQ$224,_xlfn.XMATCH(BJ$1,'UN Treasury'!$A$1:$BQ$1,-1,1),FALSE)</f>
        <v>1</v>
      </c>
      <c r="BK137">
        <f>VLOOKUP($A137,'UN Treasury'!$A$1:$BQ$224,_xlfn.XMATCH(BK$1,'UN Treasury'!$A$1:$BQ$1,-1,1),FALSE)</f>
        <v>1</v>
      </c>
      <c r="BL137">
        <f>VLOOKUP($A137,'UN Treasury'!$A$1:$BQ$224,_xlfn.XMATCH(BL$1,'UN Treasury'!$A$1:$BQ$1,-1,1),FALSE)</f>
        <v>1</v>
      </c>
      <c r="BM137">
        <f>VLOOKUP($A137,'UN Treasury'!$A$1:$BQ$224,_xlfn.XMATCH(BM$1,'UN Treasury'!$A$1:$BQ$1,-1,1),FALSE)</f>
        <v>1</v>
      </c>
      <c r="BN137">
        <f>VLOOKUP($A137,'UN Treasury'!$A$1:$BQ$224,_xlfn.XMATCH(BN$1,'UN Treasury'!$A$1:$BQ$1,-1,1),FALSE)</f>
        <v>1</v>
      </c>
      <c r="BO137">
        <f>VLOOKUP($A137,'UN Treasury'!$A$1:$BQ$224,_xlfn.XMATCH(BO$1,'UN Treasury'!$A$1:$BQ$1,-1,1),FALSE)</f>
        <v>1</v>
      </c>
      <c r="BP137">
        <f>VLOOKUP($A137,'UN Treasury'!$A$1:$BQ$224,_xlfn.XMATCH(BP$1,'UN Treasury'!$A$1:$BQ$1,-1,1),FALSE)</f>
        <v>1</v>
      </c>
      <c r="BQ137">
        <f>VLOOKUP($A137,'UN Treasury'!$A$1:$BQ$224,_xlfn.XMATCH(BQ$1,'UN Treasury'!$A$1:$BQ$1,-1,1),FALSE)</f>
        <v>1</v>
      </c>
    </row>
    <row r="138" spans="1:69" x14ac:dyDescent="0.25">
      <c r="A138" t="s">
        <v>293</v>
      </c>
      <c r="B138">
        <f>VLOOKUP($A138,'UN Treasury'!$A$1:$BQ$224,_xlfn.XMATCH(B$1,'UN Treasury'!$A$1:$BQ$1,-1,1),FALSE)</f>
        <v>40.31</v>
      </c>
      <c r="C138">
        <f>VLOOKUP($A138,'UN Treasury'!$A$1:$BQ$224,_xlfn.XMATCH(C$1,'UN Treasury'!$A$1:$BQ$1,-1,1),FALSE)</f>
        <v>40.200000000000003</v>
      </c>
      <c r="D138">
        <f>VLOOKUP($A138,'UN Treasury'!$A$1:$BQ$224,_xlfn.XMATCH(D$1,'UN Treasury'!$A$1:$BQ$1,-1,1),FALSE)</f>
        <v>40.537999999999997</v>
      </c>
      <c r="E138">
        <f>VLOOKUP($A138,'UN Treasury'!$A$1:$BQ$224,_xlfn.XMATCH(E$1,'UN Treasury'!$A$1:$BQ$1,-1,1),FALSE)</f>
        <v>39.805</v>
      </c>
      <c r="F138">
        <f>VLOOKUP($A138,'UN Treasury'!$A$1:$BQ$224,_xlfn.XMATCH(F$1,'UN Treasury'!$A$1:$BQ$1,-1,1),FALSE)</f>
        <v>40.18</v>
      </c>
      <c r="G138">
        <f>VLOOKUP($A138,'UN Treasury'!$A$1:$BQ$224,_xlfn.XMATCH(G$1,'UN Treasury'!$A$1:$BQ$1,-1,1),FALSE)</f>
        <v>40.024000000000001</v>
      </c>
      <c r="H138">
        <f>VLOOKUP($A138,'UN Treasury'!$A$1:$BQ$224,_xlfn.XMATCH(H$1,'UN Treasury'!$A$1:$BQ$1,-1,1),FALSE)</f>
        <v>38.688000000000002</v>
      </c>
      <c r="I138">
        <f>VLOOKUP($A138,'UN Treasury'!$A$1:$BQ$224,_xlfn.XMATCH(I$1,'UN Treasury'!$A$1:$BQ$1,-1,1),FALSE)</f>
        <v>38.51</v>
      </c>
      <c r="J138">
        <f>VLOOKUP($A138,'UN Treasury'!$A$1:$BQ$224,_xlfn.XMATCH(J$1,'UN Treasury'!$A$1:$BQ$1,-1,1),FALSE)</f>
        <v>39.159999999999997</v>
      </c>
      <c r="K138">
        <f>VLOOKUP($A138,'UN Treasury'!$A$1:$BQ$224,_xlfn.XMATCH(K$1,'UN Treasury'!$A$1:$BQ$1,-1,1),FALSE)</f>
        <v>39.683</v>
      </c>
      <c r="L138">
        <f>VLOOKUP($A138,'UN Treasury'!$A$1:$BQ$224,_xlfn.XMATCH(L$1,'UN Treasury'!$A$1:$BQ$1,-1,1),FALSE)</f>
        <v>40.1</v>
      </c>
      <c r="M138">
        <f>VLOOKUP($A138,'UN Treasury'!$A$1:$BQ$224,_xlfn.XMATCH(M$1,'UN Treasury'!$A$1:$BQ$1,-1,1),FALSE)</f>
        <v>40.049999999999997</v>
      </c>
      <c r="N138">
        <f>VLOOKUP($A138,'UN Treasury'!$A$1:$BQ$224,_xlfn.XMATCH(N$1,'UN Treasury'!$A$1:$BQ$1,-1,1),FALSE)</f>
        <v>39.880000000000003</v>
      </c>
      <c r="O138">
        <f>VLOOKUP($A138,'UN Treasury'!$A$1:$BQ$224,_xlfn.XMATCH(O$1,'UN Treasury'!$A$1:$BQ$1,-1,1),FALSE)</f>
        <v>40.563000000000002</v>
      </c>
      <c r="P138">
        <f>VLOOKUP($A138,'UN Treasury'!$A$1:$BQ$224,_xlfn.XMATCH(P$1,'UN Treasury'!$A$1:$BQ$1,-1,1),FALSE)</f>
        <v>41.15</v>
      </c>
      <c r="Q138">
        <f>VLOOKUP($A138,'UN Treasury'!$A$1:$BQ$224,_xlfn.XMATCH(Q$1,'UN Treasury'!$A$1:$BQ$1,-1,1),FALSE)</f>
        <v>41.65</v>
      </c>
      <c r="R138">
        <f>VLOOKUP($A138,'UN Treasury'!$A$1:$BQ$224,_xlfn.XMATCH(R$1,'UN Treasury'!$A$1:$BQ$1,-1,1),FALSE)</f>
        <v>42.792999999999999</v>
      </c>
      <c r="S138">
        <f>VLOOKUP($A138,'UN Treasury'!$A$1:$BQ$224,_xlfn.XMATCH(S$1,'UN Treasury'!$A$1:$BQ$1,-1,1),FALSE)</f>
        <v>42.35</v>
      </c>
      <c r="T138">
        <f>VLOOKUP($A138,'UN Treasury'!$A$1:$BQ$224,_xlfn.XMATCH(T$1,'UN Treasury'!$A$1:$BQ$1,-1,1),FALSE)</f>
        <v>43.3</v>
      </c>
      <c r="U138">
        <f>VLOOKUP($A138,'UN Treasury'!$A$1:$BQ$224,_xlfn.XMATCH(U$1,'UN Treasury'!$A$1:$BQ$1,-1,1),FALSE)</f>
        <v>43.95</v>
      </c>
      <c r="V138">
        <f>VLOOKUP($A138,'UN Treasury'!$A$1:$BQ$224,_xlfn.XMATCH(V$1,'UN Treasury'!$A$1:$BQ$1,-1,1),FALSE)</f>
        <v>44.25</v>
      </c>
      <c r="W138">
        <f>VLOOKUP($A138,'UN Treasury'!$A$1:$BQ$224,_xlfn.XMATCH(W$1,'UN Treasury'!$A$1:$BQ$1,-1,1),FALSE)</f>
        <v>42.427999999999997</v>
      </c>
      <c r="X138">
        <f>VLOOKUP($A138,'UN Treasury'!$A$1:$BQ$224,_xlfn.XMATCH(X$1,'UN Treasury'!$A$1:$BQ$1,-1,1),FALSE)</f>
        <v>41.4</v>
      </c>
      <c r="Y138">
        <f>VLOOKUP($A138,'UN Treasury'!$A$1:$BQ$224,_xlfn.XMATCH(Y$1,'UN Treasury'!$A$1:$BQ$1,-1,1),FALSE)</f>
        <v>40.5</v>
      </c>
      <c r="Z138">
        <f>VLOOKUP($A138,'UN Treasury'!$A$1:$BQ$224,_xlfn.XMATCH(Z$1,'UN Treasury'!$A$1:$BQ$1,-1,1),FALSE)</f>
        <v>40.21</v>
      </c>
      <c r="AA138">
        <f>VLOOKUP($A138,'UN Treasury'!$A$1:$BQ$224,_xlfn.XMATCH(AA$1,'UN Treasury'!$A$1:$BQ$1,-1,1),FALSE)</f>
        <v>39.950000000000003</v>
      </c>
      <c r="AB138">
        <f>VLOOKUP($A138,'UN Treasury'!$A$1:$BQ$224,_xlfn.XMATCH(AB$1,'UN Treasury'!$A$1:$BQ$1,-1,1),FALSE)</f>
        <v>39.018000000000001</v>
      </c>
      <c r="AC138">
        <f>VLOOKUP($A138,'UN Treasury'!$A$1:$BQ$224,_xlfn.XMATCH(AC$1,'UN Treasury'!$A$1:$BQ$1,-1,1),FALSE)</f>
        <v>38.405000000000001</v>
      </c>
      <c r="AD138">
        <f>VLOOKUP($A138,'UN Treasury'!$A$1:$BQ$224,_xlfn.XMATCH(AD$1,'UN Treasury'!$A$1:$BQ$1,-1,1),FALSE)</f>
        <v>38.536000000000001</v>
      </c>
      <c r="AE138">
        <f>VLOOKUP($A138,'UN Treasury'!$A$1:$BQ$224,_xlfn.XMATCH(AE$1,'UN Treasury'!$A$1:$BQ$1,-1,1),FALSE)</f>
        <v>38.695</v>
      </c>
      <c r="AF138">
        <f>VLOOKUP($A138,'UN Treasury'!$A$1:$BQ$224,_xlfn.XMATCH(AF$1,'UN Treasury'!$A$1:$BQ$1,-1,1),FALSE)</f>
        <v>39.162999999999997</v>
      </c>
      <c r="AG138">
        <f>VLOOKUP($A138,'UN Treasury'!$A$1:$BQ$224,_xlfn.XMATCH(AG$1,'UN Treasury'!$A$1:$BQ$1,-1,1),FALSE)</f>
        <v>39.299999999999997</v>
      </c>
      <c r="AH138">
        <f>VLOOKUP($A138,'UN Treasury'!$A$1:$BQ$224,_xlfn.XMATCH(AH$1,'UN Treasury'!$A$1:$BQ$1,-1,1),FALSE)</f>
        <v>39.357999999999997</v>
      </c>
      <c r="AI138">
        <f>VLOOKUP($A138,'UN Treasury'!$A$1:$BQ$224,_xlfn.XMATCH(AI$1,'UN Treasury'!$A$1:$BQ$1,-1,1),FALSE)</f>
        <v>39.753</v>
      </c>
      <c r="AJ138">
        <f>VLOOKUP($A138,'UN Treasury'!$A$1:$BQ$224,_xlfn.XMATCH(AJ$1,'UN Treasury'!$A$1:$BQ$1,-1,1),FALSE)</f>
        <v>39.700000000000003</v>
      </c>
      <c r="AK138">
        <f>VLOOKUP($A138,'UN Treasury'!$A$1:$BQ$224,_xlfn.XMATCH(AK$1,'UN Treasury'!$A$1:$BQ$1,-1,1),FALSE)</f>
        <v>38.1</v>
      </c>
      <c r="AL138">
        <f>VLOOKUP($A138,'UN Treasury'!$A$1:$BQ$224,_xlfn.XMATCH(AL$1,'UN Treasury'!$A$1:$BQ$1,-1,1),FALSE)</f>
        <v>37.704000000000001</v>
      </c>
      <c r="AM138">
        <f>VLOOKUP($A138,'UN Treasury'!$A$1:$BQ$224,_xlfn.XMATCH(AM$1,'UN Treasury'!$A$1:$BQ$1,-1,1),FALSE)</f>
        <v>37.988999999999997</v>
      </c>
      <c r="AN138">
        <f>VLOOKUP($A138,'UN Treasury'!$A$1:$BQ$224,_xlfn.XMATCH(AN$1,'UN Treasury'!$A$1:$BQ$1,-1,1),FALSE)</f>
        <v>38.526000000000003</v>
      </c>
      <c r="AO138">
        <f>VLOOKUP($A138,'UN Treasury'!$A$1:$BQ$224,_xlfn.XMATCH(AO$1,'UN Treasury'!$A$1:$BQ$1,-1,1),FALSE)</f>
        <v>38.695</v>
      </c>
      <c r="AP138">
        <f>VLOOKUP($A138,'UN Treasury'!$A$1:$BQ$224,_xlfn.XMATCH(AP$1,'UN Treasury'!$A$1:$BQ$1,-1,1),FALSE)</f>
        <v>38.572000000000003</v>
      </c>
      <c r="AQ138">
        <f>VLOOKUP($A138,'UN Treasury'!$A$1:$BQ$224,_xlfn.XMATCH(AQ$1,'UN Treasury'!$A$1:$BQ$1,-1,1),FALSE)</f>
        <v>39.021999999999998</v>
      </c>
      <c r="AR138">
        <f>VLOOKUP($A138,'UN Treasury'!$A$1:$BQ$224,_xlfn.XMATCH(AR$1,'UN Treasury'!$A$1:$BQ$1,-1,1),FALSE)</f>
        <v>38.975000000000001</v>
      </c>
      <c r="AS138">
        <f>VLOOKUP($A138,'UN Treasury'!$A$1:$BQ$224,_xlfn.XMATCH(AS$1,'UN Treasury'!$A$1:$BQ$1,-1,1),FALSE)</f>
        <v>39.75</v>
      </c>
      <c r="AT138">
        <f>VLOOKUP($A138,'UN Treasury'!$A$1:$BQ$224,_xlfn.XMATCH(AT$1,'UN Treasury'!$A$1:$BQ$1,-1,1),FALSE)</f>
        <v>38.524999999999999</v>
      </c>
      <c r="AU138">
        <f>VLOOKUP($A138,'UN Treasury'!$A$1:$BQ$224,_xlfn.XMATCH(AU$1,'UN Treasury'!$A$1:$BQ$1,-1,1),FALSE)</f>
        <v>39.89</v>
      </c>
      <c r="AV138">
        <f>VLOOKUP($A138,'UN Treasury'!$A$1:$BQ$224,_xlfn.XMATCH(AV$1,'UN Treasury'!$A$1:$BQ$1,-1,1),FALSE)</f>
        <v>40.97</v>
      </c>
      <c r="AW138">
        <f>VLOOKUP($A138,'UN Treasury'!$A$1:$BQ$224,_xlfn.XMATCH(AW$1,'UN Treasury'!$A$1:$BQ$1,-1,1),FALSE)</f>
        <v>40.725000000000001</v>
      </c>
      <c r="AX138">
        <f>VLOOKUP($A138,'UN Treasury'!$A$1:$BQ$224,_xlfn.XMATCH(AX$1,'UN Treasury'!$A$1:$BQ$1,-1,1),FALSE)</f>
        <v>39.953000000000003</v>
      </c>
      <c r="AY138">
        <f>VLOOKUP($A138,'UN Treasury'!$A$1:$BQ$224,_xlfn.XMATCH(AY$1,'UN Treasury'!$A$1:$BQ$1,-1,1),FALSE)</f>
        <v>40.93</v>
      </c>
      <c r="AZ138">
        <f>VLOOKUP($A138,'UN Treasury'!$A$1:$BQ$224,_xlfn.XMATCH(AZ$1,'UN Treasury'!$A$1:$BQ$1,-1,1),FALSE)</f>
        <v>39.4</v>
      </c>
      <c r="BA138">
        <f>VLOOKUP($A138,'UN Treasury'!$A$1:$BQ$224,_xlfn.XMATCH(BA$1,'UN Treasury'!$A$1:$BQ$1,-1,1),FALSE)</f>
        <v>41.54</v>
      </c>
      <c r="BB138">
        <f>VLOOKUP($A138,'UN Treasury'!$A$1:$BQ$224,_xlfn.XMATCH(BB$1,'UN Treasury'!$A$1:$BQ$1,-1,1),FALSE)</f>
        <v>41.25</v>
      </c>
      <c r="BC138">
        <f>VLOOKUP($A138,'UN Treasury'!$A$1:$BQ$224,_xlfn.XMATCH(BC$1,'UN Treasury'!$A$1:$BQ$1,-1,1),FALSE)</f>
        <v>42.384999999999998</v>
      </c>
      <c r="BD138">
        <f>VLOOKUP($A138,'UN Treasury'!$A$1:$BQ$224,_xlfn.XMATCH(BD$1,'UN Treasury'!$A$1:$BQ$1,-1,1),FALSE)</f>
        <v>43.05</v>
      </c>
      <c r="BE138">
        <f>VLOOKUP($A138,'UN Treasury'!$A$1:$BQ$224,_xlfn.XMATCH(BE$1,'UN Treasury'!$A$1:$BQ$1,-1,1),FALSE)</f>
        <v>44.484999999999999</v>
      </c>
      <c r="BF138">
        <f>VLOOKUP($A138,'UN Treasury'!$A$1:$BQ$224,_xlfn.XMATCH(BF$1,'UN Treasury'!$A$1:$BQ$1,-1,1),FALSE)</f>
        <v>43.966999999999999</v>
      </c>
      <c r="BG138">
        <f>VLOOKUP($A138,'UN Treasury'!$A$1:$BQ$224,_xlfn.XMATCH(BG$1,'UN Treasury'!$A$1:$BQ$1,-1,1),FALSE)</f>
        <v>43.502000000000002</v>
      </c>
      <c r="BH138">
        <f>VLOOKUP($A138,'UN Treasury'!$A$1:$BQ$224,_xlfn.XMATCH(BH$1,'UN Treasury'!$A$1:$BQ$1,-1,1),FALSE)</f>
        <v>42.667000000000002</v>
      </c>
      <c r="BI138">
        <f>VLOOKUP($A138,'UN Treasury'!$A$1:$BQ$224,_xlfn.XMATCH(BI$1,'UN Treasury'!$A$1:$BQ$1,-1,1),FALSE)</f>
        <v>42.371000000000002</v>
      </c>
      <c r="BJ138">
        <f>VLOOKUP($A138,'UN Treasury'!$A$1:$BQ$224,_xlfn.XMATCH(BJ$1,'UN Treasury'!$A$1:$BQ$1,-1,1),FALSE)</f>
        <v>43.55</v>
      </c>
      <c r="BK138">
        <f>VLOOKUP($A138,'UN Treasury'!$A$1:$BQ$224,_xlfn.XMATCH(BK$1,'UN Treasury'!$A$1:$BQ$1,-1,1),FALSE)</f>
        <v>43.298999999999999</v>
      </c>
      <c r="BL138">
        <f>VLOOKUP($A138,'UN Treasury'!$A$1:$BQ$224,_xlfn.XMATCH(BL$1,'UN Treasury'!$A$1:$BQ$1,-1,1),FALSE)</f>
        <v>43.698</v>
      </c>
      <c r="BM138">
        <f>VLOOKUP($A138,'UN Treasury'!$A$1:$BQ$224,_xlfn.XMATCH(BM$1,'UN Treasury'!$A$1:$BQ$1,-1,1),FALSE)</f>
        <v>43.78</v>
      </c>
      <c r="BN138">
        <f>VLOOKUP($A138,'UN Treasury'!$A$1:$BQ$224,_xlfn.XMATCH(BN$1,'UN Treasury'!$A$1:$BQ$1,-1,1),FALSE)</f>
        <v>44.46</v>
      </c>
      <c r="BO138">
        <f>VLOOKUP($A138,'UN Treasury'!$A$1:$BQ$224,_xlfn.XMATCH(BO$1,'UN Treasury'!$A$1:$BQ$1,-1,1),FALSE)</f>
        <v>42.948</v>
      </c>
      <c r="BP138">
        <f>VLOOKUP($A138,'UN Treasury'!$A$1:$BQ$224,_xlfn.XMATCH(BP$1,'UN Treasury'!$A$1:$BQ$1,-1,1),FALSE)</f>
        <v>42.28</v>
      </c>
      <c r="BQ138">
        <f>VLOOKUP($A138,'UN Treasury'!$A$1:$BQ$224,_xlfn.XMATCH(BQ$1,'UN Treasury'!$A$1:$BQ$1,-1,1),FALSE)</f>
        <v>42.05</v>
      </c>
    </row>
    <row r="139" spans="1:69" x14ac:dyDescent="0.25">
      <c r="A139" t="s">
        <v>295</v>
      </c>
      <c r="B139">
        <f>VLOOKUP($A139,'UN Treasury'!$A$1:$BQ$224,_xlfn.XMATCH(B$1,'UN Treasury'!$A$1:$BQ$1,-1,1),FALSE)</f>
        <v>11912.73</v>
      </c>
      <c r="C139">
        <f>VLOOKUP($A139,'UN Treasury'!$A$1:$BQ$224,_xlfn.XMATCH(C$1,'UN Treasury'!$A$1:$BQ$1,-1,1),FALSE)</f>
        <v>12078.88</v>
      </c>
      <c r="D139">
        <f>VLOOKUP($A139,'UN Treasury'!$A$1:$BQ$224,_xlfn.XMATCH(D$1,'UN Treasury'!$A$1:$BQ$1,-1,1),FALSE)</f>
        <v>12015</v>
      </c>
      <c r="E139">
        <f>VLOOKUP($A139,'UN Treasury'!$A$1:$BQ$224,_xlfn.XMATCH(E$1,'UN Treasury'!$A$1:$BQ$1,-1,1),FALSE)</f>
        <v>12095</v>
      </c>
      <c r="F139">
        <f>VLOOKUP($A139,'UN Treasury'!$A$1:$BQ$224,_xlfn.XMATCH(F$1,'UN Treasury'!$A$1:$BQ$1,-1,1),FALSE)</f>
        <v>12125</v>
      </c>
      <c r="G139">
        <f>VLOOKUP($A139,'UN Treasury'!$A$1:$BQ$224,_xlfn.XMATCH(G$1,'UN Treasury'!$A$1:$BQ$1,-1,1),FALSE)</f>
        <v>12090</v>
      </c>
      <c r="H139">
        <f>VLOOKUP($A139,'UN Treasury'!$A$1:$BQ$224,_xlfn.XMATCH(H$1,'UN Treasury'!$A$1:$BQ$1,-1,1),FALSE)</f>
        <v>12255</v>
      </c>
      <c r="I139">
        <f>VLOOKUP($A139,'UN Treasury'!$A$1:$BQ$224,_xlfn.XMATCH(I$1,'UN Treasury'!$A$1:$BQ$1,-1,1),FALSE)</f>
        <v>12030</v>
      </c>
      <c r="J139">
        <f>VLOOKUP($A139,'UN Treasury'!$A$1:$BQ$224,_xlfn.XMATCH(J$1,'UN Treasury'!$A$1:$BQ$1,-1,1),FALSE)</f>
        <v>12025</v>
      </c>
      <c r="K139">
        <f>VLOOKUP($A139,'UN Treasury'!$A$1:$BQ$224,_xlfn.XMATCH(K$1,'UN Treasury'!$A$1:$BQ$1,-1,1),FALSE)</f>
        <v>11965</v>
      </c>
      <c r="L139">
        <f>VLOOKUP($A139,'UN Treasury'!$A$1:$BQ$224,_xlfn.XMATCH(L$1,'UN Treasury'!$A$1:$BQ$1,-1,1),FALSE)</f>
        <v>11965</v>
      </c>
      <c r="M139">
        <f>VLOOKUP($A139,'UN Treasury'!$A$1:$BQ$224,_xlfn.XMATCH(M$1,'UN Treasury'!$A$1:$BQ$1,-1,1),FALSE)</f>
        <v>12380</v>
      </c>
      <c r="N139">
        <f>VLOOKUP($A139,'UN Treasury'!$A$1:$BQ$224,_xlfn.XMATCH(N$1,'UN Treasury'!$A$1:$BQ$1,-1,1),FALSE)</f>
        <v>12540</v>
      </c>
      <c r="O139">
        <f>VLOOKUP($A139,'UN Treasury'!$A$1:$BQ$224,_xlfn.XMATCH(O$1,'UN Treasury'!$A$1:$BQ$1,-1,1),FALSE)</f>
        <v>12550</v>
      </c>
      <c r="P139">
        <f>VLOOKUP($A139,'UN Treasury'!$A$1:$BQ$224,_xlfn.XMATCH(P$1,'UN Treasury'!$A$1:$BQ$1,-1,1),FALSE)</f>
        <v>12680</v>
      </c>
      <c r="Q139">
        <f>VLOOKUP($A139,'UN Treasury'!$A$1:$BQ$224,_xlfn.XMATCH(Q$1,'UN Treasury'!$A$1:$BQ$1,-1,1),FALSE)</f>
        <v>12880</v>
      </c>
      <c r="R139">
        <f>VLOOKUP($A139,'UN Treasury'!$A$1:$BQ$224,_xlfn.XMATCH(R$1,'UN Treasury'!$A$1:$BQ$1,-1,1),FALSE)</f>
        <v>12937</v>
      </c>
      <c r="S139">
        <f>VLOOKUP($A139,'UN Treasury'!$A$1:$BQ$224,_xlfn.XMATCH(S$1,'UN Treasury'!$A$1:$BQ$1,-1,1),FALSE)</f>
        <v>12890</v>
      </c>
      <c r="T139">
        <f>VLOOKUP($A139,'UN Treasury'!$A$1:$BQ$224,_xlfn.XMATCH(T$1,'UN Treasury'!$A$1:$BQ$1,-1,1),FALSE)</f>
        <v>12940</v>
      </c>
      <c r="U139">
        <f>VLOOKUP($A139,'UN Treasury'!$A$1:$BQ$224,_xlfn.XMATCH(U$1,'UN Treasury'!$A$1:$BQ$1,-1,1),FALSE)</f>
        <v>12918</v>
      </c>
      <c r="V139">
        <f>VLOOKUP($A139,'UN Treasury'!$A$1:$BQ$224,_xlfn.XMATCH(V$1,'UN Treasury'!$A$1:$BQ$1,-1,1),FALSE)</f>
        <v>12820</v>
      </c>
      <c r="W139">
        <f>VLOOKUP($A139,'UN Treasury'!$A$1:$BQ$224,_xlfn.XMATCH(W$1,'UN Treasury'!$A$1:$BQ$1,-1,1),FALSE)</f>
        <v>12790</v>
      </c>
      <c r="X139">
        <f>VLOOKUP($A139,'UN Treasury'!$A$1:$BQ$224,_xlfn.XMATCH(X$1,'UN Treasury'!$A$1:$BQ$1,-1,1),FALSE)</f>
        <v>12780</v>
      </c>
      <c r="Y139">
        <f>VLOOKUP($A139,'UN Treasury'!$A$1:$BQ$224,_xlfn.XMATCH(Y$1,'UN Treasury'!$A$1:$BQ$1,-1,1),FALSE)</f>
        <v>12690</v>
      </c>
      <c r="Z139">
        <f>VLOOKUP($A139,'UN Treasury'!$A$1:$BQ$224,_xlfn.XMATCH(Z$1,'UN Treasury'!$A$1:$BQ$1,-1,1),FALSE)</f>
        <v>12620</v>
      </c>
      <c r="AA139">
        <f>VLOOKUP($A139,'UN Treasury'!$A$1:$BQ$224,_xlfn.XMATCH(AA$1,'UN Treasury'!$A$1:$BQ$1,-1,1),FALSE)</f>
        <v>12585</v>
      </c>
      <c r="AB139">
        <f>VLOOKUP($A139,'UN Treasury'!$A$1:$BQ$224,_xlfn.XMATCH(AB$1,'UN Treasury'!$A$1:$BQ$1,-1,1),FALSE)</f>
        <v>12630</v>
      </c>
      <c r="AC139">
        <f>VLOOKUP($A139,'UN Treasury'!$A$1:$BQ$224,_xlfn.XMATCH(AC$1,'UN Treasury'!$A$1:$BQ$1,-1,1),FALSE)</f>
        <v>12665</v>
      </c>
      <c r="AD139">
        <f>VLOOKUP($A139,'UN Treasury'!$A$1:$BQ$224,_xlfn.XMATCH(AD$1,'UN Treasury'!$A$1:$BQ$1,-1,1),FALSE)</f>
        <v>12670</v>
      </c>
      <c r="AE139">
        <f>VLOOKUP($A139,'UN Treasury'!$A$1:$BQ$224,_xlfn.XMATCH(AE$1,'UN Treasury'!$A$1:$BQ$1,-1,1),FALSE)</f>
        <v>12490</v>
      </c>
      <c r="AF139">
        <f>VLOOKUP($A139,'UN Treasury'!$A$1:$BQ$224,_xlfn.XMATCH(AF$1,'UN Treasury'!$A$1:$BQ$1,-1,1),FALSE)</f>
        <v>12450</v>
      </c>
      <c r="AG139">
        <f>VLOOKUP($A139,'UN Treasury'!$A$1:$BQ$224,_xlfn.XMATCH(AG$1,'UN Treasury'!$A$1:$BQ$1,-1,1),FALSE)</f>
        <v>12394.65</v>
      </c>
      <c r="AH139">
        <f>VLOOKUP($A139,'UN Treasury'!$A$1:$BQ$224,_xlfn.XMATCH(AH$1,'UN Treasury'!$A$1:$BQ$1,-1,1),FALSE)</f>
        <v>12300</v>
      </c>
      <c r="AI139">
        <f>VLOOKUP($A139,'UN Treasury'!$A$1:$BQ$224,_xlfn.XMATCH(AI$1,'UN Treasury'!$A$1:$BQ$1,-1,1),FALSE)</f>
        <v>12270</v>
      </c>
      <c r="AJ139">
        <f>VLOOKUP($A139,'UN Treasury'!$A$1:$BQ$224,_xlfn.XMATCH(AJ$1,'UN Treasury'!$A$1:$BQ$1,-1,1),FALSE)</f>
        <v>12180</v>
      </c>
      <c r="AK139">
        <f>VLOOKUP($A139,'UN Treasury'!$A$1:$BQ$224,_xlfn.XMATCH(AK$1,'UN Treasury'!$A$1:$BQ$1,-1,1),FALSE)</f>
        <v>12130</v>
      </c>
      <c r="AL139">
        <f>VLOOKUP($A139,'UN Treasury'!$A$1:$BQ$224,_xlfn.XMATCH(AL$1,'UN Treasury'!$A$1:$BQ$1,-1,1),FALSE)</f>
        <v>11665</v>
      </c>
      <c r="AM139">
        <f>VLOOKUP($A139,'UN Treasury'!$A$1:$BQ$224,_xlfn.XMATCH(AM$1,'UN Treasury'!$A$1:$BQ$1,-1,1),FALSE)</f>
        <v>11525</v>
      </c>
      <c r="AN139">
        <f>VLOOKUP($A139,'UN Treasury'!$A$1:$BQ$224,_xlfn.XMATCH(AN$1,'UN Treasury'!$A$1:$BQ$1,-1,1),FALSE)</f>
        <v>11450</v>
      </c>
      <c r="AO139">
        <f>VLOOKUP($A139,'UN Treasury'!$A$1:$BQ$224,_xlfn.XMATCH(AO$1,'UN Treasury'!$A$1:$BQ$1,-1,1),FALSE)</f>
        <v>11398</v>
      </c>
      <c r="AP139">
        <f>VLOOKUP($A139,'UN Treasury'!$A$1:$BQ$224,_xlfn.XMATCH(AP$1,'UN Treasury'!$A$1:$BQ$1,-1,1),FALSE)</f>
        <v>11395</v>
      </c>
      <c r="AQ139">
        <f>VLOOKUP($A139,'UN Treasury'!$A$1:$BQ$224,_xlfn.XMATCH(AQ$1,'UN Treasury'!$A$1:$BQ$1,-1,1),FALSE)</f>
        <v>11382</v>
      </c>
      <c r="AR139">
        <f>VLOOKUP($A139,'UN Treasury'!$A$1:$BQ$224,_xlfn.XMATCH(AR$1,'UN Treasury'!$A$1:$BQ$1,-1,1),FALSE)</f>
        <v>11350</v>
      </c>
      <c r="AS139">
        <f>VLOOKUP($A139,'UN Treasury'!$A$1:$BQ$224,_xlfn.XMATCH(AS$1,'UN Treasury'!$A$1:$BQ$1,-1,1),FALSE)</f>
        <v>11290</v>
      </c>
      <c r="AT139">
        <f>VLOOKUP($A139,'UN Treasury'!$A$1:$BQ$224,_xlfn.XMATCH(AT$1,'UN Treasury'!$A$1:$BQ$1,-1,1),FALSE)</f>
        <v>11245</v>
      </c>
      <c r="AU139">
        <f>VLOOKUP($A139,'UN Treasury'!$A$1:$BQ$224,_xlfn.XMATCH(AU$1,'UN Treasury'!$A$1:$BQ$1,-1,1),FALSE)</f>
        <v>11145</v>
      </c>
      <c r="AV139">
        <f>VLOOKUP($A139,'UN Treasury'!$A$1:$BQ$224,_xlfn.XMATCH(AV$1,'UN Treasury'!$A$1:$BQ$1,-1,1),FALSE)</f>
        <v>11040</v>
      </c>
      <c r="AW139">
        <f>VLOOKUP($A139,'UN Treasury'!$A$1:$BQ$224,_xlfn.XMATCH(AW$1,'UN Treasury'!$A$1:$BQ$1,-1,1),FALSE)</f>
        <v>10980</v>
      </c>
      <c r="AX139">
        <f>VLOOKUP($A139,'UN Treasury'!$A$1:$BQ$224,_xlfn.XMATCH(AX$1,'UN Treasury'!$A$1:$BQ$1,-1,1),FALSE)</f>
        <v>10865</v>
      </c>
      <c r="AY139">
        <f>VLOOKUP($A139,'UN Treasury'!$A$1:$BQ$224,_xlfn.XMATCH(AY$1,'UN Treasury'!$A$1:$BQ$1,-1,1),FALSE)</f>
        <v>10894.88</v>
      </c>
      <c r="AZ139">
        <f>VLOOKUP($A139,'UN Treasury'!$A$1:$BQ$224,_xlfn.XMATCH(AZ$1,'UN Treasury'!$A$1:$BQ$1,-1,1),FALSE)</f>
        <v>11010</v>
      </c>
      <c r="BA139">
        <f>VLOOKUP($A139,'UN Treasury'!$A$1:$BQ$224,_xlfn.XMATCH(BA$1,'UN Treasury'!$A$1:$BQ$1,-1,1),FALSE)</f>
        <v>11130</v>
      </c>
      <c r="BB139">
        <f>VLOOKUP($A139,'UN Treasury'!$A$1:$BQ$224,_xlfn.XMATCH(BB$1,'UN Treasury'!$A$1:$BQ$1,-1,1),FALSE)</f>
        <v>11290</v>
      </c>
      <c r="BC139">
        <f>VLOOKUP($A139,'UN Treasury'!$A$1:$BQ$224,_xlfn.XMATCH(BC$1,'UN Treasury'!$A$1:$BQ$1,-1,1),FALSE)</f>
        <v>10887</v>
      </c>
      <c r="BD139">
        <f>VLOOKUP($A139,'UN Treasury'!$A$1:$BQ$224,_xlfn.XMATCH(BD$1,'UN Treasury'!$A$1:$BQ$1,-1,1),FALSE)</f>
        <v>10780</v>
      </c>
      <c r="BE139">
        <f>VLOOKUP($A139,'UN Treasury'!$A$1:$BQ$224,_xlfn.XMATCH(BE$1,'UN Treasury'!$A$1:$BQ$1,-1,1),FALSE)</f>
        <v>10785</v>
      </c>
      <c r="BF139">
        <f>VLOOKUP($A139,'UN Treasury'!$A$1:$BQ$224,_xlfn.XMATCH(BF$1,'UN Treasury'!$A$1:$BQ$1,-1,1),FALSE)</f>
        <v>10725</v>
      </c>
      <c r="BG139">
        <f>VLOOKUP($A139,'UN Treasury'!$A$1:$BQ$224,_xlfn.XMATCH(BG$1,'UN Treasury'!$A$1:$BQ$1,-1,1),FALSE)</f>
        <v>10673</v>
      </c>
      <c r="BH139">
        <f>VLOOKUP($A139,'UN Treasury'!$A$1:$BQ$224,_xlfn.XMATCH(BH$1,'UN Treasury'!$A$1:$BQ$1,-1,1),FALSE)</f>
        <v>10650</v>
      </c>
      <c r="BI139">
        <f>VLOOKUP($A139,'UN Treasury'!$A$1:$BQ$224,_xlfn.XMATCH(BI$1,'UN Treasury'!$A$1:$BQ$1,-1,1),FALSE)</f>
        <v>10620</v>
      </c>
      <c r="BJ139">
        <f>VLOOKUP($A139,'UN Treasury'!$A$1:$BQ$224,_xlfn.XMATCH(BJ$1,'UN Treasury'!$A$1:$BQ$1,-1,1),FALSE)</f>
        <v>10570</v>
      </c>
      <c r="BK139">
        <f>VLOOKUP($A139,'UN Treasury'!$A$1:$BQ$224,_xlfn.XMATCH(BK$1,'UN Treasury'!$A$1:$BQ$1,-1,1),FALSE)</f>
        <v>10551</v>
      </c>
      <c r="BL139">
        <f>VLOOKUP($A139,'UN Treasury'!$A$1:$BQ$224,_xlfn.XMATCH(BL$1,'UN Treasury'!$A$1:$BQ$1,-1,1),FALSE)</f>
        <v>10558</v>
      </c>
      <c r="BM139">
        <f>VLOOKUP($A139,'UN Treasury'!$A$1:$BQ$224,_xlfn.XMATCH(BM$1,'UN Treasury'!$A$1:$BQ$1,-1,1),FALSE)</f>
        <v>10520</v>
      </c>
      <c r="BN139">
        <f>VLOOKUP($A139,'UN Treasury'!$A$1:$BQ$224,_xlfn.XMATCH(BN$1,'UN Treasury'!$A$1:$BQ$1,-1,1),FALSE)</f>
        <v>10495</v>
      </c>
      <c r="BO139">
        <f>VLOOKUP($A139,'UN Treasury'!$A$1:$BQ$224,_xlfn.XMATCH(BO$1,'UN Treasury'!$A$1:$BQ$1,-1,1),FALSE)</f>
        <v>10549</v>
      </c>
      <c r="BP139">
        <f>VLOOKUP($A139,'UN Treasury'!$A$1:$BQ$224,_xlfn.XMATCH(BP$1,'UN Treasury'!$A$1:$BQ$1,-1,1),FALSE)</f>
        <v>10519</v>
      </c>
      <c r="BQ139">
        <f>VLOOKUP($A139,'UN Treasury'!$A$1:$BQ$224,_xlfn.XMATCH(BQ$1,'UN Treasury'!$A$1:$BQ$1,-1,1),FALSE)</f>
        <v>10483</v>
      </c>
    </row>
    <row r="140" spans="1:69" x14ac:dyDescent="0.25">
      <c r="A140" t="s">
        <v>297</v>
      </c>
      <c r="B140">
        <f>VLOOKUP($A140,'UN Treasury'!$A$1:$BQ$224,_xlfn.XMATCH(B$1,'UN Treasury'!$A$1:$BQ$1,-1,1),FALSE)</f>
        <v>757.54100000000005</v>
      </c>
      <c r="C140">
        <f>VLOOKUP($A140,'UN Treasury'!$A$1:$BQ$224,_xlfn.XMATCH(C$1,'UN Treasury'!$A$1:$BQ$1,-1,1),FALSE)</f>
        <v>700.22400000000005</v>
      </c>
      <c r="D140">
        <f>VLOOKUP($A140,'UN Treasury'!$A$1:$BQ$224,_xlfn.XMATCH(D$1,'UN Treasury'!$A$1:$BQ$1,-1,1),FALSE)</f>
        <v>567.68299999999999</v>
      </c>
      <c r="E140">
        <f>VLOOKUP($A140,'UN Treasury'!$A$1:$BQ$224,_xlfn.XMATCH(E$1,'UN Treasury'!$A$1:$BQ$1,-1,1),FALSE)</f>
        <v>500.46</v>
      </c>
      <c r="F140">
        <f>VLOOKUP($A140,'UN Treasury'!$A$1:$BQ$224,_xlfn.XMATCH(F$1,'UN Treasury'!$A$1:$BQ$1,-1,1),FALSE)</f>
        <v>475.95800000000003</v>
      </c>
      <c r="G140">
        <f>VLOOKUP($A140,'UN Treasury'!$A$1:$BQ$224,_xlfn.XMATCH(G$1,'UN Treasury'!$A$1:$BQ$1,-1,1),FALSE)</f>
        <v>436.24099999999999</v>
      </c>
      <c r="H140">
        <f>VLOOKUP($A140,'UN Treasury'!$A$1:$BQ$224,_xlfn.XMATCH(H$1,'UN Treasury'!$A$1:$BQ$1,-1,1),FALSE)</f>
        <v>388.73899999999998</v>
      </c>
      <c r="I140">
        <f>VLOOKUP($A140,'UN Treasury'!$A$1:$BQ$224,_xlfn.XMATCH(I$1,'UN Treasury'!$A$1:$BQ$1,-1,1),FALSE)</f>
        <v>330.375</v>
      </c>
      <c r="J140">
        <f>VLOOKUP($A140,'UN Treasury'!$A$1:$BQ$224,_xlfn.XMATCH(J$1,'UN Treasury'!$A$1:$BQ$1,-1,1),FALSE)</f>
        <v>257.928</v>
      </c>
      <c r="K140">
        <f>VLOOKUP($A140,'UN Treasury'!$A$1:$BQ$224,_xlfn.XMATCH(K$1,'UN Treasury'!$A$1:$BQ$1,-1,1),FALSE)</f>
        <v>231.04599999999999</v>
      </c>
      <c r="L140">
        <f>VLOOKUP($A140,'UN Treasury'!$A$1:$BQ$224,_xlfn.XMATCH(L$1,'UN Treasury'!$A$1:$BQ$1,-1,1),FALSE)</f>
        <v>191.36600000000001</v>
      </c>
      <c r="M140">
        <f>VLOOKUP($A140,'UN Treasury'!$A$1:$BQ$224,_xlfn.XMATCH(M$1,'UN Treasury'!$A$1:$BQ$1,-1,1),FALSE)</f>
        <v>154.982</v>
      </c>
      <c r="N140">
        <f>VLOOKUP($A140,'UN Treasury'!$A$1:$BQ$224,_xlfn.XMATCH(N$1,'UN Treasury'!$A$1:$BQ$1,-1,1),FALSE)</f>
        <v>131.124</v>
      </c>
      <c r="O140">
        <f>VLOOKUP($A140,'UN Treasury'!$A$1:$BQ$224,_xlfn.XMATCH(O$1,'UN Treasury'!$A$1:$BQ$1,-1,1),FALSE)</f>
        <v>113.75</v>
      </c>
      <c r="P140">
        <f>VLOOKUP($A140,'UN Treasury'!$A$1:$BQ$224,_xlfn.XMATCH(P$1,'UN Treasury'!$A$1:$BQ$1,-1,1),FALSE)</f>
        <v>99.090999999999994</v>
      </c>
      <c r="Q140">
        <f>VLOOKUP($A140,'UN Treasury'!$A$1:$BQ$224,_xlfn.XMATCH(Q$1,'UN Treasury'!$A$1:$BQ$1,-1,1),FALSE)</f>
        <v>92.831000000000003</v>
      </c>
      <c r="R140">
        <f>VLOOKUP($A140,'UN Treasury'!$A$1:$BQ$224,_xlfn.XMATCH(R$1,'UN Treasury'!$A$1:$BQ$1,-1,1),FALSE)</f>
        <v>73.356999999999999</v>
      </c>
      <c r="S140">
        <f>VLOOKUP($A140,'UN Treasury'!$A$1:$BQ$224,_xlfn.XMATCH(S$1,'UN Treasury'!$A$1:$BQ$1,-1,1),FALSE)</f>
        <v>65.266000000000005</v>
      </c>
      <c r="T140">
        <f>VLOOKUP($A140,'UN Treasury'!$A$1:$BQ$224,_xlfn.XMATCH(T$1,'UN Treasury'!$A$1:$BQ$1,-1,1),FALSE)</f>
        <v>60.542000000000002</v>
      </c>
      <c r="U140">
        <f>VLOOKUP($A140,'UN Treasury'!$A$1:$BQ$224,_xlfn.XMATCH(U$1,'UN Treasury'!$A$1:$BQ$1,-1,1),FALSE)</f>
        <v>53.281999999999996</v>
      </c>
      <c r="V140">
        <f>VLOOKUP($A140,'UN Treasury'!$A$1:$BQ$224,_xlfn.XMATCH(V$1,'UN Treasury'!$A$1:$BQ$1,-1,1),FALSE)</f>
        <v>48.326000000000001</v>
      </c>
      <c r="W140">
        <f>VLOOKUP($A140,'UN Treasury'!$A$1:$BQ$224,_xlfn.XMATCH(W$1,'UN Treasury'!$A$1:$BQ$1,-1,1),FALSE)</f>
        <v>44.703000000000003</v>
      </c>
      <c r="X140">
        <f>VLOOKUP($A140,'UN Treasury'!$A$1:$BQ$224,_xlfn.XMATCH(X$1,'UN Treasury'!$A$1:$BQ$1,-1,1),FALSE)</f>
        <v>37.039000000000001</v>
      </c>
      <c r="Y140">
        <f>VLOOKUP($A140,'UN Treasury'!$A$1:$BQ$224,_xlfn.XMATCH(Y$1,'UN Treasury'!$A$1:$BQ$1,-1,1),FALSE)</f>
        <v>36.683999999999997</v>
      </c>
      <c r="Z140">
        <f>VLOOKUP($A140,'UN Treasury'!$A$1:$BQ$224,_xlfn.XMATCH(Z$1,'UN Treasury'!$A$1:$BQ$1,-1,1),FALSE)</f>
        <v>36.68</v>
      </c>
      <c r="AA140">
        <f>VLOOKUP($A140,'UN Treasury'!$A$1:$BQ$224,_xlfn.XMATCH(AA$1,'UN Treasury'!$A$1:$BQ$1,-1,1),FALSE)</f>
        <v>36.512</v>
      </c>
      <c r="AB140">
        <f>VLOOKUP($A140,'UN Treasury'!$A$1:$BQ$224,_xlfn.XMATCH(AB$1,'UN Treasury'!$A$1:$BQ$1,-1,1),FALSE)</f>
        <v>36.511000000000003</v>
      </c>
      <c r="AC140">
        <f>VLOOKUP($A140,'UN Treasury'!$A$1:$BQ$224,_xlfn.XMATCH(AC$1,'UN Treasury'!$A$1:$BQ$1,-1,1),FALSE)</f>
        <v>36.582000000000001</v>
      </c>
      <c r="AD140">
        <f>VLOOKUP($A140,'UN Treasury'!$A$1:$BQ$224,_xlfn.XMATCH(AD$1,'UN Treasury'!$A$1:$BQ$1,-1,1),FALSE)</f>
        <v>36.229999999999997</v>
      </c>
      <c r="AE140">
        <f>VLOOKUP($A140,'UN Treasury'!$A$1:$BQ$224,_xlfn.XMATCH(AE$1,'UN Treasury'!$A$1:$BQ$1,-1,1),FALSE)</f>
        <v>36.200000000000003</v>
      </c>
      <c r="AF140">
        <f>VLOOKUP($A140,'UN Treasury'!$A$1:$BQ$224,_xlfn.XMATCH(AF$1,'UN Treasury'!$A$1:$BQ$1,-1,1),FALSE)</f>
        <v>36.317999999999998</v>
      </c>
      <c r="AG140">
        <f>VLOOKUP($A140,'UN Treasury'!$A$1:$BQ$224,_xlfn.XMATCH(AG$1,'UN Treasury'!$A$1:$BQ$1,-1,1),FALSE)</f>
        <v>35.917000000000002</v>
      </c>
      <c r="AH140">
        <f>VLOOKUP($A140,'UN Treasury'!$A$1:$BQ$224,_xlfn.XMATCH(AH$1,'UN Treasury'!$A$1:$BQ$1,-1,1),FALSE)</f>
        <v>35.624000000000002</v>
      </c>
      <c r="AI140">
        <f>VLOOKUP($A140,'UN Treasury'!$A$1:$BQ$224,_xlfn.XMATCH(AI$1,'UN Treasury'!$A$1:$BQ$1,-1,1),FALSE)</f>
        <v>35.334000000000003</v>
      </c>
      <c r="AJ140">
        <f>VLOOKUP($A140,'UN Treasury'!$A$1:$BQ$224,_xlfn.XMATCH(AJ$1,'UN Treasury'!$A$1:$BQ$1,-1,1),FALSE)</f>
        <v>34.819000000000003</v>
      </c>
      <c r="AK140">
        <f>VLOOKUP($A140,'UN Treasury'!$A$1:$BQ$224,_xlfn.XMATCH(AK$1,'UN Treasury'!$A$1:$BQ$1,-1,1),FALSE)</f>
        <v>33.340000000000003</v>
      </c>
      <c r="AL140">
        <f>VLOOKUP($A140,'UN Treasury'!$A$1:$BQ$224,_xlfn.XMATCH(AL$1,'UN Treasury'!$A$1:$BQ$1,-1,1),FALSE)</f>
        <v>31.24</v>
      </c>
      <c r="AM140">
        <f>VLOOKUP($A140,'UN Treasury'!$A$1:$BQ$224,_xlfn.XMATCH(AM$1,'UN Treasury'!$A$1:$BQ$1,-1,1),FALSE)</f>
        <v>28.303999999999998</v>
      </c>
      <c r="AN140">
        <f>VLOOKUP($A140,'UN Treasury'!$A$1:$BQ$224,_xlfn.XMATCH(AN$1,'UN Treasury'!$A$1:$BQ$1,-1,1),FALSE)</f>
        <v>26.856999999999999</v>
      </c>
      <c r="AO140">
        <f>VLOOKUP($A140,'UN Treasury'!$A$1:$BQ$224,_xlfn.XMATCH(AO$1,'UN Treasury'!$A$1:$BQ$1,-1,1),FALSE)</f>
        <v>25.039000000000001</v>
      </c>
      <c r="AP140">
        <f>VLOOKUP($A140,'UN Treasury'!$A$1:$BQ$224,_xlfn.XMATCH(AP$1,'UN Treasury'!$A$1:$BQ$1,-1,1),FALSE)</f>
        <v>24.486999999999998</v>
      </c>
      <c r="AQ140">
        <f>VLOOKUP($A140,'UN Treasury'!$A$1:$BQ$224,_xlfn.XMATCH(AQ$1,'UN Treasury'!$A$1:$BQ$1,-1,1),FALSE)</f>
        <v>24.135000000000002</v>
      </c>
      <c r="AR140">
        <f>VLOOKUP($A140,'UN Treasury'!$A$1:$BQ$224,_xlfn.XMATCH(AR$1,'UN Treasury'!$A$1:$BQ$1,-1,1),FALSE)</f>
        <v>23.809000000000001</v>
      </c>
      <c r="AS140">
        <f>VLOOKUP($A140,'UN Treasury'!$A$1:$BQ$224,_xlfn.XMATCH(AS$1,'UN Treasury'!$A$1:$BQ$1,-1,1),FALSE)</f>
        <v>18.61</v>
      </c>
      <c r="AT140">
        <f>VLOOKUP($A140,'UN Treasury'!$A$1:$BQ$224,_xlfn.XMATCH(AT$1,'UN Treasury'!$A$1:$BQ$1,-1,1),FALSE)</f>
        <v>13.596</v>
      </c>
      <c r="AU140">
        <f>VLOOKUP($A140,'UN Treasury'!$A$1:$BQ$224,_xlfn.XMATCH(AU$1,'UN Treasury'!$A$1:$BQ$1,-1,1),FALSE)</f>
        <v>8.8290000000000006</v>
      </c>
      <c r="AV140">
        <f>VLOOKUP($A140,'UN Treasury'!$A$1:$BQ$224,_xlfn.XMATCH(AV$1,'UN Treasury'!$A$1:$BQ$1,-1,1),FALSE)</f>
        <v>8.23</v>
      </c>
      <c r="AW140">
        <f>VLOOKUP($A140,'UN Treasury'!$A$1:$BQ$224,_xlfn.XMATCH(AW$1,'UN Treasury'!$A$1:$BQ$1,-1,1),FALSE)</f>
        <v>8</v>
      </c>
      <c r="AX140">
        <f>VLOOKUP($A140,'UN Treasury'!$A$1:$BQ$224,_xlfn.XMATCH(AX$1,'UN Treasury'!$A$1:$BQ$1,-1,1),FALSE)</f>
        <v>5.851</v>
      </c>
      <c r="AY140">
        <f>VLOOKUP($A140,'UN Treasury'!$A$1:$BQ$224,_xlfn.XMATCH(AY$1,'UN Treasury'!$A$1:$BQ$1,-1,1),FALSE)</f>
        <v>5.6120000000000001</v>
      </c>
      <c r="AZ140">
        <f>VLOOKUP($A140,'UN Treasury'!$A$1:$BQ$224,_xlfn.XMATCH(AZ$1,'UN Treasury'!$A$1:$BQ$1,-1,1),FALSE)</f>
        <v>5.2530000000000001</v>
      </c>
      <c r="BA140">
        <f>VLOOKUP($A140,'UN Treasury'!$A$1:$BQ$224,_xlfn.XMATCH(BA$1,'UN Treasury'!$A$1:$BQ$1,-1,1),FALSE)</f>
        <v>4.5839999999999996</v>
      </c>
      <c r="BB140">
        <f>VLOOKUP($A140,'UN Treasury'!$A$1:$BQ$224,_xlfn.XMATCH(BB$1,'UN Treasury'!$A$1:$BQ$1,-1,1),FALSE)</f>
        <v>4.4219999999999997</v>
      </c>
      <c r="BC140">
        <f>VLOOKUP($A140,'UN Treasury'!$A$1:$BQ$224,_xlfn.XMATCH(BC$1,'UN Treasury'!$A$1:$BQ$1,-1,1),FALSE)</f>
        <v>4.327</v>
      </c>
      <c r="BD140">
        <f>VLOOKUP($A140,'UN Treasury'!$A$1:$BQ$224,_xlfn.XMATCH(BD$1,'UN Treasury'!$A$1:$BQ$1,-1,1),FALSE)</f>
        <v>4.49</v>
      </c>
      <c r="BE140">
        <f>VLOOKUP($A140,'UN Treasury'!$A$1:$BQ$224,_xlfn.XMATCH(BE$1,'UN Treasury'!$A$1:$BQ$1,-1,1),FALSE)</f>
        <v>4.6369999999999996</v>
      </c>
      <c r="BF140">
        <f>VLOOKUP($A140,'UN Treasury'!$A$1:$BQ$224,_xlfn.XMATCH(BF$1,'UN Treasury'!$A$1:$BQ$1,-1,1),FALSE)</f>
        <v>4.54</v>
      </c>
      <c r="BG140">
        <f>VLOOKUP($A140,'UN Treasury'!$A$1:$BQ$224,_xlfn.XMATCH(BG$1,'UN Treasury'!$A$1:$BQ$1,-1,1),FALSE)</f>
        <v>4.29</v>
      </c>
      <c r="BH140">
        <f>VLOOKUP($A140,'UN Treasury'!$A$1:$BQ$224,_xlfn.XMATCH(BH$1,'UN Treasury'!$A$1:$BQ$1,-1,1),FALSE)</f>
        <v>4.1040000000000001</v>
      </c>
      <c r="BI140">
        <f>VLOOKUP($A140,'UN Treasury'!$A$1:$BQ$224,_xlfn.XMATCH(BI$1,'UN Treasury'!$A$1:$BQ$1,-1,1),FALSE)</f>
        <v>4147300.52</v>
      </c>
      <c r="BJ140">
        <f>VLOOKUP($A140,'UN Treasury'!$A$1:$BQ$224,_xlfn.XMATCH(BJ$1,'UN Treasury'!$A$1:$BQ$1,-1,1),FALSE)</f>
        <v>3885813.04</v>
      </c>
      <c r="BK140">
        <f>VLOOKUP($A140,'UN Treasury'!$A$1:$BQ$224,_xlfn.XMATCH(BK$1,'UN Treasury'!$A$1:$BQ$1,-1,1),FALSE)</f>
        <v>3183413.51</v>
      </c>
      <c r="BL140">
        <f>VLOOKUP($A140,'UN Treasury'!$A$1:$BQ$224,_xlfn.XMATCH(BL$1,'UN Treasury'!$A$1:$BQ$1,-1,1),FALSE)</f>
        <v>3055550</v>
      </c>
      <c r="BM140">
        <f>VLOOKUP($A140,'UN Treasury'!$A$1:$BQ$224,_xlfn.XMATCH(BM$1,'UN Treasury'!$A$1:$BQ$1,-1,1),FALSE)</f>
        <v>2721326.12</v>
      </c>
      <c r="BN140">
        <f>VLOOKUP($A140,'UN Treasury'!$A$1:$BQ$224,_xlfn.XMATCH(BN$1,'UN Treasury'!$A$1:$BQ$1,-1,1),FALSE)</f>
        <v>2235823.81</v>
      </c>
      <c r="BO140">
        <f>VLOOKUP($A140,'UN Treasury'!$A$1:$BQ$224,_xlfn.XMATCH(BO$1,'UN Treasury'!$A$1:$BQ$1,-1,1),FALSE)</f>
        <v>1829671.79</v>
      </c>
      <c r="BP140">
        <f>VLOOKUP($A140,'UN Treasury'!$A$1:$BQ$224,_xlfn.XMATCH(BP$1,'UN Treasury'!$A$1:$BQ$1,-1,1),FALSE)</f>
        <v>1732056.01</v>
      </c>
      <c r="BQ140">
        <f>VLOOKUP($A140,'UN Treasury'!$A$1:$BQ$224,_xlfn.XMATCH(BQ$1,'UN Treasury'!$A$1:$BQ$1,-1,1),FALSE)</f>
        <v>1468241.15</v>
      </c>
    </row>
    <row r="141" spans="1:69" x14ac:dyDescent="0.25">
      <c r="A141" t="s">
        <v>299</v>
      </c>
      <c r="B141">
        <f>VLOOKUP($A141,'UN Treasury'!$A$1:$BQ$224,_xlfn.XMATCH(B$1,'UN Treasury'!$A$1:$BQ$1,-1,1),FALSE)</f>
        <v>26051</v>
      </c>
      <c r="C141">
        <f>VLOOKUP($A141,'UN Treasury'!$A$1:$BQ$224,_xlfn.XMATCH(C$1,'UN Treasury'!$A$1:$BQ$1,-1,1),FALSE)</f>
        <v>26254</v>
      </c>
      <c r="D141">
        <f>VLOOKUP($A141,'UN Treasury'!$A$1:$BQ$224,_xlfn.XMATCH(D$1,'UN Treasury'!$A$1:$BQ$1,-1,1),FALSE)</f>
        <v>26321</v>
      </c>
      <c r="E141">
        <f>VLOOKUP($A141,'UN Treasury'!$A$1:$BQ$224,_xlfn.XMATCH(E$1,'UN Treasury'!$A$1:$BQ$1,-1,1),FALSE)</f>
        <v>26347</v>
      </c>
      <c r="F141">
        <f>VLOOKUP($A141,'UN Treasury'!$A$1:$BQ$224,_xlfn.XMATCH(F$1,'UN Treasury'!$A$1:$BQ$1,-1,1),FALSE)</f>
        <v>26338</v>
      </c>
      <c r="G141">
        <f>VLOOKUP($A141,'UN Treasury'!$A$1:$BQ$224,_xlfn.XMATCH(G$1,'UN Treasury'!$A$1:$BQ$1,-1,1),FALSE)</f>
        <v>26269</v>
      </c>
      <c r="H141">
        <f>VLOOKUP($A141,'UN Treasury'!$A$1:$BQ$224,_xlfn.XMATCH(H$1,'UN Treasury'!$A$1:$BQ$1,-1,1),FALSE)</f>
        <v>25959</v>
      </c>
      <c r="I141">
        <f>VLOOKUP($A141,'UN Treasury'!$A$1:$BQ$224,_xlfn.XMATCH(I$1,'UN Treasury'!$A$1:$BQ$1,-1,1),FALSE)</f>
        <v>26275</v>
      </c>
      <c r="J141">
        <f>VLOOKUP($A141,'UN Treasury'!$A$1:$BQ$224,_xlfn.XMATCH(J$1,'UN Treasury'!$A$1:$BQ$1,-1,1),FALSE)</f>
        <v>26325</v>
      </c>
      <c r="K141">
        <f>VLOOKUP($A141,'UN Treasury'!$A$1:$BQ$224,_xlfn.XMATCH(K$1,'UN Treasury'!$A$1:$BQ$1,-1,1),FALSE)</f>
        <v>26340</v>
      </c>
      <c r="L141">
        <f>VLOOKUP($A141,'UN Treasury'!$A$1:$BQ$224,_xlfn.XMATCH(L$1,'UN Treasury'!$A$1:$BQ$1,-1,1),FALSE)</f>
        <v>26335</v>
      </c>
      <c r="M141">
        <f>VLOOKUP($A141,'UN Treasury'!$A$1:$BQ$224,_xlfn.XMATCH(M$1,'UN Treasury'!$A$1:$BQ$1,-1,1),FALSE)</f>
        <v>26388</v>
      </c>
      <c r="N141">
        <f>VLOOKUP($A141,'UN Treasury'!$A$1:$BQ$224,_xlfn.XMATCH(N$1,'UN Treasury'!$A$1:$BQ$1,-1,1),FALSE)</f>
        <v>26272</v>
      </c>
      <c r="O141">
        <f>VLOOKUP($A141,'UN Treasury'!$A$1:$BQ$224,_xlfn.XMATCH(O$1,'UN Treasury'!$A$1:$BQ$1,-1,1),FALSE)</f>
        <v>26097</v>
      </c>
      <c r="P141">
        <f>VLOOKUP($A141,'UN Treasury'!$A$1:$BQ$224,_xlfn.XMATCH(P$1,'UN Treasury'!$A$1:$BQ$1,-1,1),FALSE)</f>
        <v>26010</v>
      </c>
      <c r="Q141">
        <f>VLOOKUP($A141,'UN Treasury'!$A$1:$BQ$224,_xlfn.XMATCH(Q$1,'UN Treasury'!$A$1:$BQ$1,-1,1),FALSE)</f>
        <v>25949</v>
      </c>
      <c r="R141">
        <f>VLOOKUP($A141,'UN Treasury'!$A$1:$BQ$224,_xlfn.XMATCH(R$1,'UN Treasury'!$A$1:$BQ$1,-1,1),FALSE)</f>
        <v>25707</v>
      </c>
      <c r="S141">
        <f>VLOOKUP($A141,'UN Treasury'!$A$1:$BQ$224,_xlfn.XMATCH(S$1,'UN Treasury'!$A$1:$BQ$1,-1,1),FALSE)</f>
        <v>25452</v>
      </c>
      <c r="T141">
        <f>VLOOKUP($A141,'UN Treasury'!$A$1:$BQ$224,_xlfn.XMATCH(T$1,'UN Treasury'!$A$1:$BQ$1,-1,1),FALSE)</f>
        <v>25560</v>
      </c>
      <c r="U141">
        <f>VLOOKUP($A141,'UN Treasury'!$A$1:$BQ$224,_xlfn.XMATCH(U$1,'UN Treasury'!$A$1:$BQ$1,-1,1),FALSE)</f>
        <v>25393</v>
      </c>
      <c r="V141">
        <f>VLOOKUP($A141,'UN Treasury'!$A$1:$BQ$224,_xlfn.XMATCH(V$1,'UN Treasury'!$A$1:$BQ$1,-1,1),FALSE)</f>
        <v>25359</v>
      </c>
      <c r="W141">
        <f>VLOOKUP($A141,'UN Treasury'!$A$1:$BQ$224,_xlfn.XMATCH(W$1,'UN Treasury'!$A$1:$BQ$1,-1,1),FALSE)</f>
        <v>25340</v>
      </c>
      <c r="X141">
        <f>VLOOKUP($A141,'UN Treasury'!$A$1:$BQ$224,_xlfn.XMATCH(X$1,'UN Treasury'!$A$1:$BQ$1,-1,1),FALSE)</f>
        <v>24808</v>
      </c>
      <c r="Y141">
        <f>VLOOKUP($A141,'UN Treasury'!$A$1:$BQ$224,_xlfn.XMATCH(Y$1,'UN Treasury'!$A$1:$BQ$1,-1,1),FALSE)</f>
        <v>24589</v>
      </c>
      <c r="Z141">
        <f>VLOOKUP($A141,'UN Treasury'!$A$1:$BQ$224,_xlfn.XMATCH(Z$1,'UN Treasury'!$A$1:$BQ$1,-1,1),FALSE)</f>
        <v>25124</v>
      </c>
      <c r="AA141">
        <f>VLOOKUP($A141,'UN Treasury'!$A$1:$BQ$224,_xlfn.XMATCH(AA$1,'UN Treasury'!$A$1:$BQ$1,-1,1),FALSE)</f>
        <v>25427</v>
      </c>
      <c r="AB141">
        <f>VLOOKUP($A141,'UN Treasury'!$A$1:$BQ$224,_xlfn.XMATCH(AB$1,'UN Treasury'!$A$1:$BQ$1,-1,1),FALSE)</f>
        <v>25441</v>
      </c>
      <c r="AC141">
        <f>VLOOKUP($A141,'UN Treasury'!$A$1:$BQ$224,_xlfn.XMATCH(AC$1,'UN Treasury'!$A$1:$BQ$1,-1,1),FALSE)</f>
        <v>25451</v>
      </c>
      <c r="AD141">
        <f>VLOOKUP($A141,'UN Treasury'!$A$1:$BQ$224,_xlfn.XMATCH(AD$1,'UN Treasury'!$A$1:$BQ$1,-1,1),FALSE)</f>
        <v>24987</v>
      </c>
      <c r="AE141">
        <f>VLOOKUP($A141,'UN Treasury'!$A$1:$BQ$224,_xlfn.XMATCH(AE$1,'UN Treasury'!$A$1:$BQ$1,-1,1),FALSE)</f>
        <v>24667</v>
      </c>
      <c r="AF141">
        <f>VLOOKUP($A141,'UN Treasury'!$A$1:$BQ$224,_xlfn.XMATCH(AF$1,'UN Treasury'!$A$1:$BQ$1,-1,1),FALSE)</f>
        <v>24423</v>
      </c>
      <c r="AG141">
        <f>VLOOKUP($A141,'UN Treasury'!$A$1:$BQ$224,_xlfn.XMATCH(AG$1,'UN Treasury'!$A$1:$BQ$1,-1,1),FALSE)</f>
        <v>24438</v>
      </c>
      <c r="AH141">
        <f>VLOOKUP($A141,'UN Treasury'!$A$1:$BQ$224,_xlfn.XMATCH(AH$1,'UN Treasury'!$A$1:$BQ$1,-1,1),FALSE)</f>
        <v>24280</v>
      </c>
      <c r="AI141">
        <f>VLOOKUP($A141,'UN Treasury'!$A$1:$BQ$224,_xlfn.XMATCH(AI$1,'UN Treasury'!$A$1:$BQ$1,-1,1),FALSE)</f>
        <v>24384</v>
      </c>
      <c r="AJ141">
        <f>VLOOKUP($A141,'UN Treasury'!$A$1:$BQ$224,_xlfn.XMATCH(AJ$1,'UN Treasury'!$A$1:$BQ$1,-1,1),FALSE)</f>
        <v>24417</v>
      </c>
      <c r="AK141">
        <f>VLOOKUP($A141,'UN Treasury'!$A$1:$BQ$224,_xlfn.XMATCH(AK$1,'UN Treasury'!$A$1:$BQ$1,-1,1),FALSE)</f>
        <v>24146</v>
      </c>
      <c r="AL141">
        <f>VLOOKUP($A141,'UN Treasury'!$A$1:$BQ$224,_xlfn.XMATCH(AL$1,'UN Treasury'!$A$1:$BQ$1,-1,1),FALSE)</f>
        <v>23749</v>
      </c>
      <c r="AM141">
        <f>VLOOKUP($A141,'UN Treasury'!$A$1:$BQ$224,_xlfn.XMATCH(AM$1,'UN Treasury'!$A$1:$BQ$1,-1,1),FALSE)</f>
        <v>23671</v>
      </c>
      <c r="AN141">
        <f>VLOOKUP($A141,'UN Treasury'!$A$1:$BQ$224,_xlfn.XMATCH(AN$1,'UN Treasury'!$A$1:$BQ$1,-1,1),FALSE)</f>
        <v>23490</v>
      </c>
      <c r="AO141">
        <f>VLOOKUP($A141,'UN Treasury'!$A$1:$BQ$224,_xlfn.XMATCH(AO$1,'UN Treasury'!$A$1:$BQ$1,-1,1),FALSE)</f>
        <v>23467</v>
      </c>
      <c r="AP141">
        <f>VLOOKUP($A141,'UN Treasury'!$A$1:$BQ$224,_xlfn.XMATCH(AP$1,'UN Treasury'!$A$1:$BQ$1,-1,1),FALSE)</f>
        <v>23447</v>
      </c>
      <c r="AQ141">
        <f>VLOOKUP($A141,'UN Treasury'!$A$1:$BQ$224,_xlfn.XMATCH(AQ$1,'UN Treasury'!$A$1:$BQ$1,-1,1),FALSE)</f>
        <v>23586</v>
      </c>
      <c r="AR141">
        <f>VLOOKUP($A141,'UN Treasury'!$A$1:$BQ$224,_xlfn.XMATCH(AR$1,'UN Treasury'!$A$1:$BQ$1,-1,1),FALSE)</f>
        <v>23571</v>
      </c>
      <c r="AS141">
        <f>VLOOKUP($A141,'UN Treasury'!$A$1:$BQ$224,_xlfn.XMATCH(AS$1,'UN Treasury'!$A$1:$BQ$1,-1,1),FALSE)</f>
        <v>23442</v>
      </c>
      <c r="AT141">
        <f>VLOOKUP($A141,'UN Treasury'!$A$1:$BQ$224,_xlfn.XMATCH(AT$1,'UN Treasury'!$A$1:$BQ$1,-1,1),FALSE)</f>
        <v>23624</v>
      </c>
      <c r="AU141">
        <f>VLOOKUP($A141,'UN Treasury'!$A$1:$BQ$224,_xlfn.XMATCH(AU$1,'UN Treasury'!$A$1:$BQ$1,-1,1),FALSE)</f>
        <v>24815</v>
      </c>
      <c r="AV141">
        <f>VLOOKUP($A141,'UN Treasury'!$A$1:$BQ$224,_xlfn.XMATCH(AV$1,'UN Treasury'!$A$1:$BQ$1,-1,1),FALSE)</f>
        <v>23932</v>
      </c>
      <c r="AW141">
        <f>VLOOKUP($A141,'UN Treasury'!$A$1:$BQ$224,_xlfn.XMATCH(AW$1,'UN Treasury'!$A$1:$BQ$1,-1,1),FALSE)</f>
        <v>23551</v>
      </c>
      <c r="AX141">
        <f>VLOOKUP($A141,'UN Treasury'!$A$1:$BQ$224,_xlfn.XMATCH(AX$1,'UN Treasury'!$A$1:$BQ$1,-1,1),FALSE)</f>
        <v>23376</v>
      </c>
      <c r="AY141">
        <f>VLOOKUP($A141,'UN Treasury'!$A$1:$BQ$224,_xlfn.XMATCH(AY$1,'UN Treasury'!$A$1:$BQ$1,-1,1),FALSE)</f>
        <v>23345</v>
      </c>
      <c r="AZ141">
        <f>VLOOKUP($A141,'UN Treasury'!$A$1:$BQ$224,_xlfn.XMATCH(AZ$1,'UN Treasury'!$A$1:$BQ$1,-1,1),FALSE)</f>
        <v>23195</v>
      </c>
      <c r="BA141">
        <f>VLOOKUP($A141,'UN Treasury'!$A$1:$BQ$224,_xlfn.XMATCH(BA$1,'UN Treasury'!$A$1:$BQ$1,-1,1),FALSE)</f>
        <v>22950</v>
      </c>
      <c r="BB141">
        <f>VLOOKUP($A141,'UN Treasury'!$A$1:$BQ$224,_xlfn.XMATCH(BB$1,'UN Treasury'!$A$1:$BQ$1,-1,1),FALSE)</f>
        <v>22875</v>
      </c>
      <c r="BC141">
        <f>VLOOKUP($A141,'UN Treasury'!$A$1:$BQ$224,_xlfn.XMATCH(BC$1,'UN Treasury'!$A$1:$BQ$1,-1,1),FALSE)</f>
        <v>22850</v>
      </c>
      <c r="BD141">
        <f>VLOOKUP($A141,'UN Treasury'!$A$1:$BQ$224,_xlfn.XMATCH(BD$1,'UN Treasury'!$A$1:$BQ$1,-1,1),FALSE)</f>
        <v>22665</v>
      </c>
      <c r="BE141">
        <f>VLOOKUP($A141,'UN Treasury'!$A$1:$BQ$224,_xlfn.XMATCH(BE$1,'UN Treasury'!$A$1:$BQ$1,-1,1),FALSE)</f>
        <v>22686</v>
      </c>
      <c r="BF141">
        <f>VLOOKUP($A141,'UN Treasury'!$A$1:$BQ$224,_xlfn.XMATCH(BF$1,'UN Treasury'!$A$1:$BQ$1,-1,1),FALSE)</f>
        <v>22674</v>
      </c>
      <c r="BG141">
        <f>VLOOKUP($A141,'UN Treasury'!$A$1:$BQ$224,_xlfn.XMATCH(BG$1,'UN Treasury'!$A$1:$BQ$1,-1,1),FALSE)</f>
        <v>22753</v>
      </c>
      <c r="BH141">
        <f>VLOOKUP($A141,'UN Treasury'!$A$1:$BQ$224,_xlfn.XMATCH(BH$1,'UN Treasury'!$A$1:$BQ$1,-1,1),FALSE)</f>
        <v>22735</v>
      </c>
      <c r="BI141">
        <f>VLOOKUP($A141,'UN Treasury'!$A$1:$BQ$224,_xlfn.XMATCH(BI$1,'UN Treasury'!$A$1:$BQ$1,-1,1),FALSE)</f>
        <v>22755</v>
      </c>
      <c r="BJ141">
        <f>VLOOKUP($A141,'UN Treasury'!$A$1:$BQ$224,_xlfn.XMATCH(BJ$1,'UN Treasury'!$A$1:$BQ$1,-1,1),FALSE)</f>
        <v>22944</v>
      </c>
      <c r="BK141">
        <f>VLOOKUP($A141,'UN Treasury'!$A$1:$BQ$224,_xlfn.XMATCH(BK$1,'UN Treasury'!$A$1:$BQ$1,-1,1),FALSE)</f>
        <v>22996</v>
      </c>
      <c r="BL141">
        <f>VLOOKUP($A141,'UN Treasury'!$A$1:$BQ$224,_xlfn.XMATCH(BL$1,'UN Treasury'!$A$1:$BQ$1,-1,1),FALSE)</f>
        <v>23048</v>
      </c>
      <c r="BM141">
        <f>VLOOKUP($A141,'UN Treasury'!$A$1:$BQ$224,_xlfn.XMATCH(BM$1,'UN Treasury'!$A$1:$BQ$1,-1,1),FALSE)</f>
        <v>23045</v>
      </c>
      <c r="BN141">
        <f>VLOOKUP($A141,'UN Treasury'!$A$1:$BQ$224,_xlfn.XMATCH(BN$1,'UN Treasury'!$A$1:$BQ$1,-1,1),FALSE)</f>
        <v>23069</v>
      </c>
      <c r="BO141">
        <f>VLOOKUP($A141,'UN Treasury'!$A$1:$BQ$224,_xlfn.XMATCH(BO$1,'UN Treasury'!$A$1:$BQ$1,-1,1),FALSE)</f>
        <v>23019</v>
      </c>
      <c r="BP141">
        <f>VLOOKUP($A141,'UN Treasury'!$A$1:$BQ$224,_xlfn.XMATCH(BP$1,'UN Treasury'!$A$1:$BQ$1,-1,1),FALSE)</f>
        <v>23036</v>
      </c>
      <c r="BQ141">
        <f>VLOOKUP($A141,'UN Treasury'!$A$1:$BQ$224,_xlfn.XMATCH(BQ$1,'UN Treasury'!$A$1:$BQ$1,-1,1),FALSE)</f>
        <v>23100</v>
      </c>
    </row>
    <row r="142" spans="1:69" x14ac:dyDescent="0.25">
      <c r="A142" t="s">
        <v>301</v>
      </c>
      <c r="B142">
        <f>VLOOKUP($A142,'UN Treasury'!$A$1:$BQ$224,_xlfn.XMATCH(B$1,'UN Treasury'!$A$1:$BQ$1,-1,1),FALSE)</f>
        <v>115.38</v>
      </c>
      <c r="C142">
        <f>VLOOKUP($A142,'UN Treasury'!$A$1:$BQ$224,_xlfn.XMATCH(C$1,'UN Treasury'!$A$1:$BQ$1,-1,1),FALSE)</f>
        <v>116.29</v>
      </c>
      <c r="D142">
        <f>VLOOKUP($A142,'UN Treasury'!$A$1:$BQ$224,_xlfn.XMATCH(D$1,'UN Treasury'!$A$1:$BQ$1,-1,1),FALSE)</f>
        <v>115.7</v>
      </c>
      <c r="E142">
        <f>VLOOKUP($A142,'UN Treasury'!$A$1:$BQ$224,_xlfn.XMATCH(E$1,'UN Treasury'!$A$1:$BQ$1,-1,1),FALSE)</f>
        <v>113.96</v>
      </c>
      <c r="F142">
        <f>VLOOKUP($A142,'UN Treasury'!$A$1:$BQ$224,_xlfn.XMATCH(F$1,'UN Treasury'!$A$1:$BQ$1,-1,1),FALSE)</f>
        <v>115.44</v>
      </c>
      <c r="G142">
        <f>VLOOKUP($A142,'UN Treasury'!$A$1:$BQ$224,_xlfn.XMATCH(G$1,'UN Treasury'!$A$1:$BQ$1,-1,1),FALSE)</f>
        <v>115.58</v>
      </c>
      <c r="H142">
        <f>VLOOKUP($A142,'UN Treasury'!$A$1:$BQ$224,_xlfn.XMATCH(H$1,'UN Treasury'!$A$1:$BQ$1,-1,1),FALSE)</f>
        <v>115.65</v>
      </c>
      <c r="I142">
        <f>VLOOKUP($A142,'UN Treasury'!$A$1:$BQ$224,_xlfn.XMATCH(I$1,'UN Treasury'!$A$1:$BQ$1,-1,1),FALSE)</f>
        <v>117.91</v>
      </c>
      <c r="J142">
        <f>VLOOKUP($A142,'UN Treasury'!$A$1:$BQ$224,_xlfn.XMATCH(J$1,'UN Treasury'!$A$1:$BQ$1,-1,1),FALSE)</f>
        <v>118.02</v>
      </c>
      <c r="K142">
        <f>VLOOKUP($A142,'UN Treasury'!$A$1:$BQ$224,_xlfn.XMATCH(K$1,'UN Treasury'!$A$1:$BQ$1,-1,1),FALSE)</f>
        <v>118.16</v>
      </c>
      <c r="L142">
        <f>VLOOKUP($A142,'UN Treasury'!$A$1:$BQ$224,_xlfn.XMATCH(L$1,'UN Treasury'!$A$1:$BQ$1,-1,1),FALSE)</f>
        <v>117.25</v>
      </c>
      <c r="M142">
        <f>VLOOKUP($A142,'UN Treasury'!$A$1:$BQ$224,_xlfn.XMATCH(M$1,'UN Treasury'!$A$1:$BQ$1,-1,1),FALSE)</f>
        <v>114.8</v>
      </c>
      <c r="N142">
        <f>VLOOKUP($A142,'UN Treasury'!$A$1:$BQ$224,_xlfn.XMATCH(N$1,'UN Treasury'!$A$1:$BQ$1,-1,1),FALSE)</f>
        <v>115.44</v>
      </c>
      <c r="O142">
        <f>VLOOKUP($A142,'UN Treasury'!$A$1:$BQ$224,_xlfn.XMATCH(O$1,'UN Treasury'!$A$1:$BQ$1,-1,1),FALSE)</f>
        <v>115.19</v>
      </c>
      <c r="P142">
        <f>VLOOKUP($A142,'UN Treasury'!$A$1:$BQ$224,_xlfn.XMATCH(P$1,'UN Treasury'!$A$1:$BQ$1,-1,1),FALSE)</f>
        <v>115.73</v>
      </c>
      <c r="Q142">
        <f>VLOOKUP($A142,'UN Treasury'!$A$1:$BQ$224,_xlfn.XMATCH(Q$1,'UN Treasury'!$A$1:$BQ$1,-1,1),FALSE)</f>
        <v>116.6</v>
      </c>
      <c r="R142">
        <f>VLOOKUP($A142,'UN Treasury'!$A$1:$BQ$224,_xlfn.XMATCH(R$1,'UN Treasury'!$A$1:$BQ$1,-1,1),FALSE)</f>
        <v>121.72</v>
      </c>
      <c r="S142">
        <f>VLOOKUP($A142,'UN Treasury'!$A$1:$BQ$224,_xlfn.XMATCH(S$1,'UN Treasury'!$A$1:$BQ$1,-1,1),FALSE)</f>
        <v>118.51</v>
      </c>
      <c r="T142">
        <f>VLOOKUP($A142,'UN Treasury'!$A$1:$BQ$224,_xlfn.XMATCH(T$1,'UN Treasury'!$A$1:$BQ$1,-1,1),FALSE)</f>
        <v>119.54</v>
      </c>
      <c r="U142">
        <f>VLOOKUP($A142,'UN Treasury'!$A$1:$BQ$224,_xlfn.XMATCH(U$1,'UN Treasury'!$A$1:$BQ$1,-1,1),FALSE)</f>
        <v>120.76</v>
      </c>
      <c r="V142">
        <f>VLOOKUP($A142,'UN Treasury'!$A$1:$BQ$224,_xlfn.XMATCH(V$1,'UN Treasury'!$A$1:$BQ$1,-1,1),FALSE)</f>
        <v>117.99</v>
      </c>
      <c r="W142">
        <f>VLOOKUP($A142,'UN Treasury'!$A$1:$BQ$224,_xlfn.XMATCH(W$1,'UN Treasury'!$A$1:$BQ$1,-1,1),FALSE)</f>
        <v>115.64</v>
      </c>
      <c r="X142">
        <f>VLOOKUP($A142,'UN Treasury'!$A$1:$BQ$224,_xlfn.XMATCH(X$1,'UN Treasury'!$A$1:$BQ$1,-1,1),FALSE)</f>
        <v>114.25</v>
      </c>
      <c r="Y142">
        <f>VLOOKUP($A142,'UN Treasury'!$A$1:$BQ$224,_xlfn.XMATCH(Y$1,'UN Treasury'!$A$1:$BQ$1,-1,1),FALSE)</f>
        <v>114.37</v>
      </c>
      <c r="Z142">
        <f>VLOOKUP($A142,'UN Treasury'!$A$1:$BQ$224,_xlfn.XMATCH(Z$1,'UN Treasury'!$A$1:$BQ$1,-1,1),FALSE)</f>
        <v>116.9</v>
      </c>
      <c r="AA142">
        <f>VLOOKUP($A142,'UN Treasury'!$A$1:$BQ$224,_xlfn.XMATCH(AA$1,'UN Treasury'!$A$1:$BQ$1,-1,1),FALSE)</f>
        <v>114.89</v>
      </c>
      <c r="AB142">
        <f>VLOOKUP($A142,'UN Treasury'!$A$1:$BQ$224,_xlfn.XMATCH(AB$1,'UN Treasury'!$A$1:$BQ$1,-1,1),FALSE)</f>
        <v>116.25</v>
      </c>
      <c r="AC142">
        <f>VLOOKUP($A142,'UN Treasury'!$A$1:$BQ$224,_xlfn.XMATCH(AC$1,'UN Treasury'!$A$1:$BQ$1,-1,1),FALSE)</f>
        <v>116.38</v>
      </c>
      <c r="AD142">
        <f>VLOOKUP($A142,'UN Treasury'!$A$1:$BQ$224,_xlfn.XMATCH(AD$1,'UN Treasury'!$A$1:$BQ$1,-1,1),FALSE)</f>
        <v>116.3</v>
      </c>
      <c r="AE142">
        <f>VLOOKUP($A142,'UN Treasury'!$A$1:$BQ$224,_xlfn.XMATCH(AE$1,'UN Treasury'!$A$1:$BQ$1,-1,1),FALSE)</f>
        <v>115.52</v>
      </c>
      <c r="AF142">
        <f>VLOOKUP($A142,'UN Treasury'!$A$1:$BQ$224,_xlfn.XMATCH(AF$1,'UN Treasury'!$A$1:$BQ$1,-1,1),FALSE)</f>
        <v>116.95</v>
      </c>
      <c r="AG142">
        <f>VLOOKUP($A142,'UN Treasury'!$A$1:$BQ$224,_xlfn.XMATCH(AG$1,'UN Treasury'!$A$1:$BQ$1,-1,1),FALSE)</f>
        <v>114.64</v>
      </c>
      <c r="AH142">
        <f>VLOOKUP($A142,'UN Treasury'!$A$1:$BQ$224,_xlfn.XMATCH(AH$1,'UN Treasury'!$A$1:$BQ$1,-1,1),FALSE)</f>
        <v>115.88</v>
      </c>
      <c r="AI142">
        <f>VLOOKUP($A142,'UN Treasury'!$A$1:$BQ$224,_xlfn.XMATCH(AI$1,'UN Treasury'!$A$1:$BQ$1,-1,1),FALSE)</f>
        <v>117.37</v>
      </c>
      <c r="AJ142">
        <f>VLOOKUP($A142,'UN Treasury'!$A$1:$BQ$224,_xlfn.XMATCH(AJ$1,'UN Treasury'!$A$1:$BQ$1,-1,1),FALSE)</f>
        <v>118.57</v>
      </c>
      <c r="AK142">
        <f>VLOOKUP($A142,'UN Treasury'!$A$1:$BQ$224,_xlfn.XMATCH(AK$1,'UN Treasury'!$A$1:$BQ$1,-1,1),FALSE)</f>
        <v>118.37</v>
      </c>
      <c r="AL142">
        <f>VLOOKUP($A142,'UN Treasury'!$A$1:$BQ$224,_xlfn.XMATCH(AL$1,'UN Treasury'!$A$1:$BQ$1,-1,1),FALSE)</f>
        <v>116.05</v>
      </c>
      <c r="AM142">
        <f>VLOOKUP($A142,'UN Treasury'!$A$1:$BQ$224,_xlfn.XMATCH(AM$1,'UN Treasury'!$A$1:$BQ$1,-1,1),FALSE)</f>
        <v>115.39</v>
      </c>
      <c r="AN142">
        <f>VLOOKUP($A142,'UN Treasury'!$A$1:$BQ$224,_xlfn.XMATCH(AN$1,'UN Treasury'!$A$1:$BQ$1,-1,1),FALSE)</f>
        <v>115.91</v>
      </c>
      <c r="AO142">
        <f>VLOOKUP($A142,'UN Treasury'!$A$1:$BQ$224,_xlfn.XMATCH(AO$1,'UN Treasury'!$A$1:$BQ$1,-1,1),FALSE)</f>
        <v>114.21</v>
      </c>
      <c r="AP142">
        <f>VLOOKUP($A142,'UN Treasury'!$A$1:$BQ$224,_xlfn.XMATCH(AP$1,'UN Treasury'!$A$1:$BQ$1,-1,1),FALSE)</f>
        <v>114.48</v>
      </c>
      <c r="AQ142">
        <f>VLOOKUP($A142,'UN Treasury'!$A$1:$BQ$224,_xlfn.XMATCH(AQ$1,'UN Treasury'!$A$1:$BQ$1,-1,1),FALSE)</f>
        <v>116.38</v>
      </c>
      <c r="AR142">
        <f>VLOOKUP($A142,'UN Treasury'!$A$1:$BQ$224,_xlfn.XMATCH(AR$1,'UN Treasury'!$A$1:$BQ$1,-1,1),FALSE)</f>
        <v>113.55</v>
      </c>
      <c r="AS142">
        <f>VLOOKUP($A142,'UN Treasury'!$A$1:$BQ$224,_xlfn.XMATCH(AS$1,'UN Treasury'!$A$1:$BQ$1,-1,1),FALSE)</f>
        <v>113.58</v>
      </c>
      <c r="AT142">
        <f>VLOOKUP($A142,'UN Treasury'!$A$1:$BQ$224,_xlfn.XMATCH(AT$1,'UN Treasury'!$A$1:$BQ$1,-1,1),FALSE)</f>
        <v>114.83</v>
      </c>
      <c r="AU142">
        <f>VLOOKUP($A142,'UN Treasury'!$A$1:$BQ$224,_xlfn.XMATCH(AU$1,'UN Treasury'!$A$1:$BQ$1,-1,1),FALSE)</f>
        <v>118.24</v>
      </c>
      <c r="AV142">
        <f>VLOOKUP($A142,'UN Treasury'!$A$1:$BQ$224,_xlfn.XMATCH(AV$1,'UN Treasury'!$A$1:$BQ$1,-1,1),FALSE)</f>
        <v>120.39</v>
      </c>
      <c r="AW142">
        <f>VLOOKUP($A142,'UN Treasury'!$A$1:$BQ$224,_xlfn.XMATCH(AW$1,'UN Treasury'!$A$1:$BQ$1,-1,1),FALSE)</f>
        <v>115.68</v>
      </c>
      <c r="AX142">
        <f>VLOOKUP($A142,'UN Treasury'!$A$1:$BQ$224,_xlfn.XMATCH(AX$1,'UN Treasury'!$A$1:$BQ$1,-1,1),FALSE)</f>
        <v>114.05</v>
      </c>
      <c r="AY142">
        <f>VLOOKUP($A142,'UN Treasury'!$A$1:$BQ$224,_xlfn.XMATCH(AY$1,'UN Treasury'!$A$1:$BQ$1,-1,1),FALSE)</f>
        <v>115.84</v>
      </c>
      <c r="AZ142">
        <f>VLOOKUP($A142,'UN Treasury'!$A$1:$BQ$224,_xlfn.XMATCH(AZ$1,'UN Treasury'!$A$1:$BQ$1,-1,1),FALSE)</f>
        <v>111.04</v>
      </c>
      <c r="BA142">
        <f>VLOOKUP($A142,'UN Treasury'!$A$1:$BQ$224,_xlfn.XMATCH(BA$1,'UN Treasury'!$A$1:$BQ$1,-1,1),FALSE)</f>
        <v>113.17</v>
      </c>
      <c r="BB142">
        <f>VLOOKUP($A142,'UN Treasury'!$A$1:$BQ$224,_xlfn.XMATCH(BB$1,'UN Treasury'!$A$1:$BQ$1,-1,1),FALSE)</f>
        <v>107.95</v>
      </c>
      <c r="BC142">
        <f>VLOOKUP($A142,'UN Treasury'!$A$1:$BQ$224,_xlfn.XMATCH(BC$1,'UN Treasury'!$A$1:$BQ$1,-1,1),FALSE)</f>
        <v>109.23</v>
      </c>
      <c r="BD142">
        <f>VLOOKUP($A142,'UN Treasury'!$A$1:$BQ$224,_xlfn.XMATCH(BD$1,'UN Treasury'!$A$1:$BQ$1,-1,1),FALSE)</f>
        <v>110.37</v>
      </c>
      <c r="BE142">
        <f>VLOOKUP($A142,'UN Treasury'!$A$1:$BQ$224,_xlfn.XMATCH(BE$1,'UN Treasury'!$A$1:$BQ$1,-1,1),FALSE)</f>
        <v>109.88</v>
      </c>
      <c r="BF142">
        <f>VLOOKUP($A142,'UN Treasury'!$A$1:$BQ$224,_xlfn.XMATCH(BF$1,'UN Treasury'!$A$1:$BQ$1,-1,1),FALSE)</f>
        <v>109.19</v>
      </c>
      <c r="BG142">
        <f>VLOOKUP($A142,'UN Treasury'!$A$1:$BQ$224,_xlfn.XMATCH(BG$1,'UN Treasury'!$A$1:$BQ$1,-1,1),FALSE)</f>
        <v>106.8</v>
      </c>
      <c r="BH142">
        <f>VLOOKUP($A142,'UN Treasury'!$A$1:$BQ$224,_xlfn.XMATCH(BH$1,'UN Treasury'!$A$1:$BQ$1,-1,1),FALSE)</f>
        <v>108.57</v>
      </c>
      <c r="BI142">
        <f>VLOOKUP($A142,'UN Treasury'!$A$1:$BQ$224,_xlfn.XMATCH(BI$1,'UN Treasury'!$A$1:$BQ$1,-1,1),FALSE)</f>
        <v>108.91</v>
      </c>
      <c r="BJ142">
        <f>VLOOKUP($A142,'UN Treasury'!$A$1:$BQ$224,_xlfn.XMATCH(BJ$1,'UN Treasury'!$A$1:$BQ$1,-1,1),FALSE)</f>
        <v>107.63</v>
      </c>
      <c r="BK142">
        <f>VLOOKUP($A142,'UN Treasury'!$A$1:$BQ$224,_xlfn.XMATCH(BK$1,'UN Treasury'!$A$1:$BQ$1,-1,1),FALSE)</f>
        <v>106.42</v>
      </c>
      <c r="BL142">
        <f>VLOOKUP($A142,'UN Treasury'!$A$1:$BQ$224,_xlfn.XMATCH(BL$1,'UN Treasury'!$A$1:$BQ$1,-1,1),FALSE)</f>
        <v>104.64</v>
      </c>
      <c r="BM142">
        <f>VLOOKUP($A142,'UN Treasury'!$A$1:$BQ$224,_xlfn.XMATCH(BM$1,'UN Treasury'!$A$1:$BQ$1,-1,1),FALSE)</f>
        <v>104.53</v>
      </c>
      <c r="BN142">
        <f>VLOOKUP($A142,'UN Treasury'!$A$1:$BQ$224,_xlfn.XMATCH(BN$1,'UN Treasury'!$A$1:$BQ$1,-1,1),FALSE)</f>
        <v>106.28</v>
      </c>
      <c r="BO142">
        <f>VLOOKUP($A142,'UN Treasury'!$A$1:$BQ$224,_xlfn.XMATCH(BO$1,'UN Treasury'!$A$1:$BQ$1,-1,1),FALSE)</f>
        <v>103.17</v>
      </c>
      <c r="BP142">
        <f>VLOOKUP($A142,'UN Treasury'!$A$1:$BQ$224,_xlfn.XMATCH(BP$1,'UN Treasury'!$A$1:$BQ$1,-1,1),FALSE)</f>
        <v>104.55</v>
      </c>
      <c r="BQ142">
        <f>VLOOKUP($A142,'UN Treasury'!$A$1:$BQ$224,_xlfn.XMATCH(BQ$1,'UN Treasury'!$A$1:$BQ$1,-1,1),FALSE)</f>
        <v>105.58</v>
      </c>
    </row>
    <row r="143" spans="1:69" x14ac:dyDescent="0.25">
      <c r="A143" t="s">
        <v>289</v>
      </c>
      <c r="B143">
        <f>VLOOKUP($A143,'UN Treasury'!$A$1:$BQ$224,_xlfn.XMATCH(B$1,'UN Treasury'!$A$1:$BQ$1,-1,1),FALSE)</f>
        <v>2.66</v>
      </c>
      <c r="C143">
        <f>VLOOKUP($A143,'UN Treasury'!$A$1:$BQ$224,_xlfn.XMATCH(C$1,'UN Treasury'!$A$1:$BQ$1,-1,1),FALSE)</f>
        <v>2.7050000000000001</v>
      </c>
      <c r="D143">
        <f>VLOOKUP($A143,'UN Treasury'!$A$1:$BQ$224,_xlfn.XMATCH(D$1,'UN Treasury'!$A$1:$BQ$1,-1,1),FALSE)</f>
        <v>2.6749999999999998</v>
      </c>
      <c r="E143">
        <f>VLOOKUP($A143,'UN Treasury'!$A$1:$BQ$224,_xlfn.XMATCH(E$1,'UN Treasury'!$A$1:$BQ$1,-1,1),FALSE)</f>
        <v>2.6349999999999998</v>
      </c>
      <c r="F143">
        <f>VLOOKUP($A143,'UN Treasury'!$A$1:$BQ$224,_xlfn.XMATCH(F$1,'UN Treasury'!$A$1:$BQ$1,-1,1),FALSE)</f>
        <v>2.6779999999999999</v>
      </c>
      <c r="G143">
        <f>VLOOKUP($A143,'UN Treasury'!$A$1:$BQ$224,_xlfn.XMATCH(G$1,'UN Treasury'!$A$1:$BQ$1,-1,1),FALSE)</f>
        <v>2.65</v>
      </c>
      <c r="H143">
        <f>VLOOKUP($A143,'UN Treasury'!$A$1:$BQ$224,_xlfn.XMATCH(H$1,'UN Treasury'!$A$1:$BQ$1,-1,1),FALSE)</f>
        <v>2.653</v>
      </c>
      <c r="I143">
        <f>VLOOKUP($A143,'UN Treasury'!$A$1:$BQ$224,_xlfn.XMATCH(I$1,'UN Treasury'!$A$1:$BQ$1,-1,1),FALSE)</f>
        <v>2.7330000000000001</v>
      </c>
      <c r="J143">
        <f>VLOOKUP($A143,'UN Treasury'!$A$1:$BQ$224,_xlfn.XMATCH(J$1,'UN Treasury'!$A$1:$BQ$1,-1,1),FALSE)</f>
        <v>2.762</v>
      </c>
      <c r="K143">
        <f>VLOOKUP($A143,'UN Treasury'!$A$1:$BQ$224,_xlfn.XMATCH(K$1,'UN Treasury'!$A$1:$BQ$1,-1,1),FALSE)</f>
        <v>2.7839999999999998</v>
      </c>
      <c r="L143">
        <f>VLOOKUP($A143,'UN Treasury'!$A$1:$BQ$224,_xlfn.XMATCH(L$1,'UN Treasury'!$A$1:$BQ$1,-1,1),FALSE)</f>
        <v>2.72</v>
      </c>
      <c r="M143">
        <f>VLOOKUP($A143,'UN Treasury'!$A$1:$BQ$224,_xlfn.XMATCH(M$1,'UN Treasury'!$A$1:$BQ$1,-1,1),FALSE)</f>
        <v>2.7509999999999999</v>
      </c>
      <c r="N143">
        <f>VLOOKUP($A143,'UN Treasury'!$A$1:$BQ$224,_xlfn.XMATCH(N$1,'UN Treasury'!$A$1:$BQ$1,-1,1),FALSE)</f>
        <v>2.7360000000000002</v>
      </c>
      <c r="O143">
        <f>VLOOKUP($A143,'UN Treasury'!$A$1:$BQ$224,_xlfn.XMATCH(O$1,'UN Treasury'!$A$1:$BQ$1,-1,1),FALSE)</f>
        <v>2.7269999999999999</v>
      </c>
      <c r="P143">
        <f>VLOOKUP($A143,'UN Treasury'!$A$1:$BQ$224,_xlfn.XMATCH(P$1,'UN Treasury'!$A$1:$BQ$1,-1,1),FALSE)</f>
        <v>2.7280000000000002</v>
      </c>
      <c r="Q143">
        <f>VLOOKUP($A143,'UN Treasury'!$A$1:$BQ$224,_xlfn.XMATCH(Q$1,'UN Treasury'!$A$1:$BQ$1,-1,1),FALSE)</f>
        <v>2.76</v>
      </c>
      <c r="R143">
        <f>VLOOKUP($A143,'UN Treasury'!$A$1:$BQ$224,_xlfn.XMATCH(R$1,'UN Treasury'!$A$1:$BQ$1,-1,1),FALSE)</f>
        <v>2.8490000000000002</v>
      </c>
      <c r="S143">
        <f>VLOOKUP($A143,'UN Treasury'!$A$1:$BQ$224,_xlfn.XMATCH(S$1,'UN Treasury'!$A$1:$BQ$1,-1,1),FALSE)</f>
        <v>2.7879999999999998</v>
      </c>
      <c r="T143">
        <f>VLOOKUP($A143,'UN Treasury'!$A$1:$BQ$224,_xlfn.XMATCH(T$1,'UN Treasury'!$A$1:$BQ$1,-1,1),FALSE)</f>
        <v>2.77</v>
      </c>
      <c r="U143">
        <f>VLOOKUP($A143,'UN Treasury'!$A$1:$BQ$224,_xlfn.XMATCH(U$1,'UN Treasury'!$A$1:$BQ$1,-1,1),FALSE)</f>
        <v>2.79</v>
      </c>
      <c r="V143">
        <f>VLOOKUP($A143,'UN Treasury'!$A$1:$BQ$224,_xlfn.XMATCH(V$1,'UN Treasury'!$A$1:$BQ$1,-1,1),FALSE)</f>
        <v>2.7610000000000001</v>
      </c>
      <c r="W143">
        <f>VLOOKUP($A143,'UN Treasury'!$A$1:$BQ$224,_xlfn.XMATCH(W$1,'UN Treasury'!$A$1:$BQ$1,-1,1),FALSE)</f>
        <v>2.72</v>
      </c>
      <c r="X143">
        <f>VLOOKUP($A143,'UN Treasury'!$A$1:$BQ$224,_xlfn.XMATCH(X$1,'UN Treasury'!$A$1:$BQ$1,-1,1),FALSE)</f>
        <v>2.68</v>
      </c>
      <c r="Y143">
        <f>VLOOKUP($A143,'UN Treasury'!$A$1:$BQ$224,_xlfn.XMATCH(Y$1,'UN Treasury'!$A$1:$BQ$1,-1,1),FALSE)</f>
        <v>2.7</v>
      </c>
      <c r="Z143">
        <f>VLOOKUP($A143,'UN Treasury'!$A$1:$BQ$224,_xlfn.XMATCH(Z$1,'UN Treasury'!$A$1:$BQ$1,-1,1),FALSE)</f>
        <v>2.7389999999999999</v>
      </c>
      <c r="AA143">
        <f>VLOOKUP($A143,'UN Treasury'!$A$1:$BQ$224,_xlfn.XMATCH(AA$1,'UN Treasury'!$A$1:$BQ$1,-1,1),FALSE)</f>
        <v>2.698</v>
      </c>
      <c r="AB143">
        <f>VLOOKUP($A143,'UN Treasury'!$A$1:$BQ$224,_xlfn.XMATCH(AB$1,'UN Treasury'!$A$1:$BQ$1,-1,1),FALSE)</f>
        <v>2.7109999999999999</v>
      </c>
      <c r="AC143">
        <f>VLOOKUP($A143,'UN Treasury'!$A$1:$BQ$224,_xlfn.XMATCH(AC$1,'UN Treasury'!$A$1:$BQ$1,-1,1),FALSE)</f>
        <v>2.698</v>
      </c>
      <c r="AD143">
        <f>VLOOKUP($A143,'UN Treasury'!$A$1:$BQ$224,_xlfn.XMATCH(AD$1,'UN Treasury'!$A$1:$BQ$1,-1,1),FALSE)</f>
        <v>2.7290000000000001</v>
      </c>
      <c r="AE143">
        <f>VLOOKUP($A143,'UN Treasury'!$A$1:$BQ$224,_xlfn.XMATCH(AE$1,'UN Treasury'!$A$1:$BQ$1,-1,1),FALSE)</f>
        <v>2.7029999999999998</v>
      </c>
      <c r="AF143">
        <f>VLOOKUP($A143,'UN Treasury'!$A$1:$BQ$224,_xlfn.XMATCH(AF$1,'UN Treasury'!$A$1:$BQ$1,-1,1),FALSE)</f>
        <v>2.722</v>
      </c>
      <c r="AG143">
        <f>VLOOKUP($A143,'UN Treasury'!$A$1:$BQ$224,_xlfn.XMATCH(AG$1,'UN Treasury'!$A$1:$BQ$1,-1,1),FALSE)</f>
        <v>2.69</v>
      </c>
      <c r="AH143">
        <f>VLOOKUP($A143,'UN Treasury'!$A$1:$BQ$224,_xlfn.XMATCH(AH$1,'UN Treasury'!$A$1:$BQ$1,-1,1),FALSE)</f>
        <v>2.7050000000000001</v>
      </c>
      <c r="AI143">
        <f>VLOOKUP($A143,'UN Treasury'!$A$1:$BQ$224,_xlfn.XMATCH(AI$1,'UN Treasury'!$A$1:$BQ$1,-1,1),FALSE)</f>
        <v>2.7410000000000001</v>
      </c>
      <c r="AJ143">
        <f>VLOOKUP($A143,'UN Treasury'!$A$1:$BQ$224,_xlfn.XMATCH(AJ$1,'UN Treasury'!$A$1:$BQ$1,-1,1),FALSE)</f>
        <v>2.74</v>
      </c>
      <c r="AK143">
        <f>VLOOKUP($A143,'UN Treasury'!$A$1:$BQ$224,_xlfn.XMATCH(AK$1,'UN Treasury'!$A$1:$BQ$1,-1,1),FALSE)</f>
        <v>2.7610000000000001</v>
      </c>
      <c r="AL143">
        <f>VLOOKUP($A143,'UN Treasury'!$A$1:$BQ$224,_xlfn.XMATCH(AL$1,'UN Treasury'!$A$1:$BQ$1,-1,1),FALSE)</f>
        <v>2.7170000000000001</v>
      </c>
      <c r="AM143">
        <f>VLOOKUP($A143,'UN Treasury'!$A$1:$BQ$224,_xlfn.XMATCH(AM$1,'UN Treasury'!$A$1:$BQ$1,-1,1),FALSE)</f>
        <v>2.6920000000000002</v>
      </c>
      <c r="AN143">
        <f>VLOOKUP($A143,'UN Treasury'!$A$1:$BQ$224,_xlfn.XMATCH(AN$1,'UN Treasury'!$A$1:$BQ$1,-1,1),FALSE)</f>
        <v>2.7109999999999999</v>
      </c>
      <c r="AO143">
        <f>VLOOKUP($A143,'UN Treasury'!$A$1:$BQ$224,_xlfn.XMATCH(AO$1,'UN Treasury'!$A$1:$BQ$1,-1,1),FALSE)</f>
        <v>2.6720000000000002</v>
      </c>
      <c r="AP143">
        <f>VLOOKUP($A143,'UN Treasury'!$A$1:$BQ$224,_xlfn.XMATCH(AP$1,'UN Treasury'!$A$1:$BQ$1,-1,1),FALSE)</f>
        <v>2.6709999999999998</v>
      </c>
      <c r="AQ143">
        <f>VLOOKUP($A143,'UN Treasury'!$A$1:$BQ$224,_xlfn.XMATCH(AQ$1,'UN Treasury'!$A$1:$BQ$1,-1,1),FALSE)</f>
        <v>2.7160000000000002</v>
      </c>
      <c r="AR143">
        <f>VLOOKUP($A143,'UN Treasury'!$A$1:$BQ$224,_xlfn.XMATCH(AR$1,'UN Treasury'!$A$1:$BQ$1,-1,1),FALSE)</f>
        <v>2.661</v>
      </c>
      <c r="AS143">
        <f>VLOOKUP($A143,'UN Treasury'!$A$1:$BQ$224,_xlfn.XMATCH(AS$1,'UN Treasury'!$A$1:$BQ$1,-1,1),FALSE)</f>
        <v>2.6619999999999999</v>
      </c>
      <c r="AT143">
        <f>VLOOKUP($A143,'UN Treasury'!$A$1:$BQ$224,_xlfn.XMATCH(AT$1,'UN Treasury'!$A$1:$BQ$1,-1,1),FALSE)</f>
        <v>2.6739999999999999</v>
      </c>
      <c r="AU143">
        <f>VLOOKUP($A143,'UN Treasury'!$A$1:$BQ$224,_xlfn.XMATCH(AU$1,'UN Treasury'!$A$1:$BQ$1,-1,1),FALSE)</f>
        <v>2.746</v>
      </c>
      <c r="AV143">
        <f>VLOOKUP($A143,'UN Treasury'!$A$1:$BQ$224,_xlfn.XMATCH(AV$1,'UN Treasury'!$A$1:$BQ$1,-1,1),FALSE)</f>
        <v>2.8149999999999999</v>
      </c>
      <c r="AW143">
        <f>VLOOKUP($A143,'UN Treasury'!$A$1:$BQ$224,_xlfn.XMATCH(AW$1,'UN Treasury'!$A$1:$BQ$1,-1,1),FALSE)</f>
        <v>2.7109999999999999</v>
      </c>
      <c r="AX143">
        <f>VLOOKUP($A143,'UN Treasury'!$A$1:$BQ$224,_xlfn.XMATCH(AX$1,'UN Treasury'!$A$1:$BQ$1,-1,1),FALSE)</f>
        <v>2.6629999999999998</v>
      </c>
      <c r="AY143">
        <f>VLOOKUP($A143,'UN Treasury'!$A$1:$BQ$224,_xlfn.XMATCH(AY$1,'UN Treasury'!$A$1:$BQ$1,-1,1),FALSE)</f>
        <v>2.6869999999999998</v>
      </c>
      <c r="AZ143">
        <f>VLOOKUP($A143,'UN Treasury'!$A$1:$BQ$224,_xlfn.XMATCH(AZ$1,'UN Treasury'!$A$1:$BQ$1,-1,1),FALSE)</f>
        <v>2.6150000000000002</v>
      </c>
      <c r="BA143">
        <f>VLOOKUP($A143,'UN Treasury'!$A$1:$BQ$224,_xlfn.XMATCH(BA$1,'UN Treasury'!$A$1:$BQ$1,-1,1),FALSE)</f>
        <v>2.581</v>
      </c>
      <c r="BB143">
        <f>VLOOKUP($A143,'UN Treasury'!$A$1:$BQ$224,_xlfn.XMATCH(BB$1,'UN Treasury'!$A$1:$BQ$1,-1,1),FALSE)</f>
        <v>2.5449999999999999</v>
      </c>
      <c r="BC143">
        <f>VLOOKUP($A143,'UN Treasury'!$A$1:$BQ$224,_xlfn.XMATCH(BC$1,'UN Treasury'!$A$1:$BQ$1,-1,1),FALSE)</f>
        <v>2.569</v>
      </c>
      <c r="BD143">
        <f>VLOOKUP($A143,'UN Treasury'!$A$1:$BQ$224,_xlfn.XMATCH(BD$1,'UN Treasury'!$A$1:$BQ$1,-1,1),FALSE)</f>
        <v>2.6070000000000002</v>
      </c>
      <c r="BE143">
        <f>VLOOKUP($A143,'UN Treasury'!$A$1:$BQ$224,_xlfn.XMATCH(BE$1,'UN Treasury'!$A$1:$BQ$1,-1,1),FALSE)</f>
        <v>2.589</v>
      </c>
      <c r="BF143">
        <f>VLOOKUP($A143,'UN Treasury'!$A$1:$BQ$224,_xlfn.XMATCH(BF$1,'UN Treasury'!$A$1:$BQ$1,-1,1),FALSE)</f>
        <v>2.5099999999999998</v>
      </c>
      <c r="BG143">
        <f>VLOOKUP($A143,'UN Treasury'!$A$1:$BQ$224,_xlfn.XMATCH(BG$1,'UN Treasury'!$A$1:$BQ$1,-1,1),FALSE)</f>
        <v>2.516</v>
      </c>
      <c r="BH143">
        <f>VLOOKUP($A143,'UN Treasury'!$A$1:$BQ$224,_xlfn.XMATCH(BH$1,'UN Treasury'!$A$1:$BQ$1,-1,1),FALSE)</f>
        <v>2.548</v>
      </c>
      <c r="BI143">
        <f>VLOOKUP($A143,'UN Treasury'!$A$1:$BQ$224,_xlfn.XMATCH(BI$1,'UN Treasury'!$A$1:$BQ$1,-1,1),FALSE)</f>
        <v>2.5529999999999999</v>
      </c>
      <c r="BJ143">
        <f>VLOOKUP($A143,'UN Treasury'!$A$1:$BQ$224,_xlfn.XMATCH(BJ$1,'UN Treasury'!$A$1:$BQ$1,-1,1),FALSE)</f>
        <v>2.5430000000000001</v>
      </c>
      <c r="BK143">
        <f>VLOOKUP($A143,'UN Treasury'!$A$1:$BQ$224,_xlfn.XMATCH(BK$1,'UN Treasury'!$A$1:$BQ$1,-1,1),FALSE)</f>
        <v>2.5539999999999998</v>
      </c>
      <c r="BL143">
        <f>VLOOKUP($A143,'UN Treasury'!$A$1:$BQ$224,_xlfn.XMATCH(BL$1,'UN Treasury'!$A$1:$BQ$1,-1,1),FALSE)</f>
        <v>2.4969999999999999</v>
      </c>
      <c r="BM143">
        <f>VLOOKUP($A143,'UN Treasury'!$A$1:$BQ$224,_xlfn.XMATCH(BM$1,'UN Treasury'!$A$1:$BQ$1,-1,1),FALSE)</f>
        <v>2.5</v>
      </c>
      <c r="BN143">
        <f>VLOOKUP($A143,'UN Treasury'!$A$1:$BQ$224,_xlfn.XMATCH(BN$1,'UN Treasury'!$A$1:$BQ$1,-1,1),FALSE)</f>
        <v>2.5270000000000001</v>
      </c>
      <c r="BO143">
        <f>VLOOKUP($A143,'UN Treasury'!$A$1:$BQ$224,_xlfn.XMATCH(BO$1,'UN Treasury'!$A$1:$BQ$1,-1,1),FALSE)</f>
        <v>2.4790000000000001</v>
      </c>
      <c r="BP143">
        <f>VLOOKUP($A143,'UN Treasury'!$A$1:$BQ$224,_xlfn.XMATCH(BP$1,'UN Treasury'!$A$1:$BQ$1,-1,1),FALSE)</f>
        <v>2.4750000000000001</v>
      </c>
      <c r="BQ143">
        <f>VLOOKUP($A143,'UN Treasury'!$A$1:$BQ$224,_xlfn.XMATCH(BQ$1,'UN Treasury'!$A$1:$BQ$1,-1,1),FALSE)</f>
        <v>2.5190000000000001</v>
      </c>
    </row>
    <row r="144" spans="1:69" x14ac:dyDescent="0.25">
      <c r="A144" t="s">
        <v>85</v>
      </c>
      <c r="B144">
        <f>VLOOKUP($A144,'UN Treasury'!$A$1:$BQ$224,_xlfn.XMATCH(B$1,'UN Treasury'!$A$1:$BQ$1,-1,1),FALSE)</f>
        <v>568.51900000000001</v>
      </c>
      <c r="C144">
        <f>VLOOKUP($A144,'UN Treasury'!$A$1:$BQ$224,_xlfn.XMATCH(C$1,'UN Treasury'!$A$1:$BQ$1,-1,1),FALSE)</f>
        <v>574.04100000000005</v>
      </c>
      <c r="D144">
        <f>VLOOKUP($A144,'UN Treasury'!$A$1:$BQ$224,_xlfn.XMATCH(D$1,'UN Treasury'!$A$1:$BQ$1,-1,1),FALSE)</f>
        <v>569.30799999999999</v>
      </c>
      <c r="E144">
        <f>VLOOKUP($A144,'UN Treasury'!$A$1:$BQ$224,_xlfn.XMATCH(E$1,'UN Treasury'!$A$1:$BQ$1,-1,1),FALSE)</f>
        <v>560.16800000000001</v>
      </c>
      <c r="F144">
        <f>VLOOKUP($A144,'UN Treasury'!$A$1:$BQ$224,_xlfn.XMATCH(F$1,'UN Treasury'!$A$1:$BQ$1,-1,1),FALSE)</f>
        <v>560.16800000000001</v>
      </c>
      <c r="G144">
        <f>VLOOKUP($A144,'UN Treasury'!$A$1:$BQ$224,_xlfn.XMATCH(G$1,'UN Treasury'!$A$1:$BQ$1,-1,1),FALSE)</f>
        <v>568.81500000000005</v>
      </c>
      <c r="H144">
        <f>VLOOKUP($A144,'UN Treasury'!$A$1:$BQ$224,_xlfn.XMATCH(H$1,'UN Treasury'!$A$1:$BQ$1,-1,1),FALSE)</f>
        <v>551.87400000000002</v>
      </c>
      <c r="I144">
        <f>VLOOKUP($A144,'UN Treasury'!$A$1:$BQ$224,_xlfn.XMATCH(I$1,'UN Treasury'!$A$1:$BQ$1,-1,1),FALSE)</f>
        <v>563.053</v>
      </c>
      <c r="J144">
        <f>VLOOKUP($A144,'UN Treasury'!$A$1:$BQ$224,_xlfn.XMATCH(J$1,'UN Treasury'!$A$1:$BQ$1,-1,1),FALSE)</f>
        <v>558.59400000000005</v>
      </c>
      <c r="K144">
        <f>VLOOKUP($A144,'UN Treasury'!$A$1:$BQ$224,_xlfn.XMATCH(K$1,'UN Treasury'!$A$1:$BQ$1,-1,1),FALSE)</f>
        <v>567.24099999999999</v>
      </c>
      <c r="L144">
        <f>VLOOKUP($A144,'UN Treasury'!$A$1:$BQ$224,_xlfn.XMATCH(L$1,'UN Treasury'!$A$1:$BQ$1,-1,1),FALSE)</f>
        <v>567.24099999999999</v>
      </c>
      <c r="M144">
        <f>VLOOKUP($A144,'UN Treasury'!$A$1:$BQ$224,_xlfn.XMATCH(M$1,'UN Treasury'!$A$1:$BQ$1,-1,1),FALSE)</f>
        <v>559.30799999999999</v>
      </c>
      <c r="N144">
        <f>VLOOKUP($A144,'UN Treasury'!$A$1:$BQ$224,_xlfn.XMATCH(N$1,'UN Treasury'!$A$1:$BQ$1,-1,1),FALSE)</f>
        <v>560.55100000000004</v>
      </c>
      <c r="O144">
        <f>VLOOKUP($A144,'UN Treasury'!$A$1:$BQ$224,_xlfn.XMATCH(O$1,'UN Treasury'!$A$1:$BQ$1,-1,1),FALSE)</f>
        <v>561.17499999999995</v>
      </c>
      <c r="P144">
        <f>VLOOKUP($A144,'UN Treasury'!$A$1:$BQ$224,_xlfn.XMATCH(P$1,'UN Treasury'!$A$1:$BQ$1,-1,1),FALSE)</f>
        <v>571.98900000000003</v>
      </c>
      <c r="Q144">
        <f>VLOOKUP($A144,'UN Treasury'!$A$1:$BQ$224,_xlfn.XMATCH(Q$1,'UN Treasury'!$A$1:$BQ$1,-1,1),FALSE)</f>
        <v>588.46100000000001</v>
      </c>
      <c r="R144">
        <f>VLOOKUP($A144,'UN Treasury'!$A$1:$BQ$224,_xlfn.XMATCH(R$1,'UN Treasury'!$A$1:$BQ$1,-1,1),FALSE)</f>
        <v>577.32500000000005</v>
      </c>
      <c r="S144">
        <f>VLOOKUP($A144,'UN Treasury'!$A$1:$BQ$224,_xlfn.XMATCH(S$1,'UN Treasury'!$A$1:$BQ$1,-1,1),FALSE)</f>
        <v>602.40300000000002</v>
      </c>
      <c r="T144">
        <f>VLOOKUP($A144,'UN Treasury'!$A$1:$BQ$224,_xlfn.XMATCH(T$1,'UN Treasury'!$A$1:$BQ$1,-1,1),FALSE)</f>
        <v>634.08100000000002</v>
      </c>
      <c r="U144">
        <f>VLOOKUP($A144,'UN Treasury'!$A$1:$BQ$224,_xlfn.XMATCH(U$1,'UN Treasury'!$A$1:$BQ$1,-1,1),FALSE)</f>
        <v>642.654</v>
      </c>
      <c r="V144">
        <f>VLOOKUP($A144,'UN Treasury'!$A$1:$BQ$224,_xlfn.XMATCH(V$1,'UN Treasury'!$A$1:$BQ$1,-1,1),FALSE)</f>
        <v>624.84</v>
      </c>
      <c r="W144">
        <f>VLOOKUP($A144,'UN Treasury'!$A$1:$BQ$224,_xlfn.XMATCH(W$1,'UN Treasury'!$A$1:$BQ$1,-1,1),FALSE)</f>
        <v>618.59400000000005</v>
      </c>
      <c r="X144">
        <f>VLOOKUP($A144,'UN Treasury'!$A$1:$BQ$224,_xlfn.XMATCH(X$1,'UN Treasury'!$A$1:$BQ$1,-1,1),FALSE)</f>
        <v>599.65</v>
      </c>
      <c r="Y144">
        <f>VLOOKUP($A144,'UN Treasury'!$A$1:$BQ$224,_xlfn.XMATCH(Y$1,'UN Treasury'!$A$1:$BQ$1,-1,1),FALSE)</f>
        <v>595.35</v>
      </c>
      <c r="Z144">
        <f>VLOOKUP($A144,'UN Treasury'!$A$1:$BQ$224,_xlfn.XMATCH(Z$1,'UN Treasury'!$A$1:$BQ$1,-1,1),FALSE)</f>
        <v>598.71900000000005</v>
      </c>
      <c r="AA144">
        <f>VLOOKUP($A144,'UN Treasury'!$A$1:$BQ$224,_xlfn.XMATCH(AA$1,'UN Treasury'!$A$1:$BQ$1,-1,1),FALSE)</f>
        <v>602.45899999999995</v>
      </c>
      <c r="AB144">
        <f>VLOOKUP($A144,'UN Treasury'!$A$1:$BQ$224,_xlfn.XMATCH(AB$1,'UN Treasury'!$A$1:$BQ$1,-1,1),FALSE)</f>
        <v>605.46199999999999</v>
      </c>
      <c r="AC144">
        <f>VLOOKUP($A144,'UN Treasury'!$A$1:$BQ$224,_xlfn.XMATCH(AC$1,'UN Treasury'!$A$1:$BQ$1,-1,1),FALSE)</f>
        <v>607.14300000000003</v>
      </c>
      <c r="AD144">
        <f>VLOOKUP($A144,'UN Treasury'!$A$1:$BQ$224,_xlfn.XMATCH(AD$1,'UN Treasury'!$A$1:$BQ$1,-1,1),FALSE)</f>
        <v>611.15899999999999</v>
      </c>
      <c r="AE144">
        <f>VLOOKUP($A144,'UN Treasury'!$A$1:$BQ$224,_xlfn.XMATCH(AE$1,'UN Treasury'!$A$1:$BQ$1,-1,1),FALSE)</f>
        <v>599.65</v>
      </c>
      <c r="AF144">
        <f>VLOOKUP($A144,'UN Treasury'!$A$1:$BQ$224,_xlfn.XMATCH(AF$1,'UN Treasury'!$A$1:$BQ$1,-1,1),FALSE)</f>
        <v>611.72900000000004</v>
      </c>
      <c r="AG144">
        <f>VLOOKUP($A144,'UN Treasury'!$A$1:$BQ$224,_xlfn.XMATCH(AG$1,'UN Treasury'!$A$1:$BQ$1,-1,1),FALSE)</f>
        <v>598.88300000000004</v>
      </c>
      <c r="AH144">
        <f>VLOOKUP($A144,'UN Treasury'!$A$1:$BQ$224,_xlfn.XMATCH(AH$1,'UN Treasury'!$A$1:$BQ$1,-1,1),FALSE)</f>
        <v>607.98699999999997</v>
      </c>
      <c r="AI144">
        <f>VLOOKUP($A144,'UN Treasury'!$A$1:$BQ$224,_xlfn.XMATCH(AI$1,'UN Treasury'!$A$1:$BQ$1,-1,1),FALSE)</f>
        <v>614.71</v>
      </c>
      <c r="AJ144">
        <f>VLOOKUP($A144,'UN Treasury'!$A$1:$BQ$224,_xlfn.XMATCH(AJ$1,'UN Treasury'!$A$1:$BQ$1,-1,1),FALSE)</f>
        <v>617.13900000000001</v>
      </c>
      <c r="AK144">
        <f>VLOOKUP($A144,'UN Treasury'!$A$1:$BQ$224,_xlfn.XMATCH(AK$1,'UN Treasury'!$A$1:$BQ$1,-1,1),FALSE)</f>
        <v>610.64700000000005</v>
      </c>
      <c r="AL144">
        <f>VLOOKUP($A144,'UN Treasury'!$A$1:$BQ$224,_xlfn.XMATCH(AL$1,'UN Treasury'!$A$1:$BQ$1,-1,1),FALSE)</f>
        <v>598.61</v>
      </c>
      <c r="AM144">
        <f>VLOOKUP($A144,'UN Treasury'!$A$1:$BQ$224,_xlfn.XMATCH(AM$1,'UN Treasury'!$A$1:$BQ$1,-1,1),FALSE)</f>
        <v>591.43200000000002</v>
      </c>
      <c r="AN144">
        <f>VLOOKUP($A144,'UN Treasury'!$A$1:$BQ$224,_xlfn.XMATCH(AN$1,'UN Treasury'!$A$1:$BQ$1,-1,1),FALSE)</f>
        <v>608.26900000000001</v>
      </c>
      <c r="AO144">
        <f>VLOOKUP($A144,'UN Treasury'!$A$1:$BQ$224,_xlfn.XMATCH(AO$1,'UN Treasury'!$A$1:$BQ$1,-1,1),FALSE)</f>
        <v>601.24400000000003</v>
      </c>
      <c r="AP144">
        <f>VLOOKUP($A144,'UN Treasury'!$A$1:$BQ$224,_xlfn.XMATCH(AP$1,'UN Treasury'!$A$1:$BQ$1,-1,1),FALSE)</f>
        <v>597.46500000000003</v>
      </c>
      <c r="AQ144">
        <f>VLOOKUP($A144,'UN Treasury'!$A$1:$BQ$224,_xlfn.XMATCH(AQ$1,'UN Treasury'!$A$1:$BQ$1,-1,1),FALSE)</f>
        <v>612.47199999999998</v>
      </c>
      <c r="AR144">
        <f>VLOOKUP($A144,'UN Treasury'!$A$1:$BQ$224,_xlfn.XMATCH(AR$1,'UN Treasury'!$A$1:$BQ$1,-1,1),FALSE)</f>
        <v>612.12900000000002</v>
      </c>
      <c r="AS144">
        <f>VLOOKUP($A144,'UN Treasury'!$A$1:$BQ$224,_xlfn.XMATCH(AS$1,'UN Treasury'!$A$1:$BQ$1,-1,1),FALSE)</f>
        <v>609.28599999999994</v>
      </c>
      <c r="AT144">
        <f>VLOOKUP($A144,'UN Treasury'!$A$1:$BQ$224,_xlfn.XMATCH(AT$1,'UN Treasury'!$A$1:$BQ$1,-1,1),FALSE)</f>
        <v>615.40200000000004</v>
      </c>
      <c r="AU144">
        <f>VLOOKUP($A144,'UN Treasury'!$A$1:$BQ$224,_xlfn.XMATCH(AU$1,'UN Treasury'!$A$1:$BQ$1,-1,1),FALSE)</f>
        <v>637.65599999999995</v>
      </c>
      <c r="AV144">
        <f>VLOOKUP($A144,'UN Treasury'!$A$1:$BQ$224,_xlfn.XMATCH(AV$1,'UN Treasury'!$A$1:$BQ$1,-1,1),FALSE)</f>
        <v>676.73299999999995</v>
      </c>
      <c r="AW144">
        <f>VLOOKUP($A144,'UN Treasury'!$A$1:$BQ$224,_xlfn.XMATCH(AW$1,'UN Treasury'!$A$1:$BQ$1,-1,1),FALSE)</f>
        <v>653.79899999999998</v>
      </c>
      <c r="AX144">
        <f>VLOOKUP($A144,'UN Treasury'!$A$1:$BQ$224,_xlfn.XMATCH(AX$1,'UN Treasury'!$A$1:$BQ$1,-1,1),FALSE)</f>
        <v>633.22400000000005</v>
      </c>
      <c r="AY144">
        <f>VLOOKUP($A144,'UN Treasury'!$A$1:$BQ$224,_xlfn.XMATCH(AY$1,'UN Treasury'!$A$1:$BQ$1,-1,1),FALSE)</f>
        <v>653.40899999999999</v>
      </c>
      <c r="AZ144">
        <f>VLOOKUP($A144,'UN Treasury'!$A$1:$BQ$224,_xlfn.XMATCH(AZ$1,'UN Treasury'!$A$1:$BQ$1,-1,1),FALSE)</f>
        <v>628.13099999999997</v>
      </c>
      <c r="BA144">
        <f>VLOOKUP($A144,'UN Treasury'!$A$1:$BQ$224,_xlfn.XMATCH(BA$1,'UN Treasury'!$A$1:$BQ$1,-1,1),FALSE)</f>
        <v>621.34799999999996</v>
      </c>
      <c r="BB144">
        <f>VLOOKUP($A144,'UN Treasury'!$A$1:$BQ$224,_xlfn.XMATCH(BB$1,'UN Treasury'!$A$1:$BQ$1,-1,1),FALSE)</f>
        <v>603.34500000000003</v>
      </c>
      <c r="BC144">
        <f>VLOOKUP($A144,'UN Treasury'!$A$1:$BQ$224,_xlfn.XMATCH(BC$1,'UN Treasury'!$A$1:$BQ$1,-1,1),FALSE)</f>
        <v>598.61</v>
      </c>
      <c r="BD144">
        <f>VLOOKUP($A144,'UN Treasury'!$A$1:$BQ$224,_xlfn.XMATCH(BD$1,'UN Treasury'!$A$1:$BQ$1,-1,1),FALSE)</f>
        <v>575.70399999999995</v>
      </c>
      <c r="BE144">
        <f>VLOOKUP($A144,'UN Treasury'!$A$1:$BQ$224,_xlfn.XMATCH(BE$1,'UN Treasury'!$A$1:$BQ$1,-1,1),FALSE)</f>
        <v>574.49400000000003</v>
      </c>
      <c r="BF144">
        <f>VLOOKUP($A144,'UN Treasury'!$A$1:$BQ$224,_xlfn.XMATCH(BF$1,'UN Treasury'!$A$1:$BQ$1,-1,1),FALSE)</f>
        <v>582.19299999999998</v>
      </c>
      <c r="BG144">
        <f>VLOOKUP($A144,'UN Treasury'!$A$1:$BQ$224,_xlfn.XMATCH(BG$1,'UN Treasury'!$A$1:$BQ$1,-1,1),FALSE)</f>
        <v>572.08900000000006</v>
      </c>
      <c r="BH144">
        <f>VLOOKUP($A144,'UN Treasury'!$A$1:$BQ$224,_xlfn.XMATCH(BH$1,'UN Treasury'!$A$1:$BQ$1,-1,1),FALSE)</f>
        <v>563.97299999999996</v>
      </c>
      <c r="BI144">
        <f>VLOOKUP($A144,'UN Treasury'!$A$1:$BQ$224,_xlfn.XMATCH(BI$1,'UN Treasury'!$A$1:$BQ$1,-1,1),FALSE)</f>
        <v>555.89599999999996</v>
      </c>
      <c r="BJ144">
        <f>VLOOKUP($A144,'UN Treasury'!$A$1:$BQ$224,_xlfn.XMATCH(BJ$1,'UN Treasury'!$A$1:$BQ$1,-1,1),FALSE)</f>
        <v>551.73400000000004</v>
      </c>
      <c r="BK144">
        <f>VLOOKUP($A144,'UN Treasury'!$A$1:$BQ$224,_xlfn.XMATCH(BK$1,'UN Treasury'!$A$1:$BQ$1,-1,1),FALSE)</f>
        <v>549.88400000000001</v>
      </c>
      <c r="BL144">
        <f>VLOOKUP($A144,'UN Treasury'!$A$1:$BQ$224,_xlfn.XMATCH(BL$1,'UN Treasury'!$A$1:$BQ$1,-1,1),FALSE)</f>
        <v>537.71400000000006</v>
      </c>
      <c r="BM144">
        <f>VLOOKUP($A144,'UN Treasury'!$A$1:$BQ$224,_xlfn.XMATCH(BM$1,'UN Treasury'!$A$1:$BQ$1,-1,1),FALSE)</f>
        <v>541.84500000000003</v>
      </c>
      <c r="BN144">
        <f>VLOOKUP($A144,'UN Treasury'!$A$1:$BQ$224,_xlfn.XMATCH(BN$1,'UN Treasury'!$A$1:$BQ$1,-1,1),FALSE)</f>
        <v>559.69000000000005</v>
      </c>
      <c r="BO144">
        <f>VLOOKUP($A144,'UN Treasury'!$A$1:$BQ$224,_xlfn.XMATCH(BO$1,'UN Treasury'!$A$1:$BQ$1,-1,1),FALSE)</f>
        <v>549.24</v>
      </c>
      <c r="BP144">
        <f>VLOOKUP($A144,'UN Treasury'!$A$1:$BQ$224,_xlfn.XMATCH(BP$1,'UN Treasury'!$A$1:$BQ$1,-1,1),FALSE)</f>
        <v>540.46100000000001</v>
      </c>
      <c r="BQ144">
        <f>VLOOKUP($A144,'UN Treasury'!$A$1:$BQ$224,_xlfn.XMATCH(BQ$1,'UN Treasury'!$A$1:$BQ$1,-1,1),FALSE)</f>
        <v>539.26099999999997</v>
      </c>
    </row>
    <row r="145" spans="1:69" x14ac:dyDescent="0.25">
      <c r="A145" t="s">
        <v>286</v>
      </c>
      <c r="B145">
        <f>VLOOKUP($A145,'UN Treasury'!$A$1:$BQ$224,_xlfn.XMATCH(B$1,'UN Treasury'!$A$1:$BQ$1,-1,1),FALSE)</f>
        <v>2.7</v>
      </c>
      <c r="C145">
        <f>VLOOKUP($A145,'UN Treasury'!$A$1:$BQ$224,_xlfn.XMATCH(C$1,'UN Treasury'!$A$1:$BQ$1,-1,1),FALSE)</f>
        <v>2.7</v>
      </c>
      <c r="D145">
        <f>VLOOKUP($A145,'UN Treasury'!$A$1:$BQ$224,_xlfn.XMATCH(D$1,'UN Treasury'!$A$1:$BQ$1,-1,1),FALSE)</f>
        <v>2.7</v>
      </c>
      <c r="E145">
        <f>VLOOKUP($A145,'UN Treasury'!$A$1:$BQ$224,_xlfn.XMATCH(E$1,'UN Treasury'!$A$1:$BQ$1,-1,1),FALSE)</f>
        <v>2.7</v>
      </c>
      <c r="F145">
        <f>VLOOKUP($A145,'UN Treasury'!$A$1:$BQ$224,_xlfn.XMATCH(F$1,'UN Treasury'!$A$1:$BQ$1,-1,1),FALSE)</f>
        <v>2.7</v>
      </c>
      <c r="G145">
        <f>VLOOKUP($A145,'UN Treasury'!$A$1:$BQ$224,_xlfn.XMATCH(G$1,'UN Treasury'!$A$1:$BQ$1,-1,1),FALSE)</f>
        <v>2.7</v>
      </c>
      <c r="H145">
        <f>VLOOKUP($A145,'UN Treasury'!$A$1:$BQ$224,_xlfn.XMATCH(H$1,'UN Treasury'!$A$1:$BQ$1,-1,1),FALSE)</f>
        <v>2.7</v>
      </c>
      <c r="I145">
        <f>VLOOKUP($A145,'UN Treasury'!$A$1:$BQ$224,_xlfn.XMATCH(I$1,'UN Treasury'!$A$1:$BQ$1,-1,1),FALSE)</f>
        <v>2.7</v>
      </c>
      <c r="J145">
        <f>VLOOKUP($A145,'UN Treasury'!$A$1:$BQ$224,_xlfn.XMATCH(J$1,'UN Treasury'!$A$1:$BQ$1,-1,1),FALSE)</f>
        <v>2.7</v>
      </c>
      <c r="K145">
        <f>VLOOKUP($A145,'UN Treasury'!$A$1:$BQ$224,_xlfn.XMATCH(K$1,'UN Treasury'!$A$1:$BQ$1,-1,1),FALSE)</f>
        <v>2.7</v>
      </c>
      <c r="L145">
        <f>VLOOKUP($A145,'UN Treasury'!$A$1:$BQ$224,_xlfn.XMATCH(L$1,'UN Treasury'!$A$1:$BQ$1,-1,1),FALSE)</f>
        <v>2.7</v>
      </c>
      <c r="M145">
        <f>VLOOKUP($A145,'UN Treasury'!$A$1:$BQ$224,_xlfn.XMATCH(M$1,'UN Treasury'!$A$1:$BQ$1,-1,1),FALSE)</f>
        <v>2.7</v>
      </c>
      <c r="N145">
        <f>VLOOKUP($A145,'UN Treasury'!$A$1:$BQ$224,_xlfn.XMATCH(N$1,'UN Treasury'!$A$1:$BQ$1,-1,1),FALSE)</f>
        <v>2.7</v>
      </c>
      <c r="O145">
        <f>VLOOKUP($A145,'UN Treasury'!$A$1:$BQ$224,_xlfn.XMATCH(O$1,'UN Treasury'!$A$1:$BQ$1,-1,1),FALSE)</f>
        <v>2.7</v>
      </c>
      <c r="P145">
        <f>VLOOKUP($A145,'UN Treasury'!$A$1:$BQ$224,_xlfn.XMATCH(P$1,'UN Treasury'!$A$1:$BQ$1,-1,1),FALSE)</f>
        <v>2.7</v>
      </c>
      <c r="Q145">
        <f>VLOOKUP($A145,'UN Treasury'!$A$1:$BQ$224,_xlfn.XMATCH(Q$1,'UN Treasury'!$A$1:$BQ$1,-1,1),FALSE)</f>
        <v>2.7</v>
      </c>
      <c r="R145">
        <f>VLOOKUP($A145,'UN Treasury'!$A$1:$BQ$224,_xlfn.XMATCH(R$1,'UN Treasury'!$A$1:$BQ$1,-1,1),FALSE)</f>
        <v>2.7</v>
      </c>
      <c r="S145">
        <f>VLOOKUP($A145,'UN Treasury'!$A$1:$BQ$224,_xlfn.XMATCH(S$1,'UN Treasury'!$A$1:$BQ$1,-1,1),FALSE)</f>
        <v>2.7</v>
      </c>
      <c r="T145">
        <f>VLOOKUP($A145,'UN Treasury'!$A$1:$BQ$224,_xlfn.XMATCH(T$1,'UN Treasury'!$A$1:$BQ$1,-1,1),FALSE)</f>
        <v>2.7</v>
      </c>
      <c r="U145">
        <f>VLOOKUP($A145,'UN Treasury'!$A$1:$BQ$224,_xlfn.XMATCH(U$1,'UN Treasury'!$A$1:$BQ$1,-1,1),FALSE)</f>
        <v>2.7</v>
      </c>
      <c r="V145">
        <f>VLOOKUP($A145,'UN Treasury'!$A$1:$BQ$224,_xlfn.XMATCH(V$1,'UN Treasury'!$A$1:$BQ$1,-1,1),FALSE)</f>
        <v>2.7</v>
      </c>
      <c r="W145">
        <f>VLOOKUP($A145,'UN Treasury'!$A$1:$BQ$224,_xlfn.XMATCH(W$1,'UN Treasury'!$A$1:$BQ$1,-1,1),FALSE)</f>
        <v>2.7</v>
      </c>
      <c r="X145">
        <f>VLOOKUP($A145,'UN Treasury'!$A$1:$BQ$224,_xlfn.XMATCH(X$1,'UN Treasury'!$A$1:$BQ$1,-1,1),FALSE)</f>
        <v>2.7</v>
      </c>
      <c r="Y145">
        <f>VLOOKUP($A145,'UN Treasury'!$A$1:$BQ$224,_xlfn.XMATCH(Y$1,'UN Treasury'!$A$1:$BQ$1,-1,1),FALSE)</f>
        <v>2.7</v>
      </c>
      <c r="Z145">
        <f>VLOOKUP($A145,'UN Treasury'!$A$1:$BQ$224,_xlfn.XMATCH(Z$1,'UN Treasury'!$A$1:$BQ$1,-1,1),FALSE)</f>
        <v>2.7</v>
      </c>
      <c r="AA145">
        <f>VLOOKUP($A145,'UN Treasury'!$A$1:$BQ$224,_xlfn.XMATCH(AA$1,'UN Treasury'!$A$1:$BQ$1,-1,1),FALSE)</f>
        <v>2.7</v>
      </c>
      <c r="AB145">
        <f>VLOOKUP($A145,'UN Treasury'!$A$1:$BQ$224,_xlfn.XMATCH(AB$1,'UN Treasury'!$A$1:$BQ$1,-1,1),FALSE)</f>
        <v>2.7</v>
      </c>
      <c r="AC145">
        <f>VLOOKUP($A145,'UN Treasury'!$A$1:$BQ$224,_xlfn.XMATCH(AC$1,'UN Treasury'!$A$1:$BQ$1,-1,1),FALSE)</f>
        <v>2.7</v>
      </c>
      <c r="AD145">
        <f>VLOOKUP($A145,'UN Treasury'!$A$1:$BQ$224,_xlfn.XMATCH(AD$1,'UN Treasury'!$A$1:$BQ$1,-1,1),FALSE)</f>
        <v>2.7</v>
      </c>
      <c r="AE145">
        <f>VLOOKUP($A145,'UN Treasury'!$A$1:$BQ$224,_xlfn.XMATCH(AE$1,'UN Treasury'!$A$1:$BQ$1,-1,1),FALSE)</f>
        <v>2.7</v>
      </c>
      <c r="AF145">
        <f>VLOOKUP($A145,'UN Treasury'!$A$1:$BQ$224,_xlfn.XMATCH(AF$1,'UN Treasury'!$A$1:$BQ$1,-1,1),FALSE)</f>
        <v>2.7</v>
      </c>
      <c r="AG145">
        <f>VLOOKUP($A145,'UN Treasury'!$A$1:$BQ$224,_xlfn.XMATCH(AG$1,'UN Treasury'!$A$1:$BQ$1,-1,1),FALSE)</f>
        <v>2.7</v>
      </c>
      <c r="AH145">
        <f>VLOOKUP($A145,'UN Treasury'!$A$1:$BQ$224,_xlfn.XMATCH(AH$1,'UN Treasury'!$A$1:$BQ$1,-1,1),FALSE)</f>
        <v>2.7</v>
      </c>
      <c r="AI145">
        <f>VLOOKUP($A145,'UN Treasury'!$A$1:$BQ$224,_xlfn.XMATCH(AI$1,'UN Treasury'!$A$1:$BQ$1,-1,1),FALSE)</f>
        <v>2.7</v>
      </c>
      <c r="AJ145">
        <f>VLOOKUP($A145,'UN Treasury'!$A$1:$BQ$224,_xlfn.XMATCH(AJ$1,'UN Treasury'!$A$1:$BQ$1,-1,1),FALSE)</f>
        <v>2.7</v>
      </c>
      <c r="AK145">
        <f>VLOOKUP($A145,'UN Treasury'!$A$1:$BQ$224,_xlfn.XMATCH(AK$1,'UN Treasury'!$A$1:$BQ$1,-1,1),FALSE)</f>
        <v>2.7</v>
      </c>
      <c r="AL145">
        <f>VLOOKUP($A145,'UN Treasury'!$A$1:$BQ$224,_xlfn.XMATCH(AL$1,'UN Treasury'!$A$1:$BQ$1,-1,1),FALSE)</f>
        <v>2.7</v>
      </c>
      <c r="AM145">
        <f>VLOOKUP($A145,'UN Treasury'!$A$1:$BQ$224,_xlfn.XMATCH(AM$1,'UN Treasury'!$A$1:$BQ$1,-1,1),FALSE)</f>
        <v>2.7</v>
      </c>
      <c r="AN145">
        <f>VLOOKUP($A145,'UN Treasury'!$A$1:$BQ$224,_xlfn.XMATCH(AN$1,'UN Treasury'!$A$1:$BQ$1,-1,1),FALSE)</f>
        <v>2.7</v>
      </c>
      <c r="AO145">
        <f>VLOOKUP($A145,'UN Treasury'!$A$1:$BQ$224,_xlfn.XMATCH(AO$1,'UN Treasury'!$A$1:$BQ$1,-1,1),FALSE)</f>
        <v>2.7</v>
      </c>
      <c r="AP145">
        <f>VLOOKUP($A145,'UN Treasury'!$A$1:$BQ$224,_xlfn.XMATCH(AP$1,'UN Treasury'!$A$1:$BQ$1,-1,1),FALSE)</f>
        <v>2.7</v>
      </c>
      <c r="AQ145">
        <f>VLOOKUP($A145,'UN Treasury'!$A$1:$BQ$224,_xlfn.XMATCH(AQ$1,'UN Treasury'!$A$1:$BQ$1,-1,1),FALSE)</f>
        <v>2.7</v>
      </c>
      <c r="AR145">
        <f>VLOOKUP($A145,'UN Treasury'!$A$1:$BQ$224,_xlfn.XMATCH(AR$1,'UN Treasury'!$A$1:$BQ$1,-1,1),FALSE)</f>
        <v>2.7</v>
      </c>
      <c r="AS145">
        <f>VLOOKUP($A145,'UN Treasury'!$A$1:$BQ$224,_xlfn.XMATCH(AS$1,'UN Treasury'!$A$1:$BQ$1,-1,1),FALSE)</f>
        <v>2.7</v>
      </c>
      <c r="AT145">
        <f>VLOOKUP($A145,'UN Treasury'!$A$1:$BQ$224,_xlfn.XMATCH(AT$1,'UN Treasury'!$A$1:$BQ$1,-1,1),FALSE)</f>
        <v>2.7</v>
      </c>
      <c r="AU145">
        <f>VLOOKUP($A145,'UN Treasury'!$A$1:$BQ$224,_xlfn.XMATCH(AU$1,'UN Treasury'!$A$1:$BQ$1,-1,1),FALSE)</f>
        <v>2.7</v>
      </c>
      <c r="AV145">
        <f>VLOOKUP($A145,'UN Treasury'!$A$1:$BQ$224,_xlfn.XMATCH(AV$1,'UN Treasury'!$A$1:$BQ$1,-1,1),FALSE)</f>
        <v>2.7</v>
      </c>
      <c r="AW145">
        <f>VLOOKUP($A145,'UN Treasury'!$A$1:$BQ$224,_xlfn.XMATCH(AW$1,'UN Treasury'!$A$1:$BQ$1,-1,1),FALSE)</f>
        <v>2.7</v>
      </c>
      <c r="AX145">
        <f>VLOOKUP($A145,'UN Treasury'!$A$1:$BQ$224,_xlfn.XMATCH(AX$1,'UN Treasury'!$A$1:$BQ$1,-1,1),FALSE)</f>
        <v>2.7</v>
      </c>
      <c r="AY145">
        <f>VLOOKUP($A145,'UN Treasury'!$A$1:$BQ$224,_xlfn.XMATCH(AY$1,'UN Treasury'!$A$1:$BQ$1,-1,1),FALSE)</f>
        <v>2.7</v>
      </c>
      <c r="AZ145">
        <f>VLOOKUP($A145,'UN Treasury'!$A$1:$BQ$224,_xlfn.XMATCH(AZ$1,'UN Treasury'!$A$1:$BQ$1,-1,1),FALSE)</f>
        <v>2.7</v>
      </c>
      <c r="BA145">
        <f>VLOOKUP($A145,'UN Treasury'!$A$1:$BQ$224,_xlfn.XMATCH(BA$1,'UN Treasury'!$A$1:$BQ$1,-1,1),FALSE)</f>
        <v>2.7</v>
      </c>
      <c r="BB145">
        <f>VLOOKUP($A145,'UN Treasury'!$A$1:$BQ$224,_xlfn.XMATCH(BB$1,'UN Treasury'!$A$1:$BQ$1,-1,1),FALSE)</f>
        <v>2.7</v>
      </c>
      <c r="BC145">
        <f>VLOOKUP($A145,'UN Treasury'!$A$1:$BQ$224,_xlfn.XMATCH(BC$1,'UN Treasury'!$A$1:$BQ$1,-1,1),FALSE)</f>
        <v>2.7</v>
      </c>
      <c r="BD145">
        <f>VLOOKUP($A145,'UN Treasury'!$A$1:$BQ$224,_xlfn.XMATCH(BD$1,'UN Treasury'!$A$1:$BQ$1,-1,1),FALSE)</f>
        <v>2.7</v>
      </c>
      <c r="BE145">
        <f>VLOOKUP($A145,'UN Treasury'!$A$1:$BQ$224,_xlfn.XMATCH(BE$1,'UN Treasury'!$A$1:$BQ$1,-1,1),FALSE)</f>
        <v>2.7</v>
      </c>
      <c r="BF145">
        <f>VLOOKUP($A145,'UN Treasury'!$A$1:$BQ$224,_xlfn.XMATCH(BF$1,'UN Treasury'!$A$1:$BQ$1,-1,1),FALSE)</f>
        <v>2.7</v>
      </c>
      <c r="BG145">
        <f>VLOOKUP($A145,'UN Treasury'!$A$1:$BQ$224,_xlfn.XMATCH(BG$1,'UN Treasury'!$A$1:$BQ$1,-1,1),FALSE)</f>
        <v>2.7</v>
      </c>
      <c r="BH145">
        <f>VLOOKUP($A145,'UN Treasury'!$A$1:$BQ$224,_xlfn.XMATCH(BH$1,'UN Treasury'!$A$1:$BQ$1,-1,1),FALSE)</f>
        <v>2.7</v>
      </c>
      <c r="BI145">
        <f>VLOOKUP($A145,'UN Treasury'!$A$1:$BQ$224,_xlfn.XMATCH(BI$1,'UN Treasury'!$A$1:$BQ$1,-1,1),FALSE)</f>
        <v>2.7</v>
      </c>
      <c r="BJ145">
        <f>VLOOKUP($A145,'UN Treasury'!$A$1:$BQ$224,_xlfn.XMATCH(BJ$1,'UN Treasury'!$A$1:$BQ$1,-1,1),FALSE)</f>
        <v>2.7</v>
      </c>
      <c r="BK145">
        <f>VLOOKUP($A145,'UN Treasury'!$A$1:$BQ$224,_xlfn.XMATCH(BK$1,'UN Treasury'!$A$1:$BQ$1,-1,1),FALSE)</f>
        <v>2.7</v>
      </c>
      <c r="BL145">
        <f>VLOOKUP($A145,'UN Treasury'!$A$1:$BQ$224,_xlfn.XMATCH(BL$1,'UN Treasury'!$A$1:$BQ$1,-1,1),FALSE)</f>
        <v>2.7</v>
      </c>
      <c r="BM145">
        <f>VLOOKUP($A145,'UN Treasury'!$A$1:$BQ$224,_xlfn.XMATCH(BM$1,'UN Treasury'!$A$1:$BQ$1,-1,1),FALSE)</f>
        <v>2.7</v>
      </c>
      <c r="BN145">
        <f>VLOOKUP($A145,'UN Treasury'!$A$1:$BQ$224,_xlfn.XMATCH(BN$1,'UN Treasury'!$A$1:$BQ$1,-1,1),FALSE)</f>
        <v>2.7</v>
      </c>
      <c r="BO145">
        <f>VLOOKUP($A145,'UN Treasury'!$A$1:$BQ$224,_xlfn.XMATCH(BO$1,'UN Treasury'!$A$1:$BQ$1,-1,1),FALSE)</f>
        <v>2.7</v>
      </c>
      <c r="BP145">
        <f>VLOOKUP($A145,'UN Treasury'!$A$1:$BQ$224,_xlfn.XMATCH(BP$1,'UN Treasury'!$A$1:$BQ$1,-1,1),FALSE)</f>
        <v>2.7</v>
      </c>
      <c r="BQ145">
        <f>VLOOKUP($A145,'UN Treasury'!$A$1:$BQ$224,_xlfn.XMATCH(BQ$1,'UN Treasury'!$A$1:$BQ$1,-1,1),FALSE)</f>
        <v>2.7</v>
      </c>
    </row>
    <row r="146" spans="1:69" x14ac:dyDescent="0.25">
      <c r="A146" t="s">
        <v>337</v>
      </c>
      <c r="B146">
        <f>VLOOKUP($A146,'UN Treasury'!$A$1:$BQ$224,_xlfn.XMATCH(B$1,'UN Treasury'!$A$1:$BQ$1,-1,1),FALSE)</f>
        <v>1.79</v>
      </c>
      <c r="C146">
        <f>VLOOKUP($A146,'UN Treasury'!$A$1:$BQ$224,_xlfn.XMATCH(C$1,'UN Treasury'!$A$1:$BQ$1,-1,1),FALSE)</f>
        <v>1.79</v>
      </c>
      <c r="D146">
        <f>VLOOKUP($A146,'UN Treasury'!$A$1:$BQ$224,_xlfn.XMATCH(D$1,'UN Treasury'!$A$1:$BQ$1,-1,1),FALSE)</f>
        <v>1.79</v>
      </c>
      <c r="E146">
        <f>VLOOKUP($A146,'UN Treasury'!$A$1:$BQ$224,_xlfn.XMATCH(E$1,'UN Treasury'!$A$1:$BQ$1,-1,1),FALSE)</f>
        <v>1.79</v>
      </c>
      <c r="F146">
        <f>VLOOKUP($A146,'UN Treasury'!$A$1:$BQ$224,_xlfn.XMATCH(F$1,'UN Treasury'!$A$1:$BQ$1,-1,1),FALSE)</f>
        <v>1.79</v>
      </c>
      <c r="G146">
        <f>VLOOKUP($A146,'UN Treasury'!$A$1:$BQ$224,_xlfn.XMATCH(G$1,'UN Treasury'!$A$1:$BQ$1,-1,1),FALSE)</f>
        <v>1.79</v>
      </c>
      <c r="H146">
        <f>VLOOKUP($A146,'UN Treasury'!$A$1:$BQ$224,_xlfn.XMATCH(H$1,'UN Treasury'!$A$1:$BQ$1,-1,1),FALSE)</f>
        <v>1.79</v>
      </c>
      <c r="I146">
        <f>VLOOKUP($A146,'UN Treasury'!$A$1:$BQ$224,_xlfn.XMATCH(I$1,'UN Treasury'!$A$1:$BQ$1,-1,1),FALSE)</f>
        <v>1.79</v>
      </c>
      <c r="J146">
        <f>VLOOKUP($A146,'UN Treasury'!$A$1:$BQ$224,_xlfn.XMATCH(J$1,'UN Treasury'!$A$1:$BQ$1,-1,1),FALSE)</f>
        <v>1.79</v>
      </c>
      <c r="K146">
        <f>VLOOKUP($A146,'UN Treasury'!$A$1:$BQ$224,_xlfn.XMATCH(K$1,'UN Treasury'!$A$1:$BQ$1,-1,1),FALSE)</f>
        <v>1.79</v>
      </c>
      <c r="L146">
        <f>VLOOKUP($A146,'UN Treasury'!$A$1:$BQ$224,_xlfn.XMATCH(L$1,'UN Treasury'!$A$1:$BQ$1,-1,1),FALSE)</f>
        <v>1.79</v>
      </c>
      <c r="M146">
        <f>VLOOKUP($A146,'UN Treasury'!$A$1:$BQ$224,_xlfn.XMATCH(M$1,'UN Treasury'!$A$1:$BQ$1,-1,1),FALSE)</f>
        <v>1.79</v>
      </c>
      <c r="N146">
        <f>VLOOKUP($A146,'UN Treasury'!$A$1:$BQ$224,_xlfn.XMATCH(N$1,'UN Treasury'!$A$1:$BQ$1,-1,1),FALSE)</f>
        <v>1.79</v>
      </c>
      <c r="O146">
        <f>VLOOKUP($A146,'UN Treasury'!$A$1:$BQ$224,_xlfn.XMATCH(O$1,'UN Treasury'!$A$1:$BQ$1,-1,1),FALSE)</f>
        <v>1.79</v>
      </c>
      <c r="P146">
        <f>VLOOKUP($A146,'UN Treasury'!$A$1:$BQ$224,_xlfn.XMATCH(P$1,'UN Treasury'!$A$1:$BQ$1,-1,1),FALSE)</f>
        <v>1.79</v>
      </c>
      <c r="Q146">
        <f>VLOOKUP($A146,'UN Treasury'!$A$1:$BQ$224,_xlfn.XMATCH(Q$1,'UN Treasury'!$A$1:$BQ$1,-1,1),FALSE)</f>
        <v>1.79</v>
      </c>
      <c r="R146">
        <f>VLOOKUP($A146,'UN Treasury'!$A$1:$BQ$224,_xlfn.XMATCH(R$1,'UN Treasury'!$A$1:$BQ$1,-1,1),FALSE)</f>
        <v>1.79</v>
      </c>
      <c r="S146">
        <f>VLOOKUP($A146,'UN Treasury'!$A$1:$BQ$224,_xlfn.XMATCH(S$1,'UN Treasury'!$A$1:$BQ$1,-1,1),FALSE)</f>
        <v>0</v>
      </c>
      <c r="T146">
        <f>VLOOKUP($A146,'UN Treasury'!$A$1:$BQ$224,_xlfn.XMATCH(T$1,'UN Treasury'!$A$1:$BQ$1,-1,1),FALSE)</f>
        <v>0</v>
      </c>
      <c r="U146">
        <f>VLOOKUP($A146,'UN Treasury'!$A$1:$BQ$224,_xlfn.XMATCH(U$1,'UN Treasury'!$A$1:$BQ$1,-1,1),FALSE)</f>
        <v>0</v>
      </c>
      <c r="V146">
        <f>VLOOKUP($A146,'UN Treasury'!$A$1:$BQ$224,_xlfn.XMATCH(V$1,'UN Treasury'!$A$1:$BQ$1,-1,1),FALSE)</f>
        <v>0</v>
      </c>
      <c r="W146">
        <f>VLOOKUP($A146,'UN Treasury'!$A$1:$BQ$224,_xlfn.XMATCH(W$1,'UN Treasury'!$A$1:$BQ$1,-1,1),FALSE)</f>
        <v>0</v>
      </c>
      <c r="X146">
        <f>VLOOKUP($A146,'UN Treasury'!$A$1:$BQ$224,_xlfn.XMATCH(X$1,'UN Treasury'!$A$1:$BQ$1,-1,1),FALSE)</f>
        <v>0</v>
      </c>
      <c r="Y146">
        <f>VLOOKUP($A146,'UN Treasury'!$A$1:$BQ$224,_xlfn.XMATCH(Y$1,'UN Treasury'!$A$1:$BQ$1,-1,1),FALSE)</f>
        <v>0</v>
      </c>
      <c r="Z146">
        <f>VLOOKUP($A146,'UN Treasury'!$A$1:$BQ$224,_xlfn.XMATCH(Z$1,'UN Treasury'!$A$1:$BQ$1,-1,1),FALSE)</f>
        <v>0</v>
      </c>
      <c r="AA146">
        <f>VLOOKUP($A146,'UN Treasury'!$A$1:$BQ$224,_xlfn.XMATCH(AA$1,'UN Treasury'!$A$1:$BQ$1,-1,1),FALSE)</f>
        <v>0</v>
      </c>
      <c r="AB146">
        <f>VLOOKUP($A146,'UN Treasury'!$A$1:$BQ$224,_xlfn.XMATCH(AB$1,'UN Treasury'!$A$1:$BQ$1,-1,1),FALSE)</f>
        <v>0</v>
      </c>
      <c r="AC146">
        <f>VLOOKUP($A146,'UN Treasury'!$A$1:$BQ$224,_xlfn.XMATCH(AC$1,'UN Treasury'!$A$1:$BQ$1,-1,1),FALSE)</f>
        <v>0</v>
      </c>
      <c r="AD146">
        <f>VLOOKUP($A146,'UN Treasury'!$A$1:$BQ$224,_xlfn.XMATCH(AD$1,'UN Treasury'!$A$1:$BQ$1,-1,1),FALSE)</f>
        <v>0</v>
      </c>
      <c r="AE146">
        <f>VLOOKUP($A146,'UN Treasury'!$A$1:$BQ$224,_xlfn.XMATCH(AE$1,'UN Treasury'!$A$1:$BQ$1,-1,1),FALSE)</f>
        <v>0</v>
      </c>
      <c r="AF146">
        <f>VLOOKUP($A146,'UN Treasury'!$A$1:$BQ$224,_xlfn.XMATCH(AF$1,'UN Treasury'!$A$1:$BQ$1,-1,1),FALSE)</f>
        <v>0</v>
      </c>
      <c r="AG146">
        <f>VLOOKUP($A146,'UN Treasury'!$A$1:$BQ$224,_xlfn.XMATCH(AG$1,'UN Treasury'!$A$1:$BQ$1,-1,1),FALSE)</f>
        <v>0</v>
      </c>
      <c r="AH146">
        <f>VLOOKUP($A146,'UN Treasury'!$A$1:$BQ$224,_xlfn.XMATCH(AH$1,'UN Treasury'!$A$1:$BQ$1,-1,1),FALSE)</f>
        <v>0</v>
      </c>
      <c r="AI146">
        <f>VLOOKUP($A146,'UN Treasury'!$A$1:$BQ$224,_xlfn.XMATCH(AI$1,'UN Treasury'!$A$1:$BQ$1,-1,1),FALSE)</f>
        <v>0</v>
      </c>
      <c r="AJ146">
        <f>VLOOKUP($A146,'UN Treasury'!$A$1:$BQ$224,_xlfn.XMATCH(AJ$1,'UN Treasury'!$A$1:$BQ$1,-1,1),FALSE)</f>
        <v>0</v>
      </c>
      <c r="AK146">
        <f>VLOOKUP($A146,'UN Treasury'!$A$1:$BQ$224,_xlfn.XMATCH(AK$1,'UN Treasury'!$A$1:$BQ$1,-1,1),FALSE)</f>
        <v>0</v>
      </c>
      <c r="AL146">
        <f>VLOOKUP($A146,'UN Treasury'!$A$1:$BQ$224,_xlfn.XMATCH(AL$1,'UN Treasury'!$A$1:$BQ$1,-1,1),FALSE)</f>
        <v>0</v>
      </c>
      <c r="AM146">
        <f>VLOOKUP($A146,'UN Treasury'!$A$1:$BQ$224,_xlfn.XMATCH(AM$1,'UN Treasury'!$A$1:$BQ$1,-1,1),FALSE)</f>
        <v>0</v>
      </c>
      <c r="AN146">
        <f>VLOOKUP($A146,'UN Treasury'!$A$1:$BQ$224,_xlfn.XMATCH(AN$1,'UN Treasury'!$A$1:$BQ$1,-1,1),FALSE)</f>
        <v>0</v>
      </c>
      <c r="AO146">
        <f>VLOOKUP($A146,'UN Treasury'!$A$1:$BQ$224,_xlfn.XMATCH(AO$1,'UN Treasury'!$A$1:$BQ$1,-1,1),FALSE)</f>
        <v>0</v>
      </c>
      <c r="AP146">
        <f>VLOOKUP($A146,'UN Treasury'!$A$1:$BQ$224,_xlfn.XMATCH(AP$1,'UN Treasury'!$A$1:$BQ$1,-1,1),FALSE)</f>
        <v>0</v>
      </c>
      <c r="AQ146">
        <f>VLOOKUP($A146,'UN Treasury'!$A$1:$BQ$224,_xlfn.XMATCH(AQ$1,'UN Treasury'!$A$1:$BQ$1,-1,1),FALSE)</f>
        <v>0</v>
      </c>
      <c r="AR146">
        <f>VLOOKUP($A146,'UN Treasury'!$A$1:$BQ$224,_xlfn.XMATCH(AR$1,'UN Treasury'!$A$1:$BQ$1,-1,1),FALSE)</f>
        <v>0</v>
      </c>
      <c r="AS146">
        <f>VLOOKUP($A146,'UN Treasury'!$A$1:$BQ$224,_xlfn.XMATCH(AS$1,'UN Treasury'!$A$1:$BQ$1,-1,1),FALSE)</f>
        <v>0</v>
      </c>
      <c r="AT146">
        <f>VLOOKUP($A146,'UN Treasury'!$A$1:$BQ$224,_xlfn.XMATCH(AT$1,'UN Treasury'!$A$1:$BQ$1,-1,1),FALSE)</f>
        <v>0</v>
      </c>
      <c r="AU146">
        <f>VLOOKUP($A146,'UN Treasury'!$A$1:$BQ$224,_xlfn.XMATCH(AU$1,'UN Treasury'!$A$1:$BQ$1,-1,1),FALSE)</f>
        <v>0</v>
      </c>
      <c r="AV146">
        <f>VLOOKUP($A146,'UN Treasury'!$A$1:$BQ$224,_xlfn.XMATCH(AV$1,'UN Treasury'!$A$1:$BQ$1,-1,1),FALSE)</f>
        <v>0</v>
      </c>
      <c r="AW146">
        <f>VLOOKUP($A146,'UN Treasury'!$A$1:$BQ$224,_xlfn.XMATCH(AW$1,'UN Treasury'!$A$1:$BQ$1,-1,1),FALSE)</f>
        <v>0</v>
      </c>
      <c r="AX146">
        <f>VLOOKUP($A146,'UN Treasury'!$A$1:$BQ$224,_xlfn.XMATCH(AX$1,'UN Treasury'!$A$1:$BQ$1,-1,1),FALSE)</f>
        <v>0</v>
      </c>
      <c r="AY146">
        <f>VLOOKUP($A146,'UN Treasury'!$A$1:$BQ$224,_xlfn.XMATCH(AY$1,'UN Treasury'!$A$1:$BQ$1,-1,1),FALSE)</f>
        <v>0</v>
      </c>
      <c r="AZ146">
        <f>VLOOKUP($A146,'UN Treasury'!$A$1:$BQ$224,_xlfn.XMATCH(AZ$1,'UN Treasury'!$A$1:$BQ$1,-1,1),FALSE)</f>
        <v>0</v>
      </c>
      <c r="BA146">
        <f>VLOOKUP($A146,'UN Treasury'!$A$1:$BQ$224,_xlfn.XMATCH(BA$1,'UN Treasury'!$A$1:$BQ$1,-1,1),FALSE)</f>
        <v>0</v>
      </c>
      <c r="BB146">
        <f>VLOOKUP($A146,'UN Treasury'!$A$1:$BQ$224,_xlfn.XMATCH(BB$1,'UN Treasury'!$A$1:$BQ$1,-1,1),FALSE)</f>
        <v>0</v>
      </c>
      <c r="BC146">
        <f>VLOOKUP($A146,'UN Treasury'!$A$1:$BQ$224,_xlfn.XMATCH(BC$1,'UN Treasury'!$A$1:$BQ$1,-1,1),FALSE)</f>
        <v>0</v>
      </c>
      <c r="BD146">
        <f>VLOOKUP($A146,'UN Treasury'!$A$1:$BQ$224,_xlfn.XMATCH(BD$1,'UN Treasury'!$A$1:$BQ$1,-1,1),FALSE)</f>
        <v>0</v>
      </c>
      <c r="BE146">
        <f>VLOOKUP($A146,'UN Treasury'!$A$1:$BQ$224,_xlfn.XMATCH(BE$1,'UN Treasury'!$A$1:$BQ$1,-1,1),FALSE)</f>
        <v>0</v>
      </c>
      <c r="BF146">
        <f>VLOOKUP($A146,'UN Treasury'!$A$1:$BQ$224,_xlfn.XMATCH(BF$1,'UN Treasury'!$A$1:$BQ$1,-1,1),FALSE)</f>
        <v>0</v>
      </c>
      <c r="BG146">
        <f>VLOOKUP($A146,'UN Treasury'!$A$1:$BQ$224,_xlfn.XMATCH(BG$1,'UN Treasury'!$A$1:$BQ$1,-1,1),FALSE)</f>
        <v>0</v>
      </c>
      <c r="BH146">
        <f>VLOOKUP($A146,'UN Treasury'!$A$1:$BQ$224,_xlfn.XMATCH(BH$1,'UN Treasury'!$A$1:$BQ$1,-1,1),FALSE)</f>
        <v>0</v>
      </c>
      <c r="BI146">
        <f>VLOOKUP($A146,'UN Treasury'!$A$1:$BQ$224,_xlfn.XMATCH(BI$1,'UN Treasury'!$A$1:$BQ$1,-1,1),FALSE)</f>
        <v>0</v>
      </c>
      <c r="BJ146">
        <f>VLOOKUP($A146,'UN Treasury'!$A$1:$BQ$224,_xlfn.XMATCH(BJ$1,'UN Treasury'!$A$1:$BQ$1,-1,1),FALSE)</f>
        <v>0</v>
      </c>
      <c r="BK146">
        <f>VLOOKUP($A146,'UN Treasury'!$A$1:$BQ$224,_xlfn.XMATCH(BK$1,'UN Treasury'!$A$1:$BQ$1,-1,1),FALSE)</f>
        <v>0</v>
      </c>
      <c r="BL146">
        <f>VLOOKUP($A146,'UN Treasury'!$A$1:$BQ$224,_xlfn.XMATCH(BL$1,'UN Treasury'!$A$1:$BQ$1,-1,1),FALSE)</f>
        <v>0</v>
      </c>
      <c r="BM146">
        <f>VLOOKUP($A146,'UN Treasury'!$A$1:$BQ$224,_xlfn.XMATCH(BM$1,'UN Treasury'!$A$1:$BQ$1,-1,1),FALSE)</f>
        <v>0</v>
      </c>
      <c r="BN146">
        <f>VLOOKUP($A146,'UN Treasury'!$A$1:$BQ$224,_xlfn.XMATCH(BN$1,'UN Treasury'!$A$1:$BQ$1,-1,1),FALSE)</f>
        <v>0</v>
      </c>
      <c r="BO146">
        <f>VLOOKUP($A146,'UN Treasury'!$A$1:$BQ$224,_xlfn.XMATCH(BO$1,'UN Treasury'!$A$1:$BQ$1,-1,1),FALSE)</f>
        <v>0</v>
      </c>
      <c r="BP146">
        <f>VLOOKUP($A146,'UN Treasury'!$A$1:$BQ$224,_xlfn.XMATCH(BP$1,'UN Treasury'!$A$1:$BQ$1,-1,1),FALSE)</f>
        <v>0</v>
      </c>
      <c r="BQ146">
        <f>VLOOKUP($A146,'UN Treasury'!$A$1:$BQ$224,_xlfn.XMATCH(BQ$1,'UN Treasury'!$A$1:$BQ$1,-1,1),FALSE)</f>
        <v>0</v>
      </c>
    </row>
    <row r="147" spans="1:69" x14ac:dyDescent="0.25">
      <c r="A147" t="s">
        <v>66</v>
      </c>
      <c r="B147">
        <f>VLOOKUP($A147,'UN Treasury'!$A$1:$BQ$224,_xlfn.XMATCH(B$1,'UN Treasury'!$A$1:$BQ$1,-1,1),FALSE)</f>
        <v>568.51900000000001</v>
      </c>
      <c r="C147">
        <f>VLOOKUP($A147,'UN Treasury'!$A$1:$BQ$224,_xlfn.XMATCH(C$1,'UN Treasury'!$A$1:$BQ$1,-1,1),FALSE)</f>
        <v>574.04100000000005</v>
      </c>
      <c r="D147">
        <f>VLOOKUP($A147,'UN Treasury'!$A$1:$BQ$224,_xlfn.XMATCH(D$1,'UN Treasury'!$A$1:$BQ$1,-1,1),FALSE)</f>
        <v>569.30799999999999</v>
      </c>
      <c r="E147">
        <f>VLOOKUP($A147,'UN Treasury'!$A$1:$BQ$224,_xlfn.XMATCH(E$1,'UN Treasury'!$A$1:$BQ$1,-1,1),FALSE)</f>
        <v>560.16800000000001</v>
      </c>
      <c r="F147">
        <f>VLOOKUP($A147,'UN Treasury'!$A$1:$BQ$224,_xlfn.XMATCH(F$1,'UN Treasury'!$A$1:$BQ$1,-1,1),FALSE)</f>
        <v>560.16800000000001</v>
      </c>
      <c r="G147">
        <f>VLOOKUP($A147,'UN Treasury'!$A$1:$BQ$224,_xlfn.XMATCH(G$1,'UN Treasury'!$A$1:$BQ$1,-1,1),FALSE)</f>
        <v>568.81500000000005</v>
      </c>
      <c r="H147">
        <f>VLOOKUP($A147,'UN Treasury'!$A$1:$BQ$224,_xlfn.XMATCH(H$1,'UN Treasury'!$A$1:$BQ$1,-1,1),FALSE)</f>
        <v>551.87400000000002</v>
      </c>
      <c r="I147">
        <f>VLOOKUP($A147,'UN Treasury'!$A$1:$BQ$224,_xlfn.XMATCH(I$1,'UN Treasury'!$A$1:$BQ$1,-1,1),FALSE)</f>
        <v>563.053</v>
      </c>
      <c r="J147">
        <f>VLOOKUP($A147,'UN Treasury'!$A$1:$BQ$224,_xlfn.XMATCH(J$1,'UN Treasury'!$A$1:$BQ$1,-1,1),FALSE)</f>
        <v>558.59400000000005</v>
      </c>
      <c r="K147">
        <f>VLOOKUP($A147,'UN Treasury'!$A$1:$BQ$224,_xlfn.XMATCH(K$1,'UN Treasury'!$A$1:$BQ$1,-1,1),FALSE)</f>
        <v>567.24099999999999</v>
      </c>
      <c r="L147">
        <f>VLOOKUP($A147,'UN Treasury'!$A$1:$BQ$224,_xlfn.XMATCH(L$1,'UN Treasury'!$A$1:$BQ$1,-1,1),FALSE)</f>
        <v>567.24099999999999</v>
      </c>
      <c r="M147">
        <f>VLOOKUP($A147,'UN Treasury'!$A$1:$BQ$224,_xlfn.XMATCH(M$1,'UN Treasury'!$A$1:$BQ$1,-1,1),FALSE)</f>
        <v>559.30799999999999</v>
      </c>
      <c r="N147">
        <f>VLOOKUP($A147,'UN Treasury'!$A$1:$BQ$224,_xlfn.XMATCH(N$1,'UN Treasury'!$A$1:$BQ$1,-1,1),FALSE)</f>
        <v>560.55100000000004</v>
      </c>
      <c r="O147">
        <f>VLOOKUP($A147,'UN Treasury'!$A$1:$BQ$224,_xlfn.XMATCH(O$1,'UN Treasury'!$A$1:$BQ$1,-1,1),FALSE)</f>
        <v>561.17499999999995</v>
      </c>
      <c r="P147">
        <f>VLOOKUP($A147,'UN Treasury'!$A$1:$BQ$224,_xlfn.XMATCH(P$1,'UN Treasury'!$A$1:$BQ$1,-1,1),FALSE)</f>
        <v>571.98900000000003</v>
      </c>
      <c r="Q147">
        <f>VLOOKUP($A147,'UN Treasury'!$A$1:$BQ$224,_xlfn.XMATCH(Q$1,'UN Treasury'!$A$1:$BQ$1,-1,1),FALSE)</f>
        <v>588.46100000000001</v>
      </c>
      <c r="R147">
        <f>VLOOKUP($A147,'UN Treasury'!$A$1:$BQ$224,_xlfn.XMATCH(R$1,'UN Treasury'!$A$1:$BQ$1,-1,1),FALSE)</f>
        <v>577.32500000000005</v>
      </c>
      <c r="S147">
        <f>VLOOKUP($A147,'UN Treasury'!$A$1:$BQ$224,_xlfn.XMATCH(S$1,'UN Treasury'!$A$1:$BQ$1,-1,1),FALSE)</f>
        <v>602.40300000000002</v>
      </c>
      <c r="T147">
        <f>VLOOKUP($A147,'UN Treasury'!$A$1:$BQ$224,_xlfn.XMATCH(T$1,'UN Treasury'!$A$1:$BQ$1,-1,1),FALSE)</f>
        <v>634.08100000000002</v>
      </c>
      <c r="U147">
        <f>VLOOKUP($A147,'UN Treasury'!$A$1:$BQ$224,_xlfn.XMATCH(U$1,'UN Treasury'!$A$1:$BQ$1,-1,1),FALSE)</f>
        <v>642.654</v>
      </c>
      <c r="V147">
        <f>VLOOKUP($A147,'UN Treasury'!$A$1:$BQ$224,_xlfn.XMATCH(V$1,'UN Treasury'!$A$1:$BQ$1,-1,1),FALSE)</f>
        <v>624.84</v>
      </c>
      <c r="W147">
        <f>VLOOKUP($A147,'UN Treasury'!$A$1:$BQ$224,_xlfn.XMATCH(W$1,'UN Treasury'!$A$1:$BQ$1,-1,1),FALSE)</f>
        <v>618.59400000000005</v>
      </c>
      <c r="X147">
        <f>VLOOKUP($A147,'UN Treasury'!$A$1:$BQ$224,_xlfn.XMATCH(X$1,'UN Treasury'!$A$1:$BQ$1,-1,1),FALSE)</f>
        <v>599.65</v>
      </c>
      <c r="Y147">
        <f>VLOOKUP($A147,'UN Treasury'!$A$1:$BQ$224,_xlfn.XMATCH(Y$1,'UN Treasury'!$A$1:$BQ$1,-1,1),FALSE)</f>
        <v>595.35</v>
      </c>
      <c r="Z147">
        <f>VLOOKUP($A147,'UN Treasury'!$A$1:$BQ$224,_xlfn.XMATCH(Z$1,'UN Treasury'!$A$1:$BQ$1,-1,1),FALSE)</f>
        <v>598.71900000000005</v>
      </c>
      <c r="AA147">
        <f>VLOOKUP($A147,'UN Treasury'!$A$1:$BQ$224,_xlfn.XMATCH(AA$1,'UN Treasury'!$A$1:$BQ$1,-1,1),FALSE)</f>
        <v>602.45899999999995</v>
      </c>
      <c r="AB147">
        <f>VLOOKUP($A147,'UN Treasury'!$A$1:$BQ$224,_xlfn.XMATCH(AB$1,'UN Treasury'!$A$1:$BQ$1,-1,1),FALSE)</f>
        <v>605.46199999999999</v>
      </c>
      <c r="AC147">
        <f>VLOOKUP($A147,'UN Treasury'!$A$1:$BQ$224,_xlfn.XMATCH(AC$1,'UN Treasury'!$A$1:$BQ$1,-1,1),FALSE)</f>
        <v>607.14300000000003</v>
      </c>
      <c r="AD147">
        <f>VLOOKUP($A147,'UN Treasury'!$A$1:$BQ$224,_xlfn.XMATCH(AD$1,'UN Treasury'!$A$1:$BQ$1,-1,1),FALSE)</f>
        <v>611.15899999999999</v>
      </c>
      <c r="AE147">
        <f>VLOOKUP($A147,'UN Treasury'!$A$1:$BQ$224,_xlfn.XMATCH(AE$1,'UN Treasury'!$A$1:$BQ$1,-1,1),FALSE)</f>
        <v>599.65</v>
      </c>
      <c r="AF147">
        <f>VLOOKUP($A147,'UN Treasury'!$A$1:$BQ$224,_xlfn.XMATCH(AF$1,'UN Treasury'!$A$1:$BQ$1,-1,1),FALSE)</f>
        <v>611.72900000000004</v>
      </c>
      <c r="AG147">
        <f>VLOOKUP($A147,'UN Treasury'!$A$1:$BQ$224,_xlfn.XMATCH(AG$1,'UN Treasury'!$A$1:$BQ$1,-1,1),FALSE)</f>
        <v>598.88300000000004</v>
      </c>
      <c r="AH147">
        <f>VLOOKUP($A147,'UN Treasury'!$A$1:$BQ$224,_xlfn.XMATCH(AH$1,'UN Treasury'!$A$1:$BQ$1,-1,1),FALSE)</f>
        <v>607.98699999999997</v>
      </c>
      <c r="AI147">
        <f>VLOOKUP($A147,'UN Treasury'!$A$1:$BQ$224,_xlfn.XMATCH(AI$1,'UN Treasury'!$A$1:$BQ$1,-1,1),FALSE)</f>
        <v>614.71</v>
      </c>
      <c r="AJ147">
        <f>VLOOKUP($A147,'UN Treasury'!$A$1:$BQ$224,_xlfn.XMATCH(AJ$1,'UN Treasury'!$A$1:$BQ$1,-1,1),FALSE)</f>
        <v>617.13900000000001</v>
      </c>
      <c r="AK147">
        <f>VLOOKUP($A147,'UN Treasury'!$A$1:$BQ$224,_xlfn.XMATCH(AK$1,'UN Treasury'!$A$1:$BQ$1,-1,1),FALSE)</f>
        <v>610.64700000000005</v>
      </c>
      <c r="AL147">
        <f>VLOOKUP($A147,'UN Treasury'!$A$1:$BQ$224,_xlfn.XMATCH(AL$1,'UN Treasury'!$A$1:$BQ$1,-1,1),FALSE)</f>
        <v>598.61</v>
      </c>
      <c r="AM147">
        <f>VLOOKUP($A147,'UN Treasury'!$A$1:$BQ$224,_xlfn.XMATCH(AM$1,'UN Treasury'!$A$1:$BQ$1,-1,1),FALSE)</f>
        <v>591.43200000000002</v>
      </c>
      <c r="AN147">
        <f>VLOOKUP($A147,'UN Treasury'!$A$1:$BQ$224,_xlfn.XMATCH(AN$1,'UN Treasury'!$A$1:$BQ$1,-1,1),FALSE)</f>
        <v>608.26900000000001</v>
      </c>
      <c r="AO147">
        <f>VLOOKUP($A147,'UN Treasury'!$A$1:$BQ$224,_xlfn.XMATCH(AO$1,'UN Treasury'!$A$1:$BQ$1,-1,1),FALSE)</f>
        <v>601.24400000000003</v>
      </c>
      <c r="AP147">
        <f>VLOOKUP($A147,'UN Treasury'!$A$1:$BQ$224,_xlfn.XMATCH(AP$1,'UN Treasury'!$A$1:$BQ$1,-1,1),FALSE)</f>
        <v>597.46500000000003</v>
      </c>
      <c r="AQ147">
        <f>VLOOKUP($A147,'UN Treasury'!$A$1:$BQ$224,_xlfn.XMATCH(AQ$1,'UN Treasury'!$A$1:$BQ$1,-1,1),FALSE)</f>
        <v>612.47199999999998</v>
      </c>
      <c r="AR147">
        <f>VLOOKUP($A147,'UN Treasury'!$A$1:$BQ$224,_xlfn.XMATCH(AR$1,'UN Treasury'!$A$1:$BQ$1,-1,1),FALSE)</f>
        <v>612.12900000000002</v>
      </c>
      <c r="AS147">
        <f>VLOOKUP($A147,'UN Treasury'!$A$1:$BQ$224,_xlfn.XMATCH(AS$1,'UN Treasury'!$A$1:$BQ$1,-1,1),FALSE)</f>
        <v>609.28599999999994</v>
      </c>
      <c r="AT147">
        <f>VLOOKUP($A147,'UN Treasury'!$A$1:$BQ$224,_xlfn.XMATCH(AT$1,'UN Treasury'!$A$1:$BQ$1,-1,1),FALSE)</f>
        <v>615.40200000000004</v>
      </c>
      <c r="AU147">
        <f>VLOOKUP($A147,'UN Treasury'!$A$1:$BQ$224,_xlfn.XMATCH(AU$1,'UN Treasury'!$A$1:$BQ$1,-1,1),FALSE)</f>
        <v>637.65599999999995</v>
      </c>
      <c r="AV147">
        <f>VLOOKUP($A147,'UN Treasury'!$A$1:$BQ$224,_xlfn.XMATCH(AV$1,'UN Treasury'!$A$1:$BQ$1,-1,1),FALSE)</f>
        <v>676.73299999999995</v>
      </c>
      <c r="AW147">
        <f>VLOOKUP($A147,'UN Treasury'!$A$1:$BQ$224,_xlfn.XMATCH(AW$1,'UN Treasury'!$A$1:$BQ$1,-1,1),FALSE)</f>
        <v>653.79899999999998</v>
      </c>
      <c r="AX147">
        <f>VLOOKUP($A147,'UN Treasury'!$A$1:$BQ$224,_xlfn.XMATCH(AX$1,'UN Treasury'!$A$1:$BQ$1,-1,1),FALSE)</f>
        <v>633.22400000000005</v>
      </c>
      <c r="AY147">
        <f>VLOOKUP($A147,'UN Treasury'!$A$1:$BQ$224,_xlfn.XMATCH(AY$1,'UN Treasury'!$A$1:$BQ$1,-1,1),FALSE)</f>
        <v>653.40899999999999</v>
      </c>
      <c r="AZ147">
        <f>VLOOKUP($A147,'UN Treasury'!$A$1:$BQ$224,_xlfn.XMATCH(AZ$1,'UN Treasury'!$A$1:$BQ$1,-1,1),FALSE)</f>
        <v>628.13099999999997</v>
      </c>
      <c r="BA147">
        <f>VLOOKUP($A147,'UN Treasury'!$A$1:$BQ$224,_xlfn.XMATCH(BA$1,'UN Treasury'!$A$1:$BQ$1,-1,1),FALSE)</f>
        <v>621.34799999999996</v>
      </c>
      <c r="BB147">
        <f>VLOOKUP($A147,'UN Treasury'!$A$1:$BQ$224,_xlfn.XMATCH(BB$1,'UN Treasury'!$A$1:$BQ$1,-1,1),FALSE)</f>
        <v>603.34500000000003</v>
      </c>
      <c r="BC147">
        <f>VLOOKUP($A147,'UN Treasury'!$A$1:$BQ$224,_xlfn.XMATCH(BC$1,'UN Treasury'!$A$1:$BQ$1,-1,1),FALSE)</f>
        <v>598.61</v>
      </c>
      <c r="BD147">
        <f>VLOOKUP($A147,'UN Treasury'!$A$1:$BQ$224,_xlfn.XMATCH(BD$1,'UN Treasury'!$A$1:$BQ$1,-1,1),FALSE)</f>
        <v>575.70399999999995</v>
      </c>
      <c r="BE147">
        <f>VLOOKUP($A147,'UN Treasury'!$A$1:$BQ$224,_xlfn.XMATCH(BE$1,'UN Treasury'!$A$1:$BQ$1,-1,1),FALSE)</f>
        <v>574.49400000000003</v>
      </c>
      <c r="BF147">
        <f>VLOOKUP($A147,'UN Treasury'!$A$1:$BQ$224,_xlfn.XMATCH(BF$1,'UN Treasury'!$A$1:$BQ$1,-1,1),FALSE)</f>
        <v>582.19299999999998</v>
      </c>
      <c r="BG147">
        <f>VLOOKUP($A147,'UN Treasury'!$A$1:$BQ$224,_xlfn.XMATCH(BG$1,'UN Treasury'!$A$1:$BQ$1,-1,1),FALSE)</f>
        <v>572.08900000000006</v>
      </c>
      <c r="BH147">
        <f>VLOOKUP($A147,'UN Treasury'!$A$1:$BQ$224,_xlfn.XMATCH(BH$1,'UN Treasury'!$A$1:$BQ$1,-1,1),FALSE)</f>
        <v>563.97299999999996</v>
      </c>
      <c r="BI147">
        <f>VLOOKUP($A147,'UN Treasury'!$A$1:$BQ$224,_xlfn.XMATCH(BI$1,'UN Treasury'!$A$1:$BQ$1,-1,1),FALSE)</f>
        <v>555.89599999999996</v>
      </c>
      <c r="BJ147">
        <f>VLOOKUP($A147,'UN Treasury'!$A$1:$BQ$224,_xlfn.XMATCH(BJ$1,'UN Treasury'!$A$1:$BQ$1,-1,1),FALSE)</f>
        <v>551.73400000000004</v>
      </c>
      <c r="BK147">
        <f>VLOOKUP($A147,'UN Treasury'!$A$1:$BQ$224,_xlfn.XMATCH(BK$1,'UN Treasury'!$A$1:$BQ$1,-1,1),FALSE)</f>
        <v>549.88400000000001</v>
      </c>
      <c r="BL147">
        <f>VLOOKUP($A147,'UN Treasury'!$A$1:$BQ$224,_xlfn.XMATCH(BL$1,'UN Treasury'!$A$1:$BQ$1,-1,1),FALSE)</f>
        <v>537.71400000000006</v>
      </c>
      <c r="BM147">
        <f>VLOOKUP($A147,'UN Treasury'!$A$1:$BQ$224,_xlfn.XMATCH(BM$1,'UN Treasury'!$A$1:$BQ$1,-1,1),FALSE)</f>
        <v>541.84500000000003</v>
      </c>
      <c r="BN147">
        <f>VLOOKUP($A147,'UN Treasury'!$A$1:$BQ$224,_xlfn.XMATCH(BN$1,'UN Treasury'!$A$1:$BQ$1,-1,1),FALSE)</f>
        <v>559.69000000000005</v>
      </c>
      <c r="BO147">
        <f>VLOOKUP($A147,'UN Treasury'!$A$1:$BQ$224,_xlfn.XMATCH(BO$1,'UN Treasury'!$A$1:$BQ$1,-1,1),FALSE)</f>
        <v>549.24</v>
      </c>
      <c r="BP147">
        <f>VLOOKUP($A147,'UN Treasury'!$A$1:$BQ$224,_xlfn.XMATCH(BP$1,'UN Treasury'!$A$1:$BQ$1,-1,1),FALSE)</f>
        <v>540.46100000000001</v>
      </c>
      <c r="BQ147">
        <f>VLOOKUP($A147,'UN Treasury'!$A$1:$BQ$224,_xlfn.XMATCH(BQ$1,'UN Treasury'!$A$1:$BQ$1,-1,1),FALSE)</f>
        <v>539.26099999999997</v>
      </c>
    </row>
    <row r="148" spans="1:69" x14ac:dyDescent="0.25">
      <c r="A148" t="s">
        <v>247</v>
      </c>
      <c r="B148">
        <f>VLOOKUP($A148,'UN Treasury'!$A$1:$BQ$224,_xlfn.XMATCH(B$1,'UN Treasury'!$A$1:$BQ$1,-1,1),FALSE)</f>
        <v>103.425</v>
      </c>
      <c r="C148">
        <f>VLOOKUP($A148,'UN Treasury'!$A$1:$BQ$224,_xlfn.XMATCH(C$1,'UN Treasury'!$A$1:$BQ$1,-1,1),FALSE)</f>
        <v>104.43</v>
      </c>
      <c r="D148">
        <f>VLOOKUP($A148,'UN Treasury'!$A$1:$BQ$224,_xlfn.XMATCH(D$1,'UN Treasury'!$A$1:$BQ$1,-1,1),FALSE)</f>
        <v>103.569</v>
      </c>
      <c r="E148">
        <f>VLOOKUP($A148,'UN Treasury'!$A$1:$BQ$224,_xlfn.XMATCH(E$1,'UN Treasury'!$A$1:$BQ$1,-1,1),FALSE)</f>
        <v>101.90600000000001</v>
      </c>
      <c r="F148">
        <f>VLOOKUP($A148,'UN Treasury'!$A$1:$BQ$224,_xlfn.XMATCH(F$1,'UN Treasury'!$A$1:$BQ$1,-1,1),FALSE)</f>
        <v>101.90600000000001</v>
      </c>
      <c r="G148">
        <f>VLOOKUP($A148,'UN Treasury'!$A$1:$BQ$224,_xlfn.XMATCH(G$1,'UN Treasury'!$A$1:$BQ$1,-1,1),FALSE)</f>
        <v>103.479</v>
      </c>
      <c r="H148">
        <f>VLOOKUP($A148,'UN Treasury'!$A$1:$BQ$224,_xlfn.XMATCH(H$1,'UN Treasury'!$A$1:$BQ$1,-1,1),FALSE)</f>
        <v>100.39700000000001</v>
      </c>
      <c r="I148">
        <f>VLOOKUP($A148,'UN Treasury'!$A$1:$BQ$224,_xlfn.XMATCH(I$1,'UN Treasury'!$A$1:$BQ$1,-1,1),FALSE)</f>
        <v>102.431</v>
      </c>
      <c r="J148">
        <f>VLOOKUP($A148,'UN Treasury'!$A$1:$BQ$224,_xlfn.XMATCH(J$1,'UN Treasury'!$A$1:$BQ$1,-1,1),FALSE)</f>
        <v>101.62</v>
      </c>
      <c r="K148">
        <f>VLOOKUP($A148,'UN Treasury'!$A$1:$BQ$224,_xlfn.XMATCH(K$1,'UN Treasury'!$A$1:$BQ$1,-1,1),FALSE)</f>
        <v>103.193</v>
      </c>
      <c r="L148">
        <f>VLOOKUP($A148,'UN Treasury'!$A$1:$BQ$224,_xlfn.XMATCH(L$1,'UN Treasury'!$A$1:$BQ$1,-1,1),FALSE)</f>
        <v>103.193</v>
      </c>
      <c r="M148">
        <f>VLOOKUP($A148,'UN Treasury'!$A$1:$BQ$224,_xlfn.XMATCH(M$1,'UN Treasury'!$A$1:$BQ$1,-1,1),FALSE)</f>
        <v>101.75</v>
      </c>
      <c r="N148">
        <f>VLOOKUP($A148,'UN Treasury'!$A$1:$BQ$224,_xlfn.XMATCH(N$1,'UN Treasury'!$A$1:$BQ$1,-1,1),FALSE)</f>
        <v>101.976</v>
      </c>
      <c r="O148">
        <f>VLOOKUP($A148,'UN Treasury'!$A$1:$BQ$224,_xlfn.XMATCH(O$1,'UN Treasury'!$A$1:$BQ$1,-1,1),FALSE)</f>
        <v>102.089</v>
      </c>
      <c r="P148">
        <f>VLOOKUP($A148,'UN Treasury'!$A$1:$BQ$224,_xlfn.XMATCH(P$1,'UN Treasury'!$A$1:$BQ$1,-1,1),FALSE)</f>
        <v>104.057</v>
      </c>
      <c r="Q148">
        <f>VLOOKUP($A148,'UN Treasury'!$A$1:$BQ$224,_xlfn.XMATCH(Q$1,'UN Treasury'!$A$1:$BQ$1,-1,1),FALSE)</f>
        <v>107.053</v>
      </c>
      <c r="R148">
        <f>VLOOKUP($A148,'UN Treasury'!$A$1:$BQ$224,_xlfn.XMATCH(R$1,'UN Treasury'!$A$1:$BQ$1,-1,1),FALSE)</f>
        <v>105.027</v>
      </c>
      <c r="S148">
        <f>VLOOKUP($A148,'UN Treasury'!$A$1:$BQ$224,_xlfn.XMATCH(S$1,'UN Treasury'!$A$1:$BQ$1,-1,1),FALSE)</f>
        <v>109.589</v>
      </c>
      <c r="T148">
        <f>VLOOKUP($A148,'UN Treasury'!$A$1:$BQ$224,_xlfn.XMATCH(T$1,'UN Treasury'!$A$1:$BQ$1,-1,1),FALSE)</f>
        <v>115.352</v>
      </c>
      <c r="U148">
        <f>VLOOKUP($A148,'UN Treasury'!$A$1:$BQ$224,_xlfn.XMATCH(U$1,'UN Treasury'!$A$1:$BQ$1,-1,1),FALSE)</f>
        <v>116.91200000000001</v>
      </c>
      <c r="V148">
        <f>VLOOKUP($A148,'UN Treasury'!$A$1:$BQ$224,_xlfn.XMATCH(V$1,'UN Treasury'!$A$1:$BQ$1,-1,1),FALSE)</f>
        <v>113.67100000000001</v>
      </c>
      <c r="W148">
        <f>VLOOKUP($A148,'UN Treasury'!$A$1:$BQ$224,_xlfn.XMATCH(W$1,'UN Treasury'!$A$1:$BQ$1,-1,1),FALSE)</f>
        <v>112.535</v>
      </c>
      <c r="X148">
        <f>VLOOKUP($A148,'UN Treasury'!$A$1:$BQ$224,_xlfn.XMATCH(X$1,'UN Treasury'!$A$1:$BQ$1,-1,1),FALSE)</f>
        <v>109.089</v>
      </c>
      <c r="Y148">
        <f>VLOOKUP($A148,'UN Treasury'!$A$1:$BQ$224,_xlfn.XMATCH(Y$1,'UN Treasury'!$A$1:$BQ$1,-1,1),FALSE)</f>
        <v>108.306</v>
      </c>
      <c r="Z148">
        <f>VLOOKUP($A148,'UN Treasury'!$A$1:$BQ$224,_xlfn.XMATCH(Z$1,'UN Treasury'!$A$1:$BQ$1,-1,1),FALSE)</f>
        <v>108.919</v>
      </c>
      <c r="AA148">
        <f>VLOOKUP($A148,'UN Treasury'!$A$1:$BQ$224,_xlfn.XMATCH(AA$1,'UN Treasury'!$A$1:$BQ$1,-1,1),FALSE)</f>
        <v>109.6</v>
      </c>
      <c r="AB148">
        <f>VLOOKUP($A148,'UN Treasury'!$A$1:$BQ$224,_xlfn.XMATCH(AB$1,'UN Treasury'!$A$1:$BQ$1,-1,1),FALSE)</f>
        <v>110.146</v>
      </c>
      <c r="AC148">
        <f>VLOOKUP($A148,'UN Treasury'!$A$1:$BQ$224,_xlfn.XMATCH(AC$1,'UN Treasury'!$A$1:$BQ$1,-1,1),FALSE)</f>
        <v>110.452</v>
      </c>
      <c r="AD148">
        <f>VLOOKUP($A148,'UN Treasury'!$A$1:$BQ$224,_xlfn.XMATCH(AD$1,'UN Treasury'!$A$1:$BQ$1,-1,1),FALSE)</f>
        <v>111.182</v>
      </c>
      <c r="AE148">
        <f>VLOOKUP($A148,'UN Treasury'!$A$1:$BQ$224,_xlfn.XMATCH(AE$1,'UN Treasury'!$A$1:$BQ$1,-1,1),FALSE)</f>
        <v>109.089</v>
      </c>
      <c r="AF148">
        <f>VLOOKUP($A148,'UN Treasury'!$A$1:$BQ$224,_xlfn.XMATCH(AF$1,'UN Treasury'!$A$1:$BQ$1,-1,1),FALSE)</f>
        <v>111.286</v>
      </c>
      <c r="AG148">
        <f>VLOOKUP($A148,'UN Treasury'!$A$1:$BQ$224,_xlfn.XMATCH(AG$1,'UN Treasury'!$A$1:$BQ$1,-1,1),FALSE)</f>
        <v>108.949</v>
      </c>
      <c r="AH148">
        <f>VLOOKUP($A148,'UN Treasury'!$A$1:$BQ$224,_xlfn.XMATCH(AH$1,'UN Treasury'!$A$1:$BQ$1,-1,1),FALSE)</f>
        <v>110.605</v>
      </c>
      <c r="AI148">
        <f>VLOOKUP($A148,'UN Treasury'!$A$1:$BQ$224,_xlfn.XMATCH(AI$1,'UN Treasury'!$A$1:$BQ$1,-1,1),FALSE)</f>
        <v>111.828</v>
      </c>
      <c r="AJ148">
        <f>VLOOKUP($A148,'UN Treasury'!$A$1:$BQ$224,_xlfn.XMATCH(AJ$1,'UN Treasury'!$A$1:$BQ$1,-1,1),FALSE)</f>
        <v>112.27</v>
      </c>
      <c r="AK148">
        <f>VLOOKUP($A148,'UN Treasury'!$A$1:$BQ$224,_xlfn.XMATCH(AK$1,'UN Treasury'!$A$1:$BQ$1,-1,1),FALSE)</f>
        <v>111.089</v>
      </c>
      <c r="AL148">
        <f>VLOOKUP($A148,'UN Treasury'!$A$1:$BQ$224,_xlfn.XMATCH(AL$1,'UN Treasury'!$A$1:$BQ$1,-1,1),FALSE)</f>
        <v>108.899</v>
      </c>
      <c r="AM148">
        <f>VLOOKUP($A148,'UN Treasury'!$A$1:$BQ$224,_xlfn.XMATCH(AM$1,'UN Treasury'!$A$1:$BQ$1,-1,1),FALSE)</f>
        <v>107.59399999999999</v>
      </c>
      <c r="AN148">
        <f>VLOOKUP($A148,'UN Treasury'!$A$1:$BQ$224,_xlfn.XMATCH(AN$1,'UN Treasury'!$A$1:$BQ$1,-1,1),FALSE)</f>
        <v>110.657</v>
      </c>
      <c r="AO148">
        <f>VLOOKUP($A148,'UN Treasury'!$A$1:$BQ$224,_xlfn.XMATCH(AO$1,'UN Treasury'!$A$1:$BQ$1,-1,1),FALSE)</f>
        <v>109.379</v>
      </c>
      <c r="AP148">
        <f>VLOOKUP($A148,'UN Treasury'!$A$1:$BQ$224,_xlfn.XMATCH(AP$1,'UN Treasury'!$A$1:$BQ$1,-1,1),FALSE)</f>
        <v>108.691</v>
      </c>
      <c r="AQ148">
        <f>VLOOKUP($A148,'UN Treasury'!$A$1:$BQ$224,_xlfn.XMATCH(AQ$1,'UN Treasury'!$A$1:$BQ$1,-1,1),FALSE)</f>
        <v>111.42100000000001</v>
      </c>
      <c r="AR148">
        <f>VLOOKUP($A148,'UN Treasury'!$A$1:$BQ$224,_xlfn.XMATCH(AR$1,'UN Treasury'!$A$1:$BQ$1,-1,1),FALSE)</f>
        <v>111.35899999999999</v>
      </c>
      <c r="AS148">
        <f>VLOOKUP($A148,'UN Treasury'!$A$1:$BQ$224,_xlfn.XMATCH(AS$1,'UN Treasury'!$A$1:$BQ$1,-1,1),FALSE)</f>
        <v>110.842</v>
      </c>
      <c r="AT148">
        <f>VLOOKUP($A148,'UN Treasury'!$A$1:$BQ$224,_xlfn.XMATCH(AT$1,'UN Treasury'!$A$1:$BQ$1,-1,1),FALSE)</f>
        <v>111.95399999999999</v>
      </c>
      <c r="AU148">
        <f>VLOOKUP($A148,'UN Treasury'!$A$1:$BQ$224,_xlfn.XMATCH(AU$1,'UN Treasury'!$A$1:$BQ$1,-1,1),FALSE)</f>
        <v>116.003</v>
      </c>
      <c r="AV148">
        <f>VLOOKUP($A148,'UN Treasury'!$A$1:$BQ$224,_xlfn.XMATCH(AV$1,'UN Treasury'!$A$1:$BQ$1,-1,1),FALSE)</f>
        <v>123.11199999999999</v>
      </c>
      <c r="AW148">
        <f>VLOOKUP($A148,'UN Treasury'!$A$1:$BQ$224,_xlfn.XMATCH(AW$1,'UN Treasury'!$A$1:$BQ$1,-1,1),FALSE)</f>
        <v>118.93899999999999</v>
      </c>
      <c r="AX148">
        <f>VLOOKUP($A148,'UN Treasury'!$A$1:$BQ$224,_xlfn.XMATCH(AX$1,'UN Treasury'!$A$1:$BQ$1,-1,1),FALSE)</f>
        <v>115.196</v>
      </c>
      <c r="AY148">
        <f>VLOOKUP($A148,'UN Treasury'!$A$1:$BQ$224,_xlfn.XMATCH(AY$1,'UN Treasury'!$A$1:$BQ$1,-1,1),FALSE)</f>
        <v>118.86799999999999</v>
      </c>
      <c r="AZ148">
        <f>VLOOKUP($A148,'UN Treasury'!$A$1:$BQ$224,_xlfn.XMATCH(AZ$1,'UN Treasury'!$A$1:$BQ$1,-1,1),FALSE)</f>
        <v>114.27</v>
      </c>
      <c r="BA148">
        <f>VLOOKUP($A148,'UN Treasury'!$A$1:$BQ$224,_xlfn.XMATCH(BA$1,'UN Treasury'!$A$1:$BQ$1,-1,1),FALSE)</f>
        <v>113.036</v>
      </c>
      <c r="BB148">
        <f>VLOOKUP($A148,'UN Treasury'!$A$1:$BQ$224,_xlfn.XMATCH(BB$1,'UN Treasury'!$A$1:$BQ$1,-1,1),FALSE)</f>
        <v>109.761</v>
      </c>
      <c r="BC148">
        <f>VLOOKUP($A148,'UN Treasury'!$A$1:$BQ$224,_xlfn.XMATCH(BC$1,'UN Treasury'!$A$1:$BQ$1,-1,1),FALSE)</f>
        <v>108.899</v>
      </c>
      <c r="BD148">
        <f>VLOOKUP($A148,'UN Treasury'!$A$1:$BQ$224,_xlfn.XMATCH(BD$1,'UN Treasury'!$A$1:$BQ$1,-1,1),FALSE)</f>
        <v>104.732</v>
      </c>
      <c r="BE148">
        <f>VLOOKUP($A148,'UN Treasury'!$A$1:$BQ$224,_xlfn.XMATCH(BE$1,'UN Treasury'!$A$1:$BQ$1,-1,1),FALSE)</f>
        <v>104.512</v>
      </c>
      <c r="BF148">
        <f>VLOOKUP($A148,'UN Treasury'!$A$1:$BQ$224,_xlfn.XMATCH(BF$1,'UN Treasury'!$A$1:$BQ$1,-1,1),FALSE)</f>
        <v>105.913</v>
      </c>
      <c r="BG148">
        <f>VLOOKUP($A148,'UN Treasury'!$A$1:$BQ$224,_xlfn.XMATCH(BG$1,'UN Treasury'!$A$1:$BQ$1,-1,1),FALSE)</f>
        <v>104.075</v>
      </c>
      <c r="BH148">
        <f>VLOOKUP($A148,'UN Treasury'!$A$1:$BQ$224,_xlfn.XMATCH(BH$1,'UN Treasury'!$A$1:$BQ$1,-1,1),FALSE)</f>
        <v>102.598</v>
      </c>
      <c r="BI148">
        <f>VLOOKUP($A148,'UN Treasury'!$A$1:$BQ$224,_xlfn.XMATCH(BI$1,'UN Treasury'!$A$1:$BQ$1,-1,1),FALSE)</f>
        <v>101.129</v>
      </c>
      <c r="BJ148">
        <f>VLOOKUP($A148,'UN Treasury'!$A$1:$BQ$224,_xlfn.XMATCH(BJ$1,'UN Treasury'!$A$1:$BQ$1,-1,1),FALSE)</f>
        <v>100.372</v>
      </c>
      <c r="BK148">
        <f>VLOOKUP($A148,'UN Treasury'!$A$1:$BQ$224,_xlfn.XMATCH(BK$1,'UN Treasury'!$A$1:$BQ$1,-1,1),FALSE)</f>
        <v>100.035</v>
      </c>
      <c r="BL148">
        <f>VLOOKUP($A148,'UN Treasury'!$A$1:$BQ$224,_xlfn.XMATCH(BL$1,'UN Treasury'!$A$1:$BQ$1,-1,1),FALSE)</f>
        <v>97.820999999999998</v>
      </c>
      <c r="BM148">
        <f>VLOOKUP($A148,'UN Treasury'!$A$1:$BQ$224,_xlfn.XMATCH(BM$1,'UN Treasury'!$A$1:$BQ$1,-1,1),FALSE)</f>
        <v>98.572999999999993</v>
      </c>
      <c r="BN148">
        <f>VLOOKUP($A148,'UN Treasury'!$A$1:$BQ$224,_xlfn.XMATCH(BN$1,'UN Treasury'!$A$1:$BQ$1,-1,1),FALSE)</f>
        <v>101.819</v>
      </c>
      <c r="BO148">
        <f>VLOOKUP($A148,'UN Treasury'!$A$1:$BQ$224,_xlfn.XMATCH(BO$1,'UN Treasury'!$A$1:$BQ$1,-1,1),FALSE)</f>
        <v>99.918000000000006</v>
      </c>
      <c r="BP148">
        <f>VLOOKUP($A148,'UN Treasury'!$A$1:$BQ$224,_xlfn.XMATCH(BP$1,'UN Treasury'!$A$1:$BQ$1,-1,1),FALSE)</f>
        <v>98.320999999999998</v>
      </c>
      <c r="BQ148">
        <f>VLOOKUP($A148,'UN Treasury'!$A$1:$BQ$224,_xlfn.XMATCH(BQ$1,'UN Treasury'!$A$1:$BQ$1,-1,1),FALSE)</f>
        <v>98.102999999999994</v>
      </c>
    </row>
    <row r="149" spans="1:69" x14ac:dyDescent="0.25">
      <c r="A149" t="s">
        <v>309</v>
      </c>
      <c r="B149">
        <f>VLOOKUP($A149,'UN Treasury'!$A$1:$BQ$224,_xlfn.XMATCH(B$1,'UN Treasury'!$A$1:$BQ$1,-1,1),FALSE)</f>
        <v>526.26</v>
      </c>
      <c r="C149">
        <f>VLOOKUP($A149,'UN Treasury'!$A$1:$BQ$224,_xlfn.XMATCH(C$1,'UN Treasury'!$A$1:$BQ$1,-1,1),FALSE)</f>
        <v>526.26</v>
      </c>
      <c r="D149">
        <f>VLOOKUP($A149,'UN Treasury'!$A$1:$BQ$224,_xlfn.XMATCH(D$1,'UN Treasury'!$A$1:$BQ$1,-1,1),FALSE)</f>
        <v>526.26</v>
      </c>
      <c r="E149">
        <f>VLOOKUP($A149,'UN Treasury'!$A$1:$BQ$224,_xlfn.XMATCH(E$1,'UN Treasury'!$A$1:$BQ$1,-1,1),FALSE)</f>
        <v>526.26</v>
      </c>
      <c r="F149">
        <f>VLOOKUP($A149,'UN Treasury'!$A$1:$BQ$224,_xlfn.XMATCH(F$1,'UN Treasury'!$A$1:$BQ$1,-1,1),FALSE)</f>
        <v>526.26</v>
      </c>
      <c r="G149">
        <f>VLOOKUP($A149,'UN Treasury'!$A$1:$BQ$224,_xlfn.XMATCH(G$1,'UN Treasury'!$A$1:$BQ$1,-1,1),FALSE)</f>
        <v>526.26</v>
      </c>
      <c r="H149">
        <f>VLOOKUP($A149,'UN Treasury'!$A$1:$BQ$224,_xlfn.XMATCH(H$1,'UN Treasury'!$A$1:$BQ$1,-1,1),FALSE)</f>
        <v>529.00300000000004</v>
      </c>
      <c r="I149">
        <f>VLOOKUP($A149,'UN Treasury'!$A$1:$BQ$224,_xlfn.XMATCH(I$1,'UN Treasury'!$A$1:$BQ$1,-1,1),FALSE)</f>
        <v>529.73</v>
      </c>
      <c r="J149">
        <f>VLOOKUP($A149,'UN Treasury'!$A$1:$BQ$224,_xlfn.XMATCH(J$1,'UN Treasury'!$A$1:$BQ$1,-1,1),FALSE)</f>
        <v>529.73</v>
      </c>
      <c r="K149">
        <f>VLOOKUP($A149,'UN Treasury'!$A$1:$BQ$224,_xlfn.XMATCH(K$1,'UN Treasury'!$A$1:$BQ$1,-1,1),FALSE)</f>
        <v>529.73</v>
      </c>
      <c r="L149">
        <f>VLOOKUP($A149,'UN Treasury'!$A$1:$BQ$224,_xlfn.XMATCH(L$1,'UN Treasury'!$A$1:$BQ$1,-1,1),FALSE)</f>
        <v>529.73</v>
      </c>
      <c r="M149">
        <f>VLOOKUP($A149,'UN Treasury'!$A$1:$BQ$224,_xlfn.XMATCH(M$1,'UN Treasury'!$A$1:$BQ$1,-1,1),FALSE)</f>
        <v>529.73</v>
      </c>
      <c r="N149">
        <f>VLOOKUP($A149,'UN Treasury'!$A$1:$BQ$224,_xlfn.XMATCH(N$1,'UN Treasury'!$A$1:$BQ$1,-1,1),FALSE)</f>
        <v>529.73</v>
      </c>
      <c r="O149">
        <f>VLOOKUP($A149,'UN Treasury'!$A$1:$BQ$224,_xlfn.XMATCH(O$1,'UN Treasury'!$A$1:$BQ$1,-1,1),FALSE)</f>
        <v>529.73</v>
      </c>
      <c r="P149">
        <f>VLOOKUP($A149,'UN Treasury'!$A$1:$BQ$224,_xlfn.XMATCH(P$1,'UN Treasury'!$A$1:$BQ$1,-1,1),FALSE)</f>
        <v>529.73</v>
      </c>
      <c r="Q149">
        <f>VLOOKUP($A149,'UN Treasury'!$A$1:$BQ$224,_xlfn.XMATCH(Q$1,'UN Treasury'!$A$1:$BQ$1,-1,1),FALSE)</f>
        <v>529.72799999999995</v>
      </c>
      <c r="R149">
        <f>VLOOKUP($A149,'UN Treasury'!$A$1:$BQ$224,_xlfn.XMATCH(R$1,'UN Treasury'!$A$1:$BQ$1,-1,1),FALSE)</f>
        <v>529.73</v>
      </c>
      <c r="S149">
        <f>VLOOKUP($A149,'UN Treasury'!$A$1:$BQ$224,_xlfn.XMATCH(S$1,'UN Treasury'!$A$1:$BQ$1,-1,1),FALSE)</f>
        <v>529.73</v>
      </c>
      <c r="T149">
        <f>VLOOKUP($A149,'UN Treasury'!$A$1:$BQ$224,_xlfn.XMATCH(T$1,'UN Treasury'!$A$1:$BQ$1,-1,1),FALSE)</f>
        <v>529.73</v>
      </c>
      <c r="U149">
        <f>VLOOKUP($A149,'UN Treasury'!$A$1:$BQ$224,_xlfn.XMATCH(U$1,'UN Treasury'!$A$1:$BQ$1,-1,1),FALSE)</f>
        <v>529.73</v>
      </c>
      <c r="V149">
        <f>VLOOKUP($A149,'UN Treasury'!$A$1:$BQ$224,_xlfn.XMATCH(V$1,'UN Treasury'!$A$1:$BQ$1,-1,1),FALSE)</f>
        <v>528.74</v>
      </c>
      <c r="W149">
        <f>VLOOKUP($A149,'UN Treasury'!$A$1:$BQ$224,_xlfn.XMATCH(W$1,'UN Treasury'!$A$1:$BQ$1,-1,1),FALSE)</f>
        <v>521.27</v>
      </c>
      <c r="X149">
        <f>VLOOKUP($A149,'UN Treasury'!$A$1:$BQ$224,_xlfn.XMATCH(X$1,'UN Treasury'!$A$1:$BQ$1,-1,1),FALSE)</f>
        <v>522.34</v>
      </c>
      <c r="Y149">
        <f>VLOOKUP($A149,'UN Treasury'!$A$1:$BQ$224,_xlfn.XMATCH(Y$1,'UN Treasury'!$A$1:$BQ$1,-1,1),FALSE)</f>
        <v>523.23</v>
      </c>
      <c r="Z149">
        <f>VLOOKUP($A149,'UN Treasury'!$A$1:$BQ$224,_xlfn.XMATCH(Z$1,'UN Treasury'!$A$1:$BQ$1,-1,1),FALSE)</f>
        <v>523.72</v>
      </c>
      <c r="AA149">
        <f>VLOOKUP($A149,'UN Treasury'!$A$1:$BQ$224,_xlfn.XMATCH(AA$1,'UN Treasury'!$A$1:$BQ$1,-1,1),FALSE)</f>
        <v>524.29999999999995</v>
      </c>
      <c r="AB149">
        <f>VLOOKUP($A149,'UN Treasury'!$A$1:$BQ$224,_xlfn.XMATCH(AB$1,'UN Treasury'!$A$1:$BQ$1,-1,1),FALSE)</f>
        <v>520.38</v>
      </c>
      <c r="AC149">
        <f>VLOOKUP($A149,'UN Treasury'!$A$1:$BQ$224,_xlfn.XMATCH(AC$1,'UN Treasury'!$A$1:$BQ$1,-1,1),FALSE)</f>
        <v>520.38</v>
      </c>
      <c r="AD149">
        <f>VLOOKUP($A149,'UN Treasury'!$A$1:$BQ$224,_xlfn.XMATCH(AD$1,'UN Treasury'!$A$1:$BQ$1,-1,1),FALSE)</f>
        <v>519.4</v>
      </c>
      <c r="AE149">
        <f>VLOOKUP($A149,'UN Treasury'!$A$1:$BQ$224,_xlfn.XMATCH(AE$1,'UN Treasury'!$A$1:$BQ$1,-1,1),FALSE)</f>
        <v>513.52</v>
      </c>
      <c r="AF149">
        <f>VLOOKUP($A149,'UN Treasury'!$A$1:$BQ$224,_xlfn.XMATCH(AF$1,'UN Treasury'!$A$1:$BQ$1,-1,1),FALSE)</f>
        <v>514.99</v>
      </c>
      <c r="AG149">
        <f>VLOOKUP($A149,'UN Treasury'!$A$1:$BQ$224,_xlfn.XMATCH(AG$1,'UN Treasury'!$A$1:$BQ$1,-1,1),FALSE)</f>
        <v>514.5</v>
      </c>
      <c r="AH149">
        <f>VLOOKUP($A149,'UN Treasury'!$A$1:$BQ$224,_xlfn.XMATCH(AH$1,'UN Treasury'!$A$1:$BQ$1,-1,1),FALSE)</f>
        <v>516.95000000000005</v>
      </c>
      <c r="AI149">
        <f>VLOOKUP($A149,'UN Treasury'!$A$1:$BQ$224,_xlfn.XMATCH(AI$1,'UN Treasury'!$A$1:$BQ$1,-1,1),FALSE)</f>
        <v>516.95000000000005</v>
      </c>
      <c r="AJ149">
        <f>VLOOKUP($A149,'UN Treasury'!$A$1:$BQ$224,_xlfn.XMATCH(AJ$1,'UN Treasury'!$A$1:$BQ$1,-1,1),FALSE)</f>
        <v>508.62</v>
      </c>
      <c r="AK149">
        <f>VLOOKUP($A149,'UN Treasury'!$A$1:$BQ$224,_xlfn.XMATCH(AK$1,'UN Treasury'!$A$1:$BQ$1,-1,1),FALSE)</f>
        <v>517.44000000000005</v>
      </c>
      <c r="AL149">
        <f>VLOOKUP($A149,'UN Treasury'!$A$1:$BQ$224,_xlfn.XMATCH(AL$1,'UN Treasury'!$A$1:$BQ$1,-1,1),FALSE)</f>
        <v>512.16</v>
      </c>
      <c r="AM149">
        <f>VLOOKUP($A149,'UN Treasury'!$A$1:$BQ$224,_xlfn.XMATCH(AM$1,'UN Treasury'!$A$1:$BQ$1,-1,1),FALSE)</f>
        <v>511.68</v>
      </c>
      <c r="AN149">
        <f>VLOOKUP($A149,'UN Treasury'!$A$1:$BQ$224,_xlfn.XMATCH(AN$1,'UN Treasury'!$A$1:$BQ$1,-1,1),FALSE)</f>
        <v>511.19</v>
      </c>
      <c r="AO149">
        <f>VLOOKUP($A149,'UN Treasury'!$A$1:$BQ$224,_xlfn.XMATCH(AO$1,'UN Treasury'!$A$1:$BQ$1,-1,1),FALSE)</f>
        <v>528.16999999999996</v>
      </c>
      <c r="AP149">
        <f>VLOOKUP($A149,'UN Treasury'!$A$1:$BQ$224,_xlfn.XMATCH(AP$1,'UN Treasury'!$A$1:$BQ$1,-1,1),FALSE)</f>
        <v>528.16999999999996</v>
      </c>
      <c r="AQ149">
        <f>VLOOKUP($A149,'UN Treasury'!$A$1:$BQ$224,_xlfn.XMATCH(AQ$1,'UN Treasury'!$A$1:$BQ$1,-1,1),FALSE)</f>
        <v>528.16999999999996</v>
      </c>
      <c r="AR149">
        <f>VLOOKUP($A149,'UN Treasury'!$A$1:$BQ$224,_xlfn.XMATCH(AR$1,'UN Treasury'!$A$1:$BQ$1,-1,1),FALSE)</f>
        <v>530.59</v>
      </c>
      <c r="AS149">
        <f>VLOOKUP($A149,'UN Treasury'!$A$1:$BQ$224,_xlfn.XMATCH(AS$1,'UN Treasury'!$A$1:$BQ$1,-1,1),FALSE)</f>
        <v>542.23</v>
      </c>
      <c r="AT149">
        <f>VLOOKUP($A149,'UN Treasury'!$A$1:$BQ$224,_xlfn.XMATCH(AT$1,'UN Treasury'!$A$1:$BQ$1,-1,1),FALSE)</f>
        <v>541.75</v>
      </c>
      <c r="AU149">
        <f>VLOOKUP($A149,'UN Treasury'!$A$1:$BQ$224,_xlfn.XMATCH(AU$1,'UN Treasury'!$A$1:$BQ$1,-1,1),FALSE)</f>
        <v>542.23</v>
      </c>
      <c r="AV149">
        <f>VLOOKUP($A149,'UN Treasury'!$A$1:$BQ$224,_xlfn.XMATCH(AV$1,'UN Treasury'!$A$1:$BQ$1,-1,1),FALSE)</f>
        <v>542.23</v>
      </c>
      <c r="AW149">
        <f>VLOOKUP($A149,'UN Treasury'!$A$1:$BQ$224,_xlfn.XMATCH(AW$1,'UN Treasury'!$A$1:$BQ$1,-1,1),FALSE)</f>
        <v>541.75</v>
      </c>
      <c r="AX149">
        <f>VLOOKUP($A149,'UN Treasury'!$A$1:$BQ$224,_xlfn.XMATCH(AX$1,'UN Treasury'!$A$1:$BQ$1,-1,1),FALSE)</f>
        <v>541.75</v>
      </c>
      <c r="AY149">
        <f>VLOOKUP($A149,'UN Treasury'!$A$1:$BQ$224,_xlfn.XMATCH(AY$1,'UN Treasury'!$A$1:$BQ$1,-1,1),FALSE)</f>
        <v>541.26</v>
      </c>
      <c r="AZ149">
        <f>VLOOKUP($A149,'UN Treasury'!$A$1:$BQ$224,_xlfn.XMATCH(AZ$1,'UN Treasury'!$A$1:$BQ$1,-1,1),FALSE)</f>
        <v>540.78</v>
      </c>
      <c r="BA149">
        <f>VLOOKUP($A149,'UN Treasury'!$A$1:$BQ$224,_xlfn.XMATCH(BA$1,'UN Treasury'!$A$1:$BQ$1,-1,1),FALSE)</f>
        <v>541.26</v>
      </c>
      <c r="BB149">
        <f>VLOOKUP($A149,'UN Treasury'!$A$1:$BQ$224,_xlfn.XMATCH(BB$1,'UN Treasury'!$A$1:$BQ$1,-1,1),FALSE)</f>
        <v>568.48</v>
      </c>
      <c r="BC149">
        <f>VLOOKUP($A149,'UN Treasury'!$A$1:$BQ$224,_xlfn.XMATCH(BC$1,'UN Treasury'!$A$1:$BQ$1,-1,1),FALSE)</f>
        <v>583.94000000000005</v>
      </c>
      <c r="BD149">
        <f>VLOOKUP($A149,'UN Treasury'!$A$1:$BQ$224,_xlfn.XMATCH(BD$1,'UN Treasury'!$A$1:$BQ$1,-1,1),FALSE)</f>
        <v>582.97</v>
      </c>
      <c r="BE149">
        <f>VLOOKUP($A149,'UN Treasury'!$A$1:$BQ$224,_xlfn.XMATCH(BE$1,'UN Treasury'!$A$1:$BQ$1,-1,1),FALSE)</f>
        <v>583.46</v>
      </c>
      <c r="BF149">
        <f>VLOOKUP($A149,'UN Treasury'!$A$1:$BQ$224,_xlfn.XMATCH(BF$1,'UN Treasury'!$A$1:$BQ$1,-1,1),FALSE)</f>
        <v>582.97</v>
      </c>
      <c r="BG149">
        <f>VLOOKUP($A149,'UN Treasury'!$A$1:$BQ$224,_xlfn.XMATCH(BG$1,'UN Treasury'!$A$1:$BQ$1,-1,1),FALSE)</f>
        <v>582</v>
      </c>
      <c r="BH149">
        <f>VLOOKUP($A149,'UN Treasury'!$A$1:$BQ$224,_xlfn.XMATCH(BH$1,'UN Treasury'!$A$1:$BQ$1,-1,1),FALSE)</f>
        <v>582</v>
      </c>
      <c r="BI149">
        <f>VLOOKUP($A149,'UN Treasury'!$A$1:$BQ$224,_xlfn.XMATCH(BI$1,'UN Treasury'!$A$1:$BQ$1,-1,1),FALSE)</f>
        <v>581.03</v>
      </c>
      <c r="BJ149">
        <f>VLOOKUP($A149,'UN Treasury'!$A$1:$BQ$224,_xlfn.XMATCH(BJ$1,'UN Treasury'!$A$1:$BQ$1,-1,1),FALSE)</f>
        <v>579.09</v>
      </c>
      <c r="BK149">
        <f>VLOOKUP($A149,'UN Treasury'!$A$1:$BQ$224,_xlfn.XMATCH(BK$1,'UN Treasury'!$A$1:$BQ$1,-1,1),FALSE)</f>
        <v>579.09</v>
      </c>
      <c r="BL149">
        <f>VLOOKUP($A149,'UN Treasury'!$A$1:$BQ$224,_xlfn.XMATCH(BL$1,'UN Treasury'!$A$1:$BQ$1,-1,1),FALSE)</f>
        <v>578.12</v>
      </c>
      <c r="BM149">
        <f>VLOOKUP($A149,'UN Treasury'!$A$1:$BQ$224,_xlfn.XMATCH(BM$1,'UN Treasury'!$A$1:$BQ$1,-1,1),FALSE)</f>
        <v>579.09</v>
      </c>
      <c r="BN149">
        <f>VLOOKUP($A149,'UN Treasury'!$A$1:$BQ$224,_xlfn.XMATCH(BN$1,'UN Treasury'!$A$1:$BQ$1,-1,1),FALSE)</f>
        <v>581.03</v>
      </c>
      <c r="BO149">
        <f>VLOOKUP($A149,'UN Treasury'!$A$1:$BQ$224,_xlfn.XMATCH(BO$1,'UN Treasury'!$A$1:$BQ$1,-1,1),FALSE)</f>
        <v>580.05999999999995</v>
      </c>
      <c r="BP149">
        <f>VLOOKUP($A149,'UN Treasury'!$A$1:$BQ$224,_xlfn.XMATCH(BP$1,'UN Treasury'!$A$1:$BQ$1,-1,1),FALSE)</f>
        <v>575.21</v>
      </c>
      <c r="BQ149">
        <f>VLOOKUP($A149,'UN Treasury'!$A$1:$BQ$224,_xlfn.XMATCH(BQ$1,'UN Treasury'!$A$1:$BQ$1,-1,1),FALSE)</f>
        <v>582.49</v>
      </c>
    </row>
    <row r="150" spans="1:69" x14ac:dyDescent="0.25">
      <c r="A150" t="s">
        <v>308</v>
      </c>
      <c r="B150">
        <f>VLOOKUP($A150,'UN Treasury'!$A$1:$BQ$224,_xlfn.XMATCH(B$1,'UN Treasury'!$A$1:$BQ$1,-1,1),FALSE)</f>
        <v>16.131</v>
      </c>
      <c r="C150">
        <f>VLOOKUP($A150,'UN Treasury'!$A$1:$BQ$224,_xlfn.XMATCH(C$1,'UN Treasury'!$A$1:$BQ$1,-1,1),FALSE)</f>
        <v>16.356000000000002</v>
      </c>
      <c r="D150">
        <f>VLOOKUP($A150,'UN Treasury'!$A$1:$BQ$224,_xlfn.XMATCH(D$1,'UN Treasury'!$A$1:$BQ$1,-1,1),FALSE)</f>
        <v>16.521999999999998</v>
      </c>
      <c r="E150">
        <f>VLOOKUP($A150,'UN Treasury'!$A$1:$BQ$224,_xlfn.XMATCH(E$1,'UN Treasury'!$A$1:$BQ$1,-1,1),FALSE)</f>
        <v>16.457000000000001</v>
      </c>
      <c r="F150">
        <f>VLOOKUP($A150,'UN Treasury'!$A$1:$BQ$224,_xlfn.XMATCH(F$1,'UN Treasury'!$A$1:$BQ$1,-1,1),FALSE)</f>
        <v>16.501000000000001</v>
      </c>
      <c r="G150">
        <f>VLOOKUP($A150,'UN Treasury'!$A$1:$BQ$224,_xlfn.XMATCH(G$1,'UN Treasury'!$A$1:$BQ$1,-1,1),FALSE)</f>
        <v>16.675000000000001</v>
      </c>
      <c r="H150">
        <f>VLOOKUP($A150,'UN Treasury'!$A$1:$BQ$224,_xlfn.XMATCH(H$1,'UN Treasury'!$A$1:$BQ$1,-1,1),FALSE)</f>
        <v>15.827</v>
      </c>
      <c r="I150">
        <f>VLOOKUP($A150,'UN Treasury'!$A$1:$BQ$224,_xlfn.XMATCH(I$1,'UN Treasury'!$A$1:$BQ$1,-1,1),FALSE)</f>
        <v>16.433</v>
      </c>
      <c r="J150">
        <f>VLOOKUP($A150,'UN Treasury'!$A$1:$BQ$224,_xlfn.XMATCH(J$1,'UN Treasury'!$A$1:$BQ$1,-1,1),FALSE)</f>
        <v>16.890999999999998</v>
      </c>
      <c r="K150">
        <f>VLOOKUP($A150,'UN Treasury'!$A$1:$BQ$224,_xlfn.XMATCH(K$1,'UN Treasury'!$A$1:$BQ$1,-1,1),FALSE)</f>
        <v>17.085999999999999</v>
      </c>
      <c r="L150">
        <f>VLOOKUP($A150,'UN Treasury'!$A$1:$BQ$224,_xlfn.XMATCH(L$1,'UN Treasury'!$A$1:$BQ$1,-1,1),FALSE)</f>
        <v>17.312000000000001</v>
      </c>
      <c r="M150">
        <f>VLOOKUP($A150,'UN Treasury'!$A$1:$BQ$224,_xlfn.XMATCH(M$1,'UN Treasury'!$A$1:$BQ$1,-1,1),FALSE)</f>
        <v>17.445</v>
      </c>
      <c r="N150">
        <f>VLOOKUP($A150,'UN Treasury'!$A$1:$BQ$224,_xlfn.XMATCH(N$1,'UN Treasury'!$A$1:$BQ$1,-1,1),FALSE)</f>
        <v>17.523</v>
      </c>
      <c r="O150">
        <f>VLOOKUP($A150,'UN Treasury'!$A$1:$BQ$224,_xlfn.XMATCH(O$1,'UN Treasury'!$A$1:$BQ$1,-1,1),FALSE)</f>
        <v>17.911999999999999</v>
      </c>
      <c r="P150">
        <f>VLOOKUP($A150,'UN Treasury'!$A$1:$BQ$224,_xlfn.XMATCH(P$1,'UN Treasury'!$A$1:$BQ$1,-1,1),FALSE)</f>
        <v>17.712</v>
      </c>
      <c r="Q150">
        <f>VLOOKUP($A150,'UN Treasury'!$A$1:$BQ$224,_xlfn.XMATCH(Q$1,'UN Treasury'!$A$1:$BQ$1,-1,1),FALSE)</f>
        <v>18.420999999999999</v>
      </c>
      <c r="R150">
        <f>VLOOKUP($A150,'UN Treasury'!$A$1:$BQ$224,_xlfn.XMATCH(R$1,'UN Treasury'!$A$1:$BQ$1,-1,1),FALSE)</f>
        <v>19.183</v>
      </c>
      <c r="S150">
        <f>VLOOKUP($A150,'UN Treasury'!$A$1:$BQ$224,_xlfn.XMATCH(S$1,'UN Treasury'!$A$1:$BQ$1,-1,1),FALSE)</f>
        <v>18.373999999999999</v>
      </c>
      <c r="T150">
        <f>VLOOKUP($A150,'UN Treasury'!$A$1:$BQ$224,_xlfn.XMATCH(T$1,'UN Treasury'!$A$1:$BQ$1,-1,1),FALSE)</f>
        <v>18.533000000000001</v>
      </c>
      <c r="U150">
        <f>VLOOKUP($A150,'UN Treasury'!$A$1:$BQ$224,_xlfn.XMATCH(U$1,'UN Treasury'!$A$1:$BQ$1,-1,1),FALSE)</f>
        <v>19.071999999999999</v>
      </c>
      <c r="V150">
        <f>VLOOKUP($A150,'UN Treasury'!$A$1:$BQ$224,_xlfn.XMATCH(V$1,'UN Treasury'!$A$1:$BQ$1,-1,1),FALSE)</f>
        <v>17.757000000000001</v>
      </c>
      <c r="W150">
        <f>VLOOKUP($A150,'UN Treasury'!$A$1:$BQ$224,_xlfn.XMATCH(W$1,'UN Treasury'!$A$1:$BQ$1,-1,1),FALSE)</f>
        <v>18.071000000000002</v>
      </c>
      <c r="X150">
        <f>VLOOKUP($A150,'UN Treasury'!$A$1:$BQ$224,_xlfn.XMATCH(X$1,'UN Treasury'!$A$1:$BQ$1,-1,1),FALSE)</f>
        <v>17.463000000000001</v>
      </c>
      <c r="Y150">
        <f>VLOOKUP($A150,'UN Treasury'!$A$1:$BQ$224,_xlfn.XMATCH(Y$1,'UN Treasury'!$A$1:$BQ$1,-1,1),FALSE)</f>
        <v>17.931999999999999</v>
      </c>
      <c r="Z150">
        <f>VLOOKUP($A150,'UN Treasury'!$A$1:$BQ$224,_xlfn.XMATCH(Z$1,'UN Treasury'!$A$1:$BQ$1,-1,1),FALSE)</f>
        <v>18.149999999999999</v>
      </c>
      <c r="AA150">
        <f>VLOOKUP($A150,'UN Treasury'!$A$1:$BQ$224,_xlfn.XMATCH(AA$1,'UN Treasury'!$A$1:$BQ$1,-1,1),FALSE)</f>
        <v>17.96</v>
      </c>
      <c r="AB150">
        <f>VLOOKUP($A150,'UN Treasury'!$A$1:$BQ$224,_xlfn.XMATCH(AB$1,'UN Treasury'!$A$1:$BQ$1,-1,1),FALSE)</f>
        <v>18.466999999999999</v>
      </c>
      <c r="AC150">
        <f>VLOOKUP($A150,'UN Treasury'!$A$1:$BQ$224,_xlfn.XMATCH(AC$1,'UN Treasury'!$A$1:$BQ$1,-1,1),FALSE)</f>
        <v>18.298999999999999</v>
      </c>
      <c r="AD150">
        <f>VLOOKUP($A150,'UN Treasury'!$A$1:$BQ$224,_xlfn.XMATCH(AD$1,'UN Treasury'!$A$1:$BQ$1,-1,1),FALSE)</f>
        <v>18.733000000000001</v>
      </c>
      <c r="AE150">
        <f>VLOOKUP($A150,'UN Treasury'!$A$1:$BQ$224,_xlfn.XMATCH(AE$1,'UN Treasury'!$A$1:$BQ$1,-1,1),FALSE)</f>
        <v>18.64</v>
      </c>
      <c r="AF150">
        <f>VLOOKUP($A150,'UN Treasury'!$A$1:$BQ$224,_xlfn.XMATCH(AF$1,'UN Treasury'!$A$1:$BQ$1,-1,1),FALSE)</f>
        <v>19.055</v>
      </c>
      <c r="AG150">
        <f>VLOOKUP($A150,'UN Treasury'!$A$1:$BQ$224,_xlfn.XMATCH(AG$1,'UN Treasury'!$A$1:$BQ$1,-1,1),FALSE)</f>
        <v>18.649999999999999</v>
      </c>
      <c r="AH150">
        <f>VLOOKUP($A150,'UN Treasury'!$A$1:$BQ$224,_xlfn.XMATCH(AH$1,'UN Treasury'!$A$1:$BQ$1,-1,1),FALSE)</f>
        <v>19.035</v>
      </c>
      <c r="AI150">
        <f>VLOOKUP($A150,'UN Treasury'!$A$1:$BQ$224,_xlfn.XMATCH(AI$1,'UN Treasury'!$A$1:$BQ$1,-1,1),FALSE)</f>
        <v>18.785</v>
      </c>
      <c r="AJ150">
        <f>VLOOKUP($A150,'UN Treasury'!$A$1:$BQ$224,_xlfn.XMATCH(AJ$1,'UN Treasury'!$A$1:$BQ$1,-1,1),FALSE)</f>
        <v>18.826000000000001</v>
      </c>
      <c r="AK150">
        <f>VLOOKUP($A150,'UN Treasury'!$A$1:$BQ$224,_xlfn.XMATCH(AK$1,'UN Treasury'!$A$1:$BQ$1,-1,1),FALSE)</f>
        <v>18.824000000000002</v>
      </c>
      <c r="AL150">
        <f>VLOOKUP($A150,'UN Treasury'!$A$1:$BQ$224,_xlfn.XMATCH(AL$1,'UN Treasury'!$A$1:$BQ$1,-1,1),FALSE)</f>
        <v>18.925999999999998</v>
      </c>
      <c r="AM150">
        <f>VLOOKUP($A150,'UN Treasury'!$A$1:$BQ$224,_xlfn.XMATCH(AM$1,'UN Treasury'!$A$1:$BQ$1,-1,1),FALSE)</f>
        <v>18.244</v>
      </c>
      <c r="AN150">
        <f>VLOOKUP($A150,'UN Treasury'!$A$1:$BQ$224,_xlfn.XMATCH(AN$1,'UN Treasury'!$A$1:$BQ$1,-1,1),FALSE)</f>
        <v>18.591999999999999</v>
      </c>
      <c r="AO150">
        <f>VLOOKUP($A150,'UN Treasury'!$A$1:$BQ$224,_xlfn.XMATCH(AO$1,'UN Treasury'!$A$1:$BQ$1,-1,1),FALSE)</f>
        <v>19.242000000000001</v>
      </c>
      <c r="AP150">
        <f>VLOOKUP($A150,'UN Treasury'!$A$1:$BQ$224,_xlfn.XMATCH(AP$1,'UN Treasury'!$A$1:$BQ$1,-1,1),FALSE)</f>
        <v>18.363</v>
      </c>
      <c r="AQ150">
        <f>VLOOKUP($A150,'UN Treasury'!$A$1:$BQ$224,_xlfn.XMATCH(AQ$1,'UN Treasury'!$A$1:$BQ$1,-1,1),FALSE)</f>
        <v>18.198</v>
      </c>
      <c r="AR150">
        <f>VLOOKUP($A150,'UN Treasury'!$A$1:$BQ$224,_xlfn.XMATCH(AR$1,'UN Treasury'!$A$1:$BQ$1,-1,1),FALSE)</f>
        <v>17.84</v>
      </c>
      <c r="AS150">
        <f>VLOOKUP($A150,'UN Treasury'!$A$1:$BQ$224,_xlfn.XMATCH(AS$1,'UN Treasury'!$A$1:$BQ$1,-1,1),FALSE)</f>
        <v>16.960999999999999</v>
      </c>
      <c r="AT150">
        <f>VLOOKUP($A150,'UN Treasury'!$A$1:$BQ$224,_xlfn.XMATCH(AT$1,'UN Treasury'!$A$1:$BQ$1,-1,1),FALSE)</f>
        <v>17.350999999999999</v>
      </c>
      <c r="AU150">
        <f>VLOOKUP($A150,'UN Treasury'!$A$1:$BQ$224,_xlfn.XMATCH(AU$1,'UN Treasury'!$A$1:$BQ$1,-1,1),FALSE)</f>
        <v>17.285</v>
      </c>
      <c r="AV150">
        <f>VLOOKUP($A150,'UN Treasury'!$A$1:$BQ$224,_xlfn.XMATCH(AV$1,'UN Treasury'!$A$1:$BQ$1,-1,1),FALSE)</f>
        <v>18.266999999999999</v>
      </c>
      <c r="AW150">
        <f>VLOOKUP($A150,'UN Treasury'!$A$1:$BQ$224,_xlfn.XMATCH(AW$1,'UN Treasury'!$A$1:$BQ$1,-1,1),FALSE)</f>
        <v>17.346</v>
      </c>
      <c r="AX150">
        <f>VLOOKUP($A150,'UN Treasury'!$A$1:$BQ$224,_xlfn.XMATCH(AX$1,'UN Treasury'!$A$1:$BQ$1,-1,1),FALSE)</f>
        <v>16.141999999999999</v>
      </c>
      <c r="AY150">
        <f>VLOOKUP($A150,'UN Treasury'!$A$1:$BQ$224,_xlfn.XMATCH(AY$1,'UN Treasury'!$A$1:$BQ$1,-1,1),FALSE)</f>
        <v>16.997</v>
      </c>
      <c r="AZ150">
        <f>VLOOKUP($A150,'UN Treasury'!$A$1:$BQ$224,_xlfn.XMATCH(AZ$1,'UN Treasury'!$A$1:$BQ$1,-1,1),FALSE)</f>
        <v>16.134</v>
      </c>
      <c r="BA150">
        <f>VLOOKUP($A150,'UN Treasury'!$A$1:$BQ$224,_xlfn.XMATCH(BA$1,'UN Treasury'!$A$1:$BQ$1,-1,1),FALSE)</f>
        <v>16.058</v>
      </c>
      <c r="BB150">
        <f>VLOOKUP($A150,'UN Treasury'!$A$1:$BQ$224,_xlfn.XMATCH(BB$1,'UN Treasury'!$A$1:$BQ$1,-1,1),FALSE)</f>
        <v>14.504</v>
      </c>
      <c r="BC150">
        <f>VLOOKUP($A150,'UN Treasury'!$A$1:$BQ$224,_xlfn.XMATCH(BC$1,'UN Treasury'!$A$1:$BQ$1,-1,1),FALSE)</f>
        <v>15.023</v>
      </c>
      <c r="BD150">
        <f>VLOOKUP($A150,'UN Treasury'!$A$1:$BQ$224,_xlfn.XMATCH(BD$1,'UN Treasury'!$A$1:$BQ$1,-1,1),FALSE)</f>
        <v>15.112</v>
      </c>
      <c r="BE150">
        <f>VLOOKUP($A150,'UN Treasury'!$A$1:$BQ$224,_xlfn.XMATCH(BE$1,'UN Treasury'!$A$1:$BQ$1,-1,1),FALSE)</f>
        <v>15.377000000000001</v>
      </c>
      <c r="BF150">
        <f>VLOOKUP($A150,'UN Treasury'!$A$1:$BQ$224,_xlfn.XMATCH(BF$1,'UN Treasury'!$A$1:$BQ$1,-1,1),FALSE)</f>
        <v>16.152999999999999</v>
      </c>
      <c r="BG150">
        <f>VLOOKUP($A150,'UN Treasury'!$A$1:$BQ$224,_xlfn.XMATCH(BG$1,'UN Treasury'!$A$1:$BQ$1,-1,1),FALSE)</f>
        <v>15.255000000000001</v>
      </c>
      <c r="BH150">
        <f>VLOOKUP($A150,'UN Treasury'!$A$1:$BQ$224,_xlfn.XMATCH(BH$1,'UN Treasury'!$A$1:$BQ$1,-1,1),FALSE)</f>
        <v>15.146000000000001</v>
      </c>
      <c r="BI150">
        <f>VLOOKUP($A150,'UN Treasury'!$A$1:$BQ$224,_xlfn.XMATCH(BI$1,'UN Treasury'!$A$1:$BQ$1,-1,1),FALSE)</f>
        <v>14.137</v>
      </c>
      <c r="BJ150">
        <f>VLOOKUP($A150,'UN Treasury'!$A$1:$BQ$224,_xlfn.XMATCH(BJ$1,'UN Treasury'!$A$1:$BQ$1,-1,1),FALSE)</f>
        <v>14.606</v>
      </c>
      <c r="BK150">
        <f>VLOOKUP($A150,'UN Treasury'!$A$1:$BQ$224,_xlfn.XMATCH(BK$1,'UN Treasury'!$A$1:$BQ$1,-1,1),FALSE)</f>
        <v>14.24</v>
      </c>
      <c r="BL150">
        <f>VLOOKUP($A150,'UN Treasury'!$A$1:$BQ$224,_xlfn.XMATCH(BL$1,'UN Treasury'!$A$1:$BQ$1,-1,1),FALSE)</f>
        <v>13.733000000000001</v>
      </c>
      <c r="BM150">
        <f>VLOOKUP($A150,'UN Treasury'!$A$1:$BQ$224,_xlfn.XMATCH(BM$1,'UN Treasury'!$A$1:$BQ$1,-1,1),FALSE)</f>
        <v>14.356</v>
      </c>
      <c r="BN150">
        <f>VLOOKUP($A150,'UN Treasury'!$A$1:$BQ$224,_xlfn.XMATCH(BN$1,'UN Treasury'!$A$1:$BQ$1,-1,1),FALSE)</f>
        <v>14.935</v>
      </c>
      <c r="BO150">
        <f>VLOOKUP($A150,'UN Treasury'!$A$1:$BQ$224,_xlfn.XMATCH(BO$1,'UN Treasury'!$A$1:$BQ$1,-1,1),FALSE)</f>
        <v>14.93</v>
      </c>
      <c r="BP150">
        <f>VLOOKUP($A150,'UN Treasury'!$A$1:$BQ$224,_xlfn.XMATCH(BP$1,'UN Treasury'!$A$1:$BQ$1,-1,1),FALSE)</f>
        <v>14.628</v>
      </c>
      <c r="BQ150">
        <f>VLOOKUP($A150,'UN Treasury'!$A$1:$BQ$224,_xlfn.XMATCH(BQ$1,'UN Treasury'!$A$1:$BQ$1,-1,1),FALSE)</f>
        <v>15.241</v>
      </c>
    </row>
    <row r="151" spans="1:69" x14ac:dyDescent="0.25">
      <c r="A151" t="s">
        <v>312</v>
      </c>
      <c r="B151">
        <f>VLOOKUP($A151,'UN Treasury'!$A$1:$BQ$224,_xlfn.XMATCH(B$1,'UN Treasury'!$A$1:$BQ$1,-1,1),FALSE)</f>
        <v>18.701000000000001</v>
      </c>
      <c r="C151">
        <f>VLOOKUP($A151,'UN Treasury'!$A$1:$BQ$224,_xlfn.XMATCH(C$1,'UN Treasury'!$A$1:$BQ$1,-1,1),FALSE)</f>
        <v>17.925000000000001</v>
      </c>
      <c r="D151">
        <f>VLOOKUP($A151,'UN Treasury'!$A$1:$BQ$224,_xlfn.XMATCH(D$1,'UN Treasury'!$A$1:$BQ$1,-1,1),FALSE)</f>
        <v>17.260000000000002</v>
      </c>
      <c r="E151">
        <f>VLOOKUP($A151,'UN Treasury'!$A$1:$BQ$224,_xlfn.XMATCH(E$1,'UN Treasury'!$A$1:$BQ$1,-1,1),FALSE)</f>
        <v>18.8</v>
      </c>
      <c r="F151">
        <f>VLOOKUP($A151,'UN Treasury'!$A$1:$BQ$224,_xlfn.XMATCH(F$1,'UN Treasury'!$A$1:$BQ$1,-1,1),FALSE)</f>
        <v>19.079999999999998</v>
      </c>
      <c r="G151">
        <f>VLOOKUP($A151,'UN Treasury'!$A$1:$BQ$224,_xlfn.XMATCH(G$1,'UN Treasury'!$A$1:$BQ$1,-1,1),FALSE)</f>
        <v>19.798999999999999</v>
      </c>
      <c r="H151">
        <f>VLOOKUP($A151,'UN Treasury'!$A$1:$BQ$224,_xlfn.XMATCH(H$1,'UN Treasury'!$A$1:$BQ$1,-1,1),FALSE)</f>
        <v>18.5</v>
      </c>
      <c r="I151">
        <f>VLOOKUP($A151,'UN Treasury'!$A$1:$BQ$224,_xlfn.XMATCH(I$1,'UN Treasury'!$A$1:$BQ$1,-1,1),FALSE)</f>
        <v>19.460999999999999</v>
      </c>
      <c r="J151">
        <f>VLOOKUP($A151,'UN Treasury'!$A$1:$BQ$224,_xlfn.XMATCH(J$1,'UN Treasury'!$A$1:$BQ$1,-1,1),FALSE)</f>
        <v>22.95</v>
      </c>
      <c r="K151">
        <f>VLOOKUP($A151,'UN Treasury'!$A$1:$BQ$224,_xlfn.XMATCH(K$1,'UN Treasury'!$A$1:$BQ$1,-1,1),FALSE)</f>
        <v>22.417999999999999</v>
      </c>
      <c r="L151">
        <f>VLOOKUP($A151,'UN Treasury'!$A$1:$BQ$224,_xlfn.XMATCH(L$1,'UN Treasury'!$A$1:$BQ$1,-1,1),FALSE)</f>
        <v>22.600999999999999</v>
      </c>
      <c r="M151">
        <f>VLOOKUP($A151,'UN Treasury'!$A$1:$BQ$224,_xlfn.XMATCH(M$1,'UN Treasury'!$A$1:$BQ$1,-1,1),FALSE)</f>
        <v>23.850999999999999</v>
      </c>
      <c r="N151">
        <f>VLOOKUP($A151,'UN Treasury'!$A$1:$BQ$224,_xlfn.XMATCH(N$1,'UN Treasury'!$A$1:$BQ$1,-1,1),FALSE)</f>
        <v>23.05</v>
      </c>
      <c r="O151">
        <f>VLOOKUP($A151,'UN Treasury'!$A$1:$BQ$224,_xlfn.XMATCH(O$1,'UN Treasury'!$A$1:$BQ$1,-1,1),FALSE)</f>
        <v>23.225000000000001</v>
      </c>
      <c r="P151">
        <f>VLOOKUP($A151,'UN Treasury'!$A$1:$BQ$224,_xlfn.XMATCH(P$1,'UN Treasury'!$A$1:$BQ$1,-1,1),FALSE)</f>
        <v>24.9</v>
      </c>
      <c r="Q151">
        <f>VLOOKUP($A151,'UN Treasury'!$A$1:$BQ$224,_xlfn.XMATCH(Q$1,'UN Treasury'!$A$1:$BQ$1,-1,1),FALSE)</f>
        <v>26.506</v>
      </c>
      <c r="R151">
        <f>VLOOKUP($A151,'UN Treasury'!$A$1:$BQ$224,_xlfn.XMATCH(R$1,'UN Treasury'!$A$1:$BQ$1,-1,1),FALSE)</f>
        <v>28.2</v>
      </c>
      <c r="S151">
        <f>VLOOKUP($A151,'UN Treasury'!$A$1:$BQ$224,_xlfn.XMATCH(S$1,'UN Treasury'!$A$1:$BQ$1,-1,1),FALSE)</f>
        <v>28.547999999999998</v>
      </c>
      <c r="T151">
        <f>VLOOKUP($A151,'UN Treasury'!$A$1:$BQ$224,_xlfn.XMATCH(T$1,'UN Treasury'!$A$1:$BQ$1,-1,1),FALSE)</f>
        <v>28.074999999999999</v>
      </c>
      <c r="U151">
        <f>VLOOKUP($A151,'UN Treasury'!$A$1:$BQ$224,_xlfn.XMATCH(U$1,'UN Treasury'!$A$1:$BQ$1,-1,1),FALSE)</f>
        <v>27.65</v>
      </c>
      <c r="V151">
        <f>VLOOKUP($A151,'UN Treasury'!$A$1:$BQ$224,_xlfn.XMATCH(V$1,'UN Treasury'!$A$1:$BQ$1,-1,1),FALSE)</f>
        <v>27.6</v>
      </c>
      <c r="W151">
        <f>VLOOKUP($A151,'UN Treasury'!$A$1:$BQ$224,_xlfn.XMATCH(W$1,'UN Treasury'!$A$1:$BQ$1,-1,1),FALSE)</f>
        <v>27.288</v>
      </c>
      <c r="X151">
        <f>VLOOKUP($A151,'UN Treasury'!$A$1:$BQ$224,_xlfn.XMATCH(X$1,'UN Treasury'!$A$1:$BQ$1,-1,1),FALSE)</f>
        <v>26.4</v>
      </c>
      <c r="Y151">
        <f>VLOOKUP($A151,'UN Treasury'!$A$1:$BQ$224,_xlfn.XMATCH(Y$1,'UN Treasury'!$A$1:$BQ$1,-1,1),FALSE)</f>
        <v>26.45</v>
      </c>
      <c r="Z151">
        <f>VLOOKUP($A151,'UN Treasury'!$A$1:$BQ$224,_xlfn.XMATCH(Z$1,'UN Treasury'!$A$1:$BQ$1,-1,1),FALSE)</f>
        <v>26.15</v>
      </c>
      <c r="AA151">
        <f>VLOOKUP($A151,'UN Treasury'!$A$1:$BQ$224,_xlfn.XMATCH(AA$1,'UN Treasury'!$A$1:$BQ$1,-1,1),FALSE)</f>
        <v>25.465</v>
      </c>
      <c r="AB151">
        <f>VLOOKUP($A151,'UN Treasury'!$A$1:$BQ$224,_xlfn.XMATCH(AB$1,'UN Treasury'!$A$1:$BQ$1,-1,1),FALSE)</f>
        <v>26.414999999999999</v>
      </c>
      <c r="AC151">
        <f>VLOOKUP($A151,'UN Treasury'!$A$1:$BQ$224,_xlfn.XMATCH(AC$1,'UN Treasury'!$A$1:$BQ$1,-1,1),FALSE)</f>
        <v>26</v>
      </c>
      <c r="AD151">
        <f>VLOOKUP($A151,'UN Treasury'!$A$1:$BQ$224,_xlfn.XMATCH(AD$1,'UN Treasury'!$A$1:$BQ$1,-1,1),FALSE)</f>
        <v>24.925000000000001</v>
      </c>
      <c r="AE151">
        <f>VLOOKUP($A151,'UN Treasury'!$A$1:$BQ$224,_xlfn.XMATCH(AE$1,'UN Treasury'!$A$1:$BQ$1,-1,1),FALSE)</f>
        <v>24.687999999999999</v>
      </c>
      <c r="AF151">
        <f>VLOOKUP($A151,'UN Treasury'!$A$1:$BQ$224,_xlfn.XMATCH(AF$1,'UN Treasury'!$A$1:$BQ$1,-1,1),FALSE)</f>
        <v>26.841000000000001</v>
      </c>
      <c r="AG151">
        <f>VLOOKUP($A151,'UN Treasury'!$A$1:$BQ$224,_xlfn.XMATCH(AG$1,'UN Treasury'!$A$1:$BQ$1,-1,1),FALSE)</f>
        <v>26.1</v>
      </c>
      <c r="AH151">
        <f>VLOOKUP($A151,'UN Treasury'!$A$1:$BQ$224,_xlfn.XMATCH(AH$1,'UN Treasury'!$A$1:$BQ$1,-1,1),FALSE)</f>
        <v>24.45</v>
      </c>
      <c r="AI151">
        <f>VLOOKUP($A151,'UN Treasury'!$A$1:$BQ$224,_xlfn.XMATCH(AI$1,'UN Treasury'!$A$1:$BQ$1,-1,1),FALSE)</f>
        <v>22.86</v>
      </c>
      <c r="AJ151">
        <f>VLOOKUP($A151,'UN Treasury'!$A$1:$BQ$224,_xlfn.XMATCH(AJ$1,'UN Treasury'!$A$1:$BQ$1,-1,1),FALSE)</f>
        <v>21.452999999999999</v>
      </c>
      <c r="AK151">
        <f>VLOOKUP($A151,'UN Treasury'!$A$1:$BQ$224,_xlfn.XMATCH(AK$1,'UN Treasury'!$A$1:$BQ$1,-1,1),FALSE)</f>
        <v>21.1</v>
      </c>
      <c r="AL151">
        <f>VLOOKUP($A151,'UN Treasury'!$A$1:$BQ$224,_xlfn.XMATCH(AL$1,'UN Treasury'!$A$1:$BQ$1,-1,1),FALSE)</f>
        <v>19.05</v>
      </c>
      <c r="AM151">
        <f>VLOOKUP($A151,'UN Treasury'!$A$1:$BQ$224,_xlfn.XMATCH(AM$1,'UN Treasury'!$A$1:$BQ$1,-1,1),FALSE)</f>
        <v>18.399999999999999</v>
      </c>
      <c r="AN151">
        <f>VLOOKUP($A151,'UN Treasury'!$A$1:$BQ$224,_xlfn.XMATCH(AN$1,'UN Treasury'!$A$1:$BQ$1,-1,1),FALSE)</f>
        <v>18.899999999999999</v>
      </c>
      <c r="AO151">
        <f>VLOOKUP($A151,'UN Treasury'!$A$1:$BQ$224,_xlfn.XMATCH(AO$1,'UN Treasury'!$A$1:$BQ$1,-1,1),FALSE)</f>
        <v>18.260000000000002</v>
      </c>
      <c r="AP151">
        <f>VLOOKUP($A151,'UN Treasury'!$A$1:$BQ$224,_xlfn.XMATCH(AP$1,'UN Treasury'!$A$1:$BQ$1,-1,1),FALSE)</f>
        <v>18.850000000000001</v>
      </c>
      <c r="AQ151">
        <f>VLOOKUP($A151,'UN Treasury'!$A$1:$BQ$224,_xlfn.XMATCH(AQ$1,'UN Treasury'!$A$1:$BQ$1,-1,1),FALSE)</f>
        <v>20.221</v>
      </c>
      <c r="AR151">
        <f>VLOOKUP($A151,'UN Treasury'!$A$1:$BQ$224,_xlfn.XMATCH(AR$1,'UN Treasury'!$A$1:$BQ$1,-1,1),FALSE)</f>
        <v>19.29</v>
      </c>
      <c r="AS151">
        <f>VLOOKUP($A151,'UN Treasury'!$A$1:$BQ$224,_xlfn.XMATCH(AS$1,'UN Treasury'!$A$1:$BQ$1,-1,1),FALSE)</f>
        <v>18.32</v>
      </c>
      <c r="AT151">
        <f>VLOOKUP($A151,'UN Treasury'!$A$1:$BQ$224,_xlfn.XMATCH(AT$1,'UN Treasury'!$A$1:$BQ$1,-1,1),FALSE)</f>
        <v>17.440000000000001</v>
      </c>
      <c r="AU151">
        <f>VLOOKUP($A151,'UN Treasury'!$A$1:$BQ$224,_xlfn.XMATCH(AU$1,'UN Treasury'!$A$1:$BQ$1,-1,1),FALSE)</f>
        <v>16.38</v>
      </c>
      <c r="AV151">
        <f>VLOOKUP($A151,'UN Treasury'!$A$1:$BQ$224,_xlfn.XMATCH(AV$1,'UN Treasury'!$A$1:$BQ$1,-1,1),FALSE)</f>
        <v>15.835000000000001</v>
      </c>
      <c r="AW151">
        <f>VLOOKUP($A151,'UN Treasury'!$A$1:$BQ$224,_xlfn.XMATCH(AW$1,'UN Treasury'!$A$1:$BQ$1,-1,1),FALSE)</f>
        <v>15.535</v>
      </c>
      <c r="AX151">
        <f>VLOOKUP($A151,'UN Treasury'!$A$1:$BQ$224,_xlfn.XMATCH(AX$1,'UN Treasury'!$A$1:$BQ$1,-1,1),FALSE)</f>
        <v>16.055</v>
      </c>
      <c r="AY151">
        <f>VLOOKUP($A151,'UN Treasury'!$A$1:$BQ$224,_xlfn.XMATCH(AY$1,'UN Treasury'!$A$1:$BQ$1,-1,1),FALSE)</f>
        <v>16.399999999999999</v>
      </c>
      <c r="AZ151">
        <f>VLOOKUP($A151,'UN Treasury'!$A$1:$BQ$224,_xlfn.XMATCH(AZ$1,'UN Treasury'!$A$1:$BQ$1,-1,1),FALSE)</f>
        <v>16.89</v>
      </c>
      <c r="BA151">
        <f>VLOOKUP($A151,'UN Treasury'!$A$1:$BQ$224,_xlfn.XMATCH(BA$1,'UN Treasury'!$A$1:$BQ$1,-1,1),FALSE)</f>
        <v>17.05</v>
      </c>
      <c r="BB151">
        <f>VLOOKUP($A151,'UN Treasury'!$A$1:$BQ$224,_xlfn.XMATCH(BB$1,'UN Treasury'!$A$1:$BQ$1,-1,1),FALSE)</f>
        <v>17.41</v>
      </c>
      <c r="BC151">
        <f>VLOOKUP($A151,'UN Treasury'!$A$1:$BQ$224,_xlfn.XMATCH(BC$1,'UN Treasury'!$A$1:$BQ$1,-1,1),FALSE)</f>
        <v>18.222999999999999</v>
      </c>
      <c r="BD151">
        <f>VLOOKUP($A151,'UN Treasury'!$A$1:$BQ$224,_xlfn.XMATCH(BD$1,'UN Treasury'!$A$1:$BQ$1,-1,1),FALSE)</f>
        <v>18.707999999999998</v>
      </c>
      <c r="BE151">
        <f>VLOOKUP($A151,'UN Treasury'!$A$1:$BQ$224,_xlfn.XMATCH(BE$1,'UN Treasury'!$A$1:$BQ$1,-1,1),FALSE)</f>
        <v>16.95</v>
      </c>
      <c r="BF151">
        <f>VLOOKUP($A151,'UN Treasury'!$A$1:$BQ$224,_xlfn.XMATCH(BF$1,'UN Treasury'!$A$1:$BQ$1,-1,1),FALSE)</f>
        <v>17.757999999999999</v>
      </c>
      <c r="BG151">
        <f>VLOOKUP($A151,'UN Treasury'!$A$1:$BQ$224,_xlfn.XMATCH(BG$1,'UN Treasury'!$A$1:$BQ$1,-1,1),FALSE)</f>
        <v>17.222999999999999</v>
      </c>
      <c r="BH151">
        <f>VLOOKUP($A151,'UN Treasury'!$A$1:$BQ$224,_xlfn.XMATCH(BH$1,'UN Treasury'!$A$1:$BQ$1,-1,1),FALSE)</f>
        <v>16.73</v>
      </c>
      <c r="BI151">
        <f>VLOOKUP($A151,'UN Treasury'!$A$1:$BQ$224,_xlfn.XMATCH(BI$1,'UN Treasury'!$A$1:$BQ$1,-1,1),FALSE)</f>
        <v>15.87</v>
      </c>
      <c r="BJ151">
        <f>VLOOKUP($A151,'UN Treasury'!$A$1:$BQ$224,_xlfn.XMATCH(BJ$1,'UN Treasury'!$A$1:$BQ$1,-1,1),FALSE)</f>
        <v>19.2</v>
      </c>
      <c r="BK151">
        <f>VLOOKUP($A151,'UN Treasury'!$A$1:$BQ$224,_xlfn.XMATCH(BK$1,'UN Treasury'!$A$1:$BQ$1,-1,1),FALSE)</f>
        <v>22.603000000000002</v>
      </c>
      <c r="BL151">
        <f>VLOOKUP($A151,'UN Treasury'!$A$1:$BQ$224,_xlfn.XMATCH(BL$1,'UN Treasury'!$A$1:$BQ$1,-1,1),FALSE)</f>
        <v>22.49</v>
      </c>
      <c r="BM151">
        <f>VLOOKUP($A151,'UN Treasury'!$A$1:$BQ$224,_xlfn.XMATCH(BM$1,'UN Treasury'!$A$1:$BQ$1,-1,1),FALSE)</f>
        <v>22.274999999999999</v>
      </c>
      <c r="BN151">
        <f>VLOOKUP($A151,'UN Treasury'!$A$1:$BQ$224,_xlfn.XMATCH(BN$1,'UN Treasury'!$A$1:$BQ$1,-1,1),FALSE)</f>
        <v>22.06</v>
      </c>
      <c r="BO151">
        <f>VLOOKUP($A151,'UN Treasury'!$A$1:$BQ$224,_xlfn.XMATCH(BO$1,'UN Treasury'!$A$1:$BQ$1,-1,1),FALSE)</f>
        <v>21.75</v>
      </c>
      <c r="BP151">
        <f>VLOOKUP($A151,'UN Treasury'!$A$1:$BQ$224,_xlfn.XMATCH(BP$1,'UN Treasury'!$A$1:$BQ$1,-1,1),FALSE)</f>
        <v>21.331</v>
      </c>
      <c r="BQ151">
        <f>VLOOKUP($A151,'UN Treasury'!$A$1:$BQ$224,_xlfn.XMATCH(BQ$1,'UN Treasury'!$A$1:$BQ$1,-1,1),FALSE)</f>
        <v>21.128</v>
      </c>
    </row>
    <row r="152" spans="1:69" x14ac:dyDescent="0.25">
      <c r="A152" t="s">
        <v>340</v>
      </c>
      <c r="B152">
        <f>VLOOKUP($A152,'UN Treasury'!$A$1:$BQ$224,_xlfn.XMATCH(B$1,'UN Treasury'!$A$1:$BQ$1,-1,1),FALSE)</f>
        <v>25.701000000000001</v>
      </c>
      <c r="C152">
        <f>VLOOKUP($A152,'UN Treasury'!$A$1:$BQ$224,_xlfn.XMATCH(C$1,'UN Treasury'!$A$1:$BQ$1,-1,1),FALSE)</f>
        <v>25.933</v>
      </c>
      <c r="D152">
        <f>VLOOKUP($A152,'UN Treasury'!$A$1:$BQ$224,_xlfn.XMATCH(D$1,'UN Treasury'!$A$1:$BQ$1,-1,1),FALSE)</f>
        <v>25.765000000000001</v>
      </c>
      <c r="E152">
        <f>VLOOKUP($A152,'UN Treasury'!$A$1:$BQ$224,_xlfn.XMATCH(E$1,'UN Treasury'!$A$1:$BQ$1,-1,1),FALSE)</f>
        <v>24.646000000000001</v>
      </c>
      <c r="F152">
        <f>VLOOKUP($A152,'UN Treasury'!$A$1:$BQ$224,_xlfn.XMATCH(F$1,'UN Treasury'!$A$1:$BQ$1,-1,1),FALSE)</f>
        <v>24.6</v>
      </c>
      <c r="G152">
        <f>VLOOKUP($A152,'UN Treasury'!$A$1:$BQ$224,_xlfn.XMATCH(G$1,'UN Treasury'!$A$1:$BQ$1,-1,1),FALSE)</f>
        <v>24.852</v>
      </c>
      <c r="H152">
        <f>VLOOKUP($A152,'UN Treasury'!$A$1:$BQ$224,_xlfn.XMATCH(H$1,'UN Treasury'!$A$1:$BQ$1,-1,1),FALSE)</f>
        <v>25.001000000000001</v>
      </c>
      <c r="I152">
        <f>VLOOKUP($A152,'UN Treasury'!$A$1:$BQ$224,_xlfn.XMATCH(I$1,'UN Treasury'!$A$1:$BQ$1,-1,1),FALSE)</f>
        <v>25.218</v>
      </c>
      <c r="J152">
        <f>VLOOKUP($A152,'UN Treasury'!$A$1:$BQ$224,_xlfn.XMATCH(J$1,'UN Treasury'!$A$1:$BQ$1,-1,1),FALSE)</f>
        <v>25.46</v>
      </c>
      <c r="K152">
        <f>VLOOKUP($A152,'UN Treasury'!$A$1:$BQ$224,_xlfn.XMATCH(K$1,'UN Treasury'!$A$1:$BQ$1,-1,1),FALSE)</f>
        <v>26.391999999999999</v>
      </c>
      <c r="L152">
        <f>VLOOKUP($A152,'UN Treasury'!$A$1:$BQ$224,_xlfn.XMATCH(L$1,'UN Treasury'!$A$1:$BQ$1,-1,1),FALSE)</f>
        <v>26.648</v>
      </c>
      <c r="M152">
        <f>VLOOKUP($A152,'UN Treasury'!$A$1:$BQ$224,_xlfn.XMATCH(M$1,'UN Treasury'!$A$1:$BQ$1,-1,1),FALSE)</f>
        <v>26.728999999999999</v>
      </c>
      <c r="N152">
        <f>VLOOKUP($A152,'UN Treasury'!$A$1:$BQ$224,_xlfn.XMATCH(N$1,'UN Treasury'!$A$1:$BQ$1,-1,1),FALSE)</f>
        <v>26.76</v>
      </c>
      <c r="O152">
        <f>VLOOKUP($A152,'UN Treasury'!$A$1:$BQ$224,_xlfn.XMATCH(O$1,'UN Treasury'!$A$1:$BQ$1,-1,1),FALSE)</f>
        <v>26.890999999999998</v>
      </c>
      <c r="P152">
        <f>VLOOKUP($A152,'UN Treasury'!$A$1:$BQ$224,_xlfn.XMATCH(P$1,'UN Treasury'!$A$1:$BQ$1,-1,1),FALSE)</f>
        <v>26.952999999999999</v>
      </c>
      <c r="Q152">
        <f>VLOOKUP($A152,'UN Treasury'!$A$1:$BQ$224,_xlfn.XMATCH(Q$1,'UN Treasury'!$A$1:$BQ$1,-1,1),FALSE)</f>
        <v>26.834</v>
      </c>
      <c r="R152">
        <f>VLOOKUP($A152,'UN Treasury'!$A$1:$BQ$224,_xlfn.XMATCH(R$1,'UN Treasury'!$A$1:$BQ$1,-1,1),FALSE)</f>
        <v>26.79</v>
      </c>
      <c r="S152">
        <f>VLOOKUP($A152,'UN Treasury'!$A$1:$BQ$224,_xlfn.XMATCH(S$1,'UN Treasury'!$A$1:$BQ$1,-1,1),FALSE)</f>
        <v>26.640999999999998</v>
      </c>
      <c r="T152">
        <f>VLOOKUP($A152,'UN Treasury'!$A$1:$BQ$224,_xlfn.XMATCH(T$1,'UN Treasury'!$A$1:$BQ$1,-1,1),FALSE)</f>
        <v>26.407</v>
      </c>
      <c r="U152">
        <f>VLOOKUP($A152,'UN Treasury'!$A$1:$BQ$224,_xlfn.XMATCH(U$1,'UN Treasury'!$A$1:$BQ$1,-1,1),FALSE)</f>
        <v>25.882999999999999</v>
      </c>
      <c r="V152">
        <f>VLOOKUP($A152,'UN Treasury'!$A$1:$BQ$224,_xlfn.XMATCH(V$1,'UN Treasury'!$A$1:$BQ$1,-1,1),FALSE)</f>
        <v>25.646999999999998</v>
      </c>
      <c r="W152">
        <f>VLOOKUP($A152,'UN Treasury'!$A$1:$BQ$224,_xlfn.XMATCH(W$1,'UN Treasury'!$A$1:$BQ$1,-1,1),FALSE)</f>
        <v>25.588999999999999</v>
      </c>
      <c r="X152">
        <f>VLOOKUP($A152,'UN Treasury'!$A$1:$BQ$224,_xlfn.XMATCH(X$1,'UN Treasury'!$A$1:$BQ$1,-1,1),FALSE)</f>
        <v>26.068999999999999</v>
      </c>
      <c r="Y152">
        <f>VLOOKUP($A152,'UN Treasury'!$A$1:$BQ$224,_xlfn.XMATCH(Y$1,'UN Treasury'!$A$1:$BQ$1,-1,1),FALSE)</f>
        <v>13.891</v>
      </c>
      <c r="Z152">
        <f>VLOOKUP($A152,'UN Treasury'!$A$1:$BQ$224,_xlfn.XMATCH(Z$1,'UN Treasury'!$A$1:$BQ$1,-1,1),FALSE)</f>
        <v>13.782</v>
      </c>
      <c r="AA152">
        <f>VLOOKUP($A152,'UN Treasury'!$A$1:$BQ$224,_xlfn.XMATCH(AA$1,'UN Treasury'!$A$1:$BQ$1,-1,1),FALSE)</f>
        <v>13.760999999999999</v>
      </c>
      <c r="AB152">
        <f>VLOOKUP($A152,'UN Treasury'!$A$1:$BQ$224,_xlfn.XMATCH(AB$1,'UN Treasury'!$A$1:$BQ$1,-1,1),FALSE)</f>
        <v>13.430999999999999</v>
      </c>
      <c r="AC152">
        <f>VLOOKUP($A152,'UN Treasury'!$A$1:$BQ$224,_xlfn.XMATCH(AC$1,'UN Treasury'!$A$1:$BQ$1,-1,1),FALSE)</f>
        <v>13.664999999999999</v>
      </c>
      <c r="AD152">
        <f>VLOOKUP($A152,'UN Treasury'!$A$1:$BQ$224,_xlfn.XMATCH(AD$1,'UN Treasury'!$A$1:$BQ$1,-1,1),FALSE)</f>
        <v>20945.169000000002</v>
      </c>
      <c r="AE152">
        <f>VLOOKUP($A152,'UN Treasury'!$A$1:$BQ$224,_xlfn.XMATCH(AE$1,'UN Treasury'!$A$1:$BQ$1,-1,1),FALSE)</f>
        <v>16878.373</v>
      </c>
      <c r="AF152">
        <f>VLOOKUP($A152,'UN Treasury'!$A$1:$BQ$224,_xlfn.XMATCH(AF$1,'UN Treasury'!$A$1:$BQ$1,-1,1),FALSE)</f>
        <v>11450.664000000001</v>
      </c>
      <c r="AG152">
        <f>VLOOKUP($A152,'UN Treasury'!$A$1:$BQ$224,_xlfn.XMATCH(AG$1,'UN Treasury'!$A$1:$BQ$1,-1,1),FALSE)</f>
        <v>6908.9859999999999</v>
      </c>
      <c r="AH152">
        <f>VLOOKUP($A152,'UN Treasury'!$A$1:$BQ$224,_xlfn.XMATCH(AH$1,'UN Treasury'!$A$1:$BQ$1,-1,1),FALSE)</f>
        <v>5839.2430000000004</v>
      </c>
      <c r="AI152">
        <f>VLOOKUP($A152,'UN Treasury'!$A$1:$BQ$224,_xlfn.XMATCH(AI$1,'UN Treasury'!$A$1:$BQ$1,-1,1),FALSE)</f>
        <v>5739.5219999999999</v>
      </c>
      <c r="AJ152">
        <f>VLOOKUP($A152,'UN Treasury'!$A$1:$BQ$224,_xlfn.XMATCH(AJ$1,'UN Treasury'!$A$1:$BQ$1,-1,1),FALSE)</f>
        <v>5592.9620000000004</v>
      </c>
      <c r="AK152">
        <f>VLOOKUP($A152,'UN Treasury'!$A$1:$BQ$224,_xlfn.XMATCH(AK$1,'UN Treasury'!$A$1:$BQ$1,-1,1),FALSE)</f>
        <v>4648.3860000000004</v>
      </c>
      <c r="AL152">
        <f>VLOOKUP($A152,'UN Treasury'!$A$1:$BQ$224,_xlfn.XMATCH(AL$1,'UN Treasury'!$A$1:$BQ$1,-1,1),FALSE)</f>
        <v>4559.741</v>
      </c>
      <c r="AM152">
        <f>VLOOKUP($A152,'UN Treasury'!$A$1:$BQ$224,_xlfn.XMATCH(AM$1,'UN Treasury'!$A$1:$BQ$1,-1,1),FALSE)</f>
        <v>5297.5029999999997</v>
      </c>
      <c r="AN152">
        <f>VLOOKUP($A152,'UN Treasury'!$A$1:$BQ$224,_xlfn.XMATCH(AN$1,'UN Treasury'!$A$1:$BQ$1,-1,1),FALSE)</f>
        <v>4868.5110000000004</v>
      </c>
      <c r="AO152">
        <f>VLOOKUP($A152,'UN Treasury'!$A$1:$BQ$224,_xlfn.XMATCH(AO$1,'UN Treasury'!$A$1:$BQ$1,-1,1),FALSE)</f>
        <v>1125.6669999999999</v>
      </c>
      <c r="AP152">
        <f>VLOOKUP($A152,'UN Treasury'!$A$1:$BQ$224,_xlfn.XMATCH(AP$1,'UN Treasury'!$A$1:$BQ$1,-1,1),FALSE)</f>
        <v>944.71299999999997</v>
      </c>
      <c r="AQ152">
        <f>VLOOKUP($A152,'UN Treasury'!$A$1:$BQ$224,_xlfn.XMATCH(AQ$1,'UN Treasury'!$A$1:$BQ$1,-1,1),FALSE)</f>
        <v>907.92399999999998</v>
      </c>
      <c r="AR152">
        <f>VLOOKUP($A152,'UN Treasury'!$A$1:$BQ$224,_xlfn.XMATCH(AR$1,'UN Treasury'!$A$1:$BQ$1,-1,1),FALSE)</f>
        <v>796.63</v>
      </c>
      <c r="AS152">
        <f>VLOOKUP($A152,'UN Treasury'!$A$1:$BQ$224,_xlfn.XMATCH(AS$1,'UN Treasury'!$A$1:$BQ$1,-1,1),FALSE)</f>
        <v>686.572</v>
      </c>
      <c r="AT152">
        <f>VLOOKUP($A152,'UN Treasury'!$A$1:$BQ$224,_xlfn.XMATCH(AT$1,'UN Treasury'!$A$1:$BQ$1,-1,1),FALSE)</f>
        <v>645.41399999999999</v>
      </c>
      <c r="AU152">
        <f>VLOOKUP($A152,'UN Treasury'!$A$1:$BQ$224,_xlfn.XMATCH(AU$1,'UN Treasury'!$A$1:$BQ$1,-1,1),FALSE)</f>
        <v>620.46400000000006</v>
      </c>
      <c r="AV152">
        <f>VLOOKUP($A152,'UN Treasury'!$A$1:$BQ$224,_xlfn.XMATCH(AV$1,'UN Treasury'!$A$1:$BQ$1,-1,1),FALSE)</f>
        <v>611.75</v>
      </c>
      <c r="AW152">
        <f>VLOOKUP($A152,'UN Treasury'!$A$1:$BQ$224,_xlfn.XMATCH(AW$1,'UN Treasury'!$A$1:$BQ$1,-1,1),FALSE)</f>
        <v>567.51099999999997</v>
      </c>
      <c r="AX152">
        <f>VLOOKUP($A152,'UN Treasury'!$A$1:$BQ$224,_xlfn.XMATCH(AX$1,'UN Treasury'!$A$1:$BQ$1,-1,1),FALSE)</f>
        <v>459.03699999999998</v>
      </c>
      <c r="AY152">
        <f>VLOOKUP($A152,'UN Treasury'!$A$1:$BQ$224,_xlfn.XMATCH(AY$1,'UN Treasury'!$A$1:$BQ$1,-1,1),FALSE)</f>
        <v>375.52199999999999</v>
      </c>
      <c r="AZ152">
        <f>VLOOKUP($A152,'UN Treasury'!$A$1:$BQ$224,_xlfn.XMATCH(AZ$1,'UN Treasury'!$A$1:$BQ$1,-1,1),FALSE)</f>
        <v>317.19799999999998</v>
      </c>
      <c r="BA152">
        <f>VLOOKUP($A152,'UN Treasury'!$A$1:$BQ$224,_xlfn.XMATCH(BA$1,'UN Treasury'!$A$1:$BQ$1,-1,1),FALSE)</f>
        <v>270.101</v>
      </c>
      <c r="BB152">
        <f>VLOOKUP($A152,'UN Treasury'!$A$1:$BQ$224,_xlfn.XMATCH(BB$1,'UN Treasury'!$A$1:$BQ$1,-1,1),FALSE)</f>
        <v>142.22499999999999</v>
      </c>
      <c r="BC152">
        <f>VLOOKUP($A152,'UN Treasury'!$A$1:$BQ$224,_xlfn.XMATCH(BC$1,'UN Treasury'!$A$1:$BQ$1,-1,1),FALSE)</f>
        <v>126.90300000000001</v>
      </c>
      <c r="BD152">
        <f>VLOOKUP($A152,'UN Treasury'!$A$1:$BQ$224,_xlfn.XMATCH(BD$1,'UN Treasury'!$A$1:$BQ$1,-1,1),FALSE)</f>
        <v>115.9</v>
      </c>
      <c r="BE152">
        <f>VLOOKUP($A152,'UN Treasury'!$A$1:$BQ$224,_xlfn.XMATCH(BE$1,'UN Treasury'!$A$1:$BQ$1,-1,1),FALSE)</f>
        <v>105.949</v>
      </c>
      <c r="BF152">
        <f>VLOOKUP($A152,'UN Treasury'!$A$1:$BQ$224,_xlfn.XMATCH(BF$1,'UN Treasury'!$A$1:$BQ$1,-1,1),FALSE)</f>
        <v>103.054</v>
      </c>
      <c r="BG152">
        <f>VLOOKUP($A152,'UN Treasury'!$A$1:$BQ$224,_xlfn.XMATCH(BG$1,'UN Treasury'!$A$1:$BQ$1,-1,1),FALSE)</f>
        <v>90.8</v>
      </c>
      <c r="BH152">
        <f>VLOOKUP($A152,'UN Treasury'!$A$1:$BQ$224,_xlfn.XMATCH(BH$1,'UN Treasury'!$A$1:$BQ$1,-1,1),FALSE)</f>
        <v>84.5</v>
      </c>
      <c r="BI152">
        <f>VLOOKUP($A152,'UN Treasury'!$A$1:$BQ$224,_xlfn.XMATCH(BI$1,'UN Treasury'!$A$1:$BQ$1,-1,1),FALSE)</f>
        <v>83.8</v>
      </c>
      <c r="BJ152">
        <f>VLOOKUP($A152,'UN Treasury'!$A$1:$BQ$224,_xlfn.XMATCH(BJ$1,'UN Treasury'!$A$1:$BQ$1,-1,1),FALSE)</f>
        <v>83.7</v>
      </c>
      <c r="BK152">
        <f>VLOOKUP($A152,'UN Treasury'!$A$1:$BQ$224,_xlfn.XMATCH(BK$1,'UN Treasury'!$A$1:$BQ$1,-1,1),FALSE)</f>
        <v>83.24</v>
      </c>
      <c r="BL152">
        <f>VLOOKUP($A152,'UN Treasury'!$A$1:$BQ$224,_xlfn.XMATCH(BL$1,'UN Treasury'!$A$1:$BQ$1,-1,1),FALSE)</f>
        <v>82.7</v>
      </c>
      <c r="BM152">
        <f>VLOOKUP($A152,'UN Treasury'!$A$1:$BQ$224,_xlfn.XMATCH(BM$1,'UN Treasury'!$A$1:$BQ$1,-1,1),FALSE)</f>
        <v>82.5</v>
      </c>
      <c r="BN152">
        <f>VLOOKUP($A152,'UN Treasury'!$A$1:$BQ$224,_xlfn.XMATCH(BN$1,'UN Treasury'!$A$1:$BQ$1,-1,1),FALSE)</f>
        <v>82.2</v>
      </c>
      <c r="BO152">
        <f>VLOOKUP($A152,'UN Treasury'!$A$1:$BQ$224,_xlfn.XMATCH(BO$1,'UN Treasury'!$A$1:$BQ$1,-1,1),FALSE)</f>
        <v>81.900000000000006</v>
      </c>
      <c r="BP152">
        <f>VLOOKUP($A152,'UN Treasury'!$A$1:$BQ$224,_xlfn.XMATCH(BP$1,'UN Treasury'!$A$1:$BQ$1,-1,1),FALSE)</f>
        <v>80.05</v>
      </c>
      <c r="BQ152">
        <f>VLOOKUP($A152,'UN Treasury'!$A$1:$BQ$224,_xlfn.XMATCH(BQ$1,'UN Treasury'!$A$1:$BQ$1,-1,1),FALSE)</f>
        <v>79.739999999999995</v>
      </c>
    </row>
  </sheetData>
  <sheetProtection algorithmName="SHA-512" hashValue="QUZHKo2CT1WgWjS6+kjhwaDh3GxjLR3ei1PfP5hlQyn9aInQXTZ07yScFNeMrZ6MKCLVuMD2eYMp9M+HB6H6Vw==" saltValue="Eovbd2QL/eV8OqelrMlu5A==" spinCount="100000" sheet="1" objects="1" scenarios="1"/>
  <sortState xmlns:xlrd2="http://schemas.microsoft.com/office/spreadsheetml/2017/richdata2" ref="A2:A152">
    <sortCondition ref="A2:A15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3F69-9F86-4C6A-9CC1-9FC89688A2D1}">
  <sheetPr codeName="Sheet7"/>
  <dimension ref="A1:BQ224"/>
  <sheetViews>
    <sheetView workbookViewId="0">
      <pane xSplit="1" ySplit="1" topLeftCell="B2" activePane="bottomRight" state="frozen"/>
      <selection activeCell="G18" sqref="G18"/>
      <selection pane="topRight" activeCell="G18" sqref="G18"/>
      <selection pane="bottomLeft" activeCell="G18" sqref="G18"/>
      <selection pane="bottomRight" activeCell="B2" sqref="B2"/>
    </sheetView>
  </sheetViews>
  <sheetFormatPr defaultRowHeight="15" x14ac:dyDescent="0.25"/>
  <cols>
    <col min="2" max="2" width="11.7109375" bestFit="1" customWidth="1"/>
    <col min="3" max="3" width="12" bestFit="1" customWidth="1"/>
    <col min="4" max="69" width="12.7109375" customWidth="1"/>
  </cols>
  <sheetData>
    <row r="1" spans="1:69" s="1" customFormat="1" x14ac:dyDescent="0.25">
      <c r="B1" s="1">
        <v>46249</v>
      </c>
      <c r="C1" s="1">
        <v>46218</v>
      </c>
      <c r="D1" s="1">
        <v>46188</v>
      </c>
      <c r="E1" s="1">
        <v>46157</v>
      </c>
      <c r="F1" s="1">
        <v>46127</v>
      </c>
      <c r="G1" s="1">
        <v>46096</v>
      </c>
      <c r="H1" s="1">
        <v>46068</v>
      </c>
      <c r="I1" s="1">
        <v>46037</v>
      </c>
      <c r="J1" s="1">
        <v>46006</v>
      </c>
      <c r="K1" s="1">
        <v>45976</v>
      </c>
      <c r="L1" s="1">
        <v>45945</v>
      </c>
      <c r="M1" s="1">
        <v>45915</v>
      </c>
      <c r="N1" s="1">
        <v>45884</v>
      </c>
      <c r="O1" s="1">
        <v>45853</v>
      </c>
      <c r="P1" s="1">
        <v>45823</v>
      </c>
      <c r="Q1" s="1">
        <v>45792</v>
      </c>
      <c r="R1" s="1">
        <v>45762</v>
      </c>
      <c r="S1" s="1">
        <v>45731</v>
      </c>
      <c r="T1" s="1">
        <v>45703</v>
      </c>
      <c r="U1" s="1">
        <v>45672</v>
      </c>
      <c r="V1" s="1">
        <v>45641</v>
      </c>
      <c r="W1" s="1">
        <v>45611</v>
      </c>
      <c r="X1" s="1">
        <v>45580</v>
      </c>
      <c r="Y1" s="1">
        <v>45550</v>
      </c>
      <c r="Z1" s="1">
        <v>45519</v>
      </c>
      <c r="AA1" s="1">
        <v>45488</v>
      </c>
      <c r="AB1" s="1">
        <v>45458</v>
      </c>
      <c r="AC1" s="1">
        <v>45427</v>
      </c>
      <c r="AD1" s="1">
        <v>45397</v>
      </c>
      <c r="AE1" s="1">
        <v>45366</v>
      </c>
      <c r="AF1" s="1">
        <v>45337</v>
      </c>
      <c r="AG1" s="1">
        <v>45306</v>
      </c>
      <c r="AH1" s="1">
        <v>45275</v>
      </c>
      <c r="AI1" s="1">
        <v>45245</v>
      </c>
      <c r="AJ1" s="1">
        <v>45214</v>
      </c>
      <c r="AK1" s="1">
        <v>45184</v>
      </c>
      <c r="AL1" s="1">
        <v>45153</v>
      </c>
      <c r="AM1" s="1">
        <v>45122</v>
      </c>
      <c r="AN1" s="1">
        <v>45092</v>
      </c>
      <c r="AO1" s="1">
        <v>45061</v>
      </c>
      <c r="AP1" s="1">
        <v>45031</v>
      </c>
      <c r="AQ1" s="1">
        <v>45000</v>
      </c>
      <c r="AR1" s="1">
        <v>44972</v>
      </c>
      <c r="AS1" s="1">
        <v>44941</v>
      </c>
      <c r="AT1" s="1">
        <v>44910</v>
      </c>
      <c r="AU1" s="1">
        <v>44880</v>
      </c>
      <c r="AV1" s="1">
        <v>44848</v>
      </c>
      <c r="AW1" s="1">
        <v>44819</v>
      </c>
      <c r="AX1" s="1">
        <v>44788</v>
      </c>
      <c r="AY1" s="1">
        <v>44757</v>
      </c>
      <c r="AZ1" s="1">
        <v>44727</v>
      </c>
      <c r="BA1" s="1">
        <v>44694</v>
      </c>
      <c r="BB1" s="1">
        <v>44665</v>
      </c>
      <c r="BC1" s="1">
        <v>44635</v>
      </c>
      <c r="BD1" s="1">
        <v>44607</v>
      </c>
      <c r="BE1" s="1">
        <v>44575</v>
      </c>
      <c r="BF1" s="1">
        <v>44545</v>
      </c>
      <c r="BG1" s="1">
        <v>44515</v>
      </c>
      <c r="BH1" s="1">
        <v>44470</v>
      </c>
      <c r="BI1" s="1">
        <v>44454</v>
      </c>
      <c r="BJ1" s="1">
        <v>44409</v>
      </c>
      <c r="BK1" s="1">
        <v>44392</v>
      </c>
      <c r="BL1" s="1">
        <v>44348</v>
      </c>
      <c r="BM1" s="1">
        <v>44317</v>
      </c>
      <c r="BN1" s="1">
        <v>44301</v>
      </c>
      <c r="BO1" s="1">
        <v>44270</v>
      </c>
      <c r="BP1" s="1">
        <v>44242</v>
      </c>
      <c r="BQ1" s="1">
        <v>44211</v>
      </c>
    </row>
    <row r="2" spans="1:69" x14ac:dyDescent="0.25">
      <c r="A2" t="s">
        <v>1</v>
      </c>
      <c r="B2">
        <v>65.007999999999996</v>
      </c>
      <c r="C2">
        <v>65.445999999999998</v>
      </c>
      <c r="D2">
        <v>63.944000000000003</v>
      </c>
      <c r="E2">
        <v>64.05</v>
      </c>
      <c r="F2">
        <v>64.394000000000005</v>
      </c>
      <c r="G2">
        <v>63.488999999999997</v>
      </c>
      <c r="H2">
        <v>63.716999999999999</v>
      </c>
      <c r="I2">
        <v>66.078999999999994</v>
      </c>
      <c r="J2">
        <v>66.094999999999999</v>
      </c>
      <c r="K2">
        <v>65.834999999999994</v>
      </c>
      <c r="L2">
        <v>65.963999999999999</v>
      </c>
      <c r="M2">
        <v>67.587000000000003</v>
      </c>
      <c r="N2">
        <v>67.596999999999994</v>
      </c>
      <c r="O2">
        <v>69.852000000000004</v>
      </c>
      <c r="P2">
        <v>69.668999999999997</v>
      </c>
      <c r="Q2">
        <v>69.488</v>
      </c>
      <c r="R2">
        <v>72.325999999999993</v>
      </c>
      <c r="S2">
        <v>70.34</v>
      </c>
      <c r="T2">
        <v>72.319999999999993</v>
      </c>
      <c r="U2">
        <v>70.447999999999993</v>
      </c>
      <c r="V2">
        <v>69.418999999999997</v>
      </c>
      <c r="W2">
        <v>67.23</v>
      </c>
      <c r="X2">
        <v>67.418999999999997</v>
      </c>
      <c r="Y2">
        <v>69.418999999999997</v>
      </c>
      <c r="Z2">
        <v>70.210999999999999</v>
      </c>
      <c r="AA2">
        <v>70.457999999999998</v>
      </c>
      <c r="AB2">
        <v>69.596999999999994</v>
      </c>
      <c r="AC2">
        <v>71.596000000000004</v>
      </c>
      <c r="AD2">
        <v>70.418999999999997</v>
      </c>
      <c r="AE2">
        <v>70.736000000000004</v>
      </c>
      <c r="AF2">
        <v>73.131</v>
      </c>
      <c r="AG2">
        <v>69.647000000000006</v>
      </c>
      <c r="AH2">
        <v>68.488</v>
      </c>
      <c r="AI2">
        <v>71.626999999999995</v>
      </c>
      <c r="AJ2">
        <v>74.457999999999998</v>
      </c>
      <c r="AK2">
        <v>78.924000000000007</v>
      </c>
      <c r="AL2">
        <v>84.6</v>
      </c>
      <c r="AM2">
        <v>85.388000000000005</v>
      </c>
      <c r="AN2">
        <v>85.605000000000004</v>
      </c>
      <c r="AO2">
        <v>86.85</v>
      </c>
      <c r="AP2">
        <v>85.456999999999994</v>
      </c>
      <c r="AQ2">
        <v>87.070999999999998</v>
      </c>
      <c r="AR2">
        <v>89.119</v>
      </c>
      <c r="AS2">
        <v>88.73</v>
      </c>
      <c r="AT2">
        <v>87.48</v>
      </c>
      <c r="AU2">
        <v>88.311999999999998</v>
      </c>
      <c r="AV2">
        <v>88.18</v>
      </c>
      <c r="AW2">
        <v>88.13</v>
      </c>
      <c r="AX2">
        <v>90.13</v>
      </c>
      <c r="AY2">
        <v>87.994</v>
      </c>
      <c r="AZ2">
        <v>88.721999999999994</v>
      </c>
      <c r="BA2">
        <v>87.27</v>
      </c>
      <c r="BB2">
        <v>87.82</v>
      </c>
      <c r="BC2">
        <v>91.62</v>
      </c>
      <c r="BD2">
        <v>92.01</v>
      </c>
      <c r="BE2">
        <v>104</v>
      </c>
      <c r="BF2">
        <v>112.45</v>
      </c>
      <c r="BG2">
        <v>90.38</v>
      </c>
      <c r="BH2">
        <v>87.88</v>
      </c>
      <c r="BI2">
        <v>86.045000000000002</v>
      </c>
      <c r="BJ2">
        <v>80.087000000000003</v>
      </c>
      <c r="BK2">
        <v>79.150000000000006</v>
      </c>
      <c r="BL2">
        <v>78.069999999999993</v>
      </c>
      <c r="BM2">
        <v>77.400000000000006</v>
      </c>
      <c r="BN2">
        <v>77.34</v>
      </c>
      <c r="BO2">
        <v>77.3</v>
      </c>
      <c r="BP2">
        <v>77.3</v>
      </c>
      <c r="BQ2">
        <v>77.05</v>
      </c>
    </row>
    <row r="3" spans="1:69" x14ac:dyDescent="0.25">
      <c r="A3" t="s">
        <v>19</v>
      </c>
      <c r="B3">
        <v>80.069999999999993</v>
      </c>
      <c r="C3">
        <v>82.08</v>
      </c>
      <c r="D3">
        <v>82</v>
      </c>
      <c r="E3">
        <v>81.08</v>
      </c>
      <c r="F3">
        <v>81.459999999999994</v>
      </c>
      <c r="G3">
        <v>82.96</v>
      </c>
      <c r="H3">
        <v>80.69</v>
      </c>
      <c r="I3">
        <v>82.37</v>
      </c>
      <c r="J3">
        <v>81.77</v>
      </c>
      <c r="K3">
        <v>81.08</v>
      </c>
      <c r="L3">
        <v>80.77</v>
      </c>
      <c r="M3">
        <v>81</v>
      </c>
      <c r="N3">
        <v>80.98</v>
      </c>
      <c r="O3">
        <v>81.06</v>
      </c>
      <c r="P3">
        <v>83.27</v>
      </c>
      <c r="Q3">
        <v>84.92</v>
      </c>
      <c r="R3">
        <v>87.54</v>
      </c>
      <c r="S3">
        <v>89.08</v>
      </c>
      <c r="T3">
        <v>93.41</v>
      </c>
      <c r="U3">
        <v>92.59</v>
      </c>
      <c r="V3">
        <v>90.56</v>
      </c>
      <c r="W3">
        <v>88.7</v>
      </c>
      <c r="X3">
        <v>87.66</v>
      </c>
      <c r="Y3">
        <v>87.26</v>
      </c>
      <c r="Z3">
        <v>89.29</v>
      </c>
      <c r="AA3">
        <v>90.24</v>
      </c>
      <c r="AB3">
        <v>92.35</v>
      </c>
      <c r="AC3">
        <v>91.46</v>
      </c>
      <c r="AD3">
        <v>91.92</v>
      </c>
      <c r="AE3">
        <v>92.55</v>
      </c>
      <c r="AF3">
        <v>94.13</v>
      </c>
      <c r="AG3">
        <v>93.1</v>
      </c>
      <c r="AH3">
        <v>91.7</v>
      </c>
      <c r="AI3">
        <v>95.58</v>
      </c>
      <c r="AJ3">
        <v>98.01</v>
      </c>
      <c r="AK3">
        <v>98.12</v>
      </c>
      <c r="AL3">
        <v>94.41</v>
      </c>
      <c r="AM3">
        <v>93.51</v>
      </c>
      <c r="AN3">
        <v>97.41</v>
      </c>
      <c r="AO3">
        <v>99</v>
      </c>
      <c r="AP3">
        <v>100.8</v>
      </c>
      <c r="AQ3">
        <v>105.24</v>
      </c>
      <c r="AR3">
        <v>105.77</v>
      </c>
      <c r="AS3">
        <v>109.71</v>
      </c>
      <c r="AT3">
        <v>109.01</v>
      </c>
      <c r="AU3">
        <v>114.51</v>
      </c>
      <c r="AV3">
        <v>118.03</v>
      </c>
      <c r="AW3">
        <v>116.54</v>
      </c>
      <c r="AX3">
        <v>112.18</v>
      </c>
      <c r="AY3">
        <v>114</v>
      </c>
      <c r="AZ3">
        <v>109.83</v>
      </c>
      <c r="BA3">
        <v>112</v>
      </c>
      <c r="BB3">
        <v>109.07</v>
      </c>
      <c r="BC3">
        <v>114.13</v>
      </c>
      <c r="BD3">
        <v>103.96</v>
      </c>
      <c r="BE3">
        <v>104.9</v>
      </c>
      <c r="BF3">
        <v>105.18</v>
      </c>
      <c r="BG3">
        <v>102.18</v>
      </c>
      <c r="BH3">
        <v>101.15</v>
      </c>
      <c r="BI3">
        <v>101.39</v>
      </c>
      <c r="BJ3">
        <v>101.47</v>
      </c>
      <c r="BK3">
        <v>100.59</v>
      </c>
      <c r="BL3">
        <v>98.48</v>
      </c>
      <c r="BM3">
        <v>100.8</v>
      </c>
      <c r="BN3">
        <v>101.73</v>
      </c>
      <c r="BO3">
        <v>99.67</v>
      </c>
      <c r="BP3">
        <v>99.15</v>
      </c>
      <c r="BQ3">
        <v>98.9</v>
      </c>
    </row>
    <row r="4" spans="1:69" x14ac:dyDescent="0.25">
      <c r="A4" t="s">
        <v>26</v>
      </c>
      <c r="B4">
        <v>132.678</v>
      </c>
      <c r="C4">
        <v>132.82</v>
      </c>
      <c r="D4">
        <v>133.13499999999999</v>
      </c>
      <c r="E4">
        <v>132.06899999999999</v>
      </c>
      <c r="F4">
        <v>131.904</v>
      </c>
      <c r="G4">
        <v>131.59700000000001</v>
      </c>
      <c r="H4">
        <v>129.035</v>
      </c>
      <c r="I4">
        <v>129.59200000000001</v>
      </c>
      <c r="J4">
        <v>129.27000000000001</v>
      </c>
      <c r="K4">
        <v>130.078</v>
      </c>
      <c r="L4">
        <v>129.99299999999999</v>
      </c>
      <c r="M4">
        <v>129.268</v>
      </c>
      <c r="N4">
        <v>129.30000000000001</v>
      </c>
      <c r="O4">
        <v>129.505</v>
      </c>
      <c r="P4">
        <v>130.91900000000001</v>
      </c>
      <c r="Q4">
        <v>133.19800000000001</v>
      </c>
      <c r="R4">
        <v>131.46299999999999</v>
      </c>
      <c r="S4">
        <v>132.91999999999999</v>
      </c>
      <c r="T4">
        <v>135.32900000000001</v>
      </c>
      <c r="U4">
        <v>135.898</v>
      </c>
      <c r="V4">
        <v>133.45699999999999</v>
      </c>
      <c r="W4">
        <v>133.29300000000001</v>
      </c>
      <c r="X4">
        <v>132.869</v>
      </c>
      <c r="Y4">
        <v>132.19</v>
      </c>
      <c r="Z4">
        <v>134.13</v>
      </c>
      <c r="AA4">
        <v>133.77000000000001</v>
      </c>
      <c r="AB4">
        <v>134.25</v>
      </c>
      <c r="AC4">
        <v>134.04300000000001</v>
      </c>
      <c r="AD4">
        <v>134.35400000000001</v>
      </c>
      <c r="AE4">
        <v>134.14099999999999</v>
      </c>
      <c r="AF4">
        <v>134.13499999999999</v>
      </c>
      <c r="AG4">
        <v>134.07599999999999</v>
      </c>
      <c r="AH4">
        <v>134.173</v>
      </c>
      <c r="AI4">
        <v>134.46799999999999</v>
      </c>
      <c r="AJ4">
        <v>136.756</v>
      </c>
      <c r="AK4">
        <v>136.59100000000001</v>
      </c>
      <c r="AL4">
        <v>135.32400000000001</v>
      </c>
      <c r="AM4">
        <v>134.434</v>
      </c>
      <c r="AN4">
        <v>135.625</v>
      </c>
      <c r="AO4">
        <v>135.227</v>
      </c>
      <c r="AP4">
        <v>135.053</v>
      </c>
      <c r="AQ4">
        <v>135.911</v>
      </c>
      <c r="AR4">
        <v>136.30099999999999</v>
      </c>
      <c r="AS4">
        <v>136.41399999999999</v>
      </c>
      <c r="AT4">
        <v>137.04599999999999</v>
      </c>
      <c r="AU4">
        <v>138.584</v>
      </c>
      <c r="AV4">
        <v>139.99600000000001</v>
      </c>
      <c r="AW4">
        <v>140.35</v>
      </c>
      <c r="AX4">
        <v>142.40199999999999</v>
      </c>
      <c r="AY4">
        <v>146.512</v>
      </c>
      <c r="AZ4">
        <v>145.98099999999999</v>
      </c>
      <c r="BA4">
        <v>144.97300000000001</v>
      </c>
      <c r="BB4">
        <v>142.81200000000001</v>
      </c>
      <c r="BC4">
        <v>142.39599999999999</v>
      </c>
      <c r="BD4">
        <v>140.11799999999999</v>
      </c>
      <c r="BE4">
        <v>138.733</v>
      </c>
      <c r="BF4">
        <v>138.43</v>
      </c>
      <c r="BG4">
        <v>136.447</v>
      </c>
      <c r="BH4">
        <v>136.37799999999999</v>
      </c>
      <c r="BI4">
        <v>134.77000000000001</v>
      </c>
      <c r="BJ4">
        <v>134.137</v>
      </c>
      <c r="BK4">
        <v>133.999</v>
      </c>
      <c r="BL4">
        <v>132.977</v>
      </c>
      <c r="BM4">
        <v>133.01400000000001</v>
      </c>
      <c r="BN4">
        <v>133.76499999999999</v>
      </c>
      <c r="BO4">
        <v>131.78</v>
      </c>
      <c r="BP4">
        <v>132.41300000000001</v>
      </c>
      <c r="BQ4">
        <v>131.672</v>
      </c>
    </row>
    <row r="5" spans="1:69" x14ac:dyDescent="0.25">
      <c r="A5" t="s">
        <v>124</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x14ac:dyDescent="0.25">
      <c r="A6" t="s">
        <v>45</v>
      </c>
      <c r="B6">
        <v>0.86699999999999999</v>
      </c>
      <c r="C6">
        <v>0.875</v>
      </c>
      <c r="D6">
        <v>0.86799999999999999</v>
      </c>
      <c r="E6">
        <v>0.85399999999999998</v>
      </c>
      <c r="F6">
        <v>0.85399999999999998</v>
      </c>
      <c r="G6">
        <v>0.86699999999999999</v>
      </c>
      <c r="H6">
        <v>0.84099999999999997</v>
      </c>
      <c r="I6">
        <v>0.85799999999999998</v>
      </c>
      <c r="J6">
        <v>0.85199999999999998</v>
      </c>
      <c r="K6">
        <v>0.86499999999999999</v>
      </c>
      <c r="L6">
        <v>0.86499999999999999</v>
      </c>
      <c r="M6">
        <v>0.85299999999999998</v>
      </c>
      <c r="N6">
        <v>0.85499999999999998</v>
      </c>
      <c r="O6">
        <v>0.85599999999999998</v>
      </c>
      <c r="P6">
        <v>0.872</v>
      </c>
      <c r="Q6">
        <v>0.89700000000000002</v>
      </c>
      <c r="R6">
        <v>0.88</v>
      </c>
      <c r="S6">
        <v>0.91800000000000004</v>
      </c>
      <c r="T6">
        <v>0.96699999999999997</v>
      </c>
      <c r="U6">
        <v>0.98</v>
      </c>
      <c r="V6">
        <v>0.95299999999999996</v>
      </c>
      <c r="W6">
        <v>0.94299999999999995</v>
      </c>
      <c r="X6">
        <v>0.91400000000000003</v>
      </c>
      <c r="Y6">
        <v>0.90800000000000003</v>
      </c>
      <c r="Z6">
        <v>0.91300000000000003</v>
      </c>
      <c r="AA6">
        <v>0.91800000000000004</v>
      </c>
      <c r="AB6">
        <v>0.92300000000000004</v>
      </c>
      <c r="AC6">
        <v>0.92600000000000005</v>
      </c>
      <c r="AD6">
        <v>0.93200000000000005</v>
      </c>
      <c r="AE6">
        <v>0.91400000000000003</v>
      </c>
      <c r="AF6">
        <v>0.93300000000000005</v>
      </c>
      <c r="AG6">
        <v>0.91300000000000003</v>
      </c>
      <c r="AH6">
        <v>0.92700000000000005</v>
      </c>
      <c r="AI6">
        <v>0.93700000000000006</v>
      </c>
      <c r="AJ6">
        <v>0.94099999999999995</v>
      </c>
      <c r="AK6">
        <v>0.93100000000000005</v>
      </c>
      <c r="AL6">
        <v>0.91300000000000003</v>
      </c>
      <c r="AM6">
        <v>0.90200000000000002</v>
      </c>
      <c r="AN6">
        <v>0.92700000000000005</v>
      </c>
      <c r="AO6">
        <v>0.91700000000000004</v>
      </c>
      <c r="AP6">
        <v>0.91100000000000003</v>
      </c>
      <c r="AQ6">
        <v>0.93400000000000005</v>
      </c>
      <c r="AR6">
        <v>0.93300000000000005</v>
      </c>
      <c r="AS6">
        <v>0.92900000000000005</v>
      </c>
      <c r="AT6">
        <v>0.93799999999999994</v>
      </c>
      <c r="AU6">
        <v>0.97199999999999998</v>
      </c>
      <c r="AV6">
        <v>1.032</v>
      </c>
      <c r="AW6">
        <v>0.997</v>
      </c>
      <c r="AX6">
        <v>0.96499999999999997</v>
      </c>
      <c r="AY6">
        <v>0.996</v>
      </c>
      <c r="AZ6">
        <v>0.95799999999999996</v>
      </c>
      <c r="BA6">
        <v>0.94699999999999995</v>
      </c>
      <c r="BB6">
        <v>0.92</v>
      </c>
      <c r="BC6">
        <v>0.91300000000000003</v>
      </c>
      <c r="BD6">
        <v>0.878</v>
      </c>
      <c r="BE6">
        <v>0.876</v>
      </c>
      <c r="BF6">
        <v>0.88800000000000001</v>
      </c>
      <c r="BG6">
        <v>0.872</v>
      </c>
      <c r="BH6">
        <v>0.86</v>
      </c>
      <c r="BI6">
        <v>0.84699999999999998</v>
      </c>
      <c r="BJ6">
        <v>0.84099999999999997</v>
      </c>
      <c r="BK6">
        <v>0.83799999999999997</v>
      </c>
      <c r="BL6">
        <v>0.82</v>
      </c>
      <c r="BM6">
        <v>0.82599999999999996</v>
      </c>
      <c r="BN6">
        <v>0.85299999999999998</v>
      </c>
      <c r="BO6">
        <v>0.83699999999999997</v>
      </c>
      <c r="BP6">
        <v>0.82399999999999995</v>
      </c>
      <c r="BQ6">
        <v>0.82199999999999995</v>
      </c>
    </row>
    <row r="7" spans="1:69" x14ac:dyDescent="0.25">
      <c r="A7" t="s">
        <v>30</v>
      </c>
      <c r="B7">
        <v>912.79200000000003</v>
      </c>
      <c r="C7">
        <v>912.62900000000002</v>
      </c>
      <c r="D7">
        <v>913.11599999999999</v>
      </c>
      <c r="E7">
        <v>913.11599999999999</v>
      </c>
      <c r="F7">
        <v>912.13099999999997</v>
      </c>
      <c r="G7">
        <v>912.13099999999997</v>
      </c>
      <c r="H7">
        <v>912.25300000000004</v>
      </c>
      <c r="I7">
        <v>911.96799999999996</v>
      </c>
      <c r="J7">
        <v>912.14400000000001</v>
      </c>
      <c r="K7">
        <v>912.08500000000004</v>
      </c>
      <c r="L7">
        <v>911.97799999999995</v>
      </c>
      <c r="M7">
        <v>911.95500000000004</v>
      </c>
      <c r="N7">
        <v>911.95500000000004</v>
      </c>
      <c r="O7">
        <v>911.95500000000004</v>
      </c>
      <c r="P7">
        <v>911.95500000000004</v>
      </c>
      <c r="Q7">
        <v>911.95500000000004</v>
      </c>
      <c r="R7">
        <v>912</v>
      </c>
      <c r="S7">
        <v>912</v>
      </c>
      <c r="T7">
        <v>912</v>
      </c>
      <c r="U7">
        <v>912</v>
      </c>
      <c r="V7">
        <v>924.21600000000001</v>
      </c>
      <c r="W7">
        <v>909.05100000000004</v>
      </c>
      <c r="X7">
        <v>905</v>
      </c>
      <c r="Y7">
        <v>920.37800000000004</v>
      </c>
      <c r="Z7">
        <v>878.07100000000003</v>
      </c>
      <c r="AA7">
        <v>871.26099999999997</v>
      </c>
      <c r="AB7">
        <v>852.48400000000004</v>
      </c>
      <c r="AC7">
        <v>834.06</v>
      </c>
      <c r="AD7">
        <v>832.63300000000004</v>
      </c>
      <c r="AE7">
        <v>832.63099999999997</v>
      </c>
      <c r="AF7">
        <v>828.26099999999997</v>
      </c>
      <c r="AG7">
        <v>828.72400000000005</v>
      </c>
      <c r="AH7">
        <v>828.78300000000002</v>
      </c>
      <c r="AI7">
        <v>827.07</v>
      </c>
      <c r="AJ7">
        <v>825.798</v>
      </c>
      <c r="AK7">
        <v>825.13</v>
      </c>
      <c r="AL7">
        <v>824.89599999999996</v>
      </c>
      <c r="AM7">
        <v>823.66499999999996</v>
      </c>
      <c r="AN7">
        <v>635.05100000000004</v>
      </c>
      <c r="AO7">
        <v>507.483</v>
      </c>
      <c r="AP7">
        <v>505.88200000000001</v>
      </c>
      <c r="AQ7">
        <v>503.99200000000002</v>
      </c>
      <c r="AR7">
        <v>504.31799999999998</v>
      </c>
      <c r="AS7">
        <v>503.86500000000001</v>
      </c>
      <c r="AT7">
        <v>504.73399999999998</v>
      </c>
      <c r="AU7">
        <v>482.99</v>
      </c>
      <c r="AV7">
        <v>433.16399999999999</v>
      </c>
      <c r="AW7">
        <v>423.86</v>
      </c>
      <c r="AX7">
        <v>424.298</v>
      </c>
      <c r="AY7">
        <v>425.10500000000002</v>
      </c>
      <c r="AZ7">
        <v>426.44499999999999</v>
      </c>
      <c r="BA7">
        <v>400.77199999999999</v>
      </c>
      <c r="BB7">
        <v>432.57499999999999</v>
      </c>
      <c r="BC7">
        <v>470.43599999999998</v>
      </c>
      <c r="BD7">
        <v>521.69500000000005</v>
      </c>
      <c r="BE7">
        <v>585</v>
      </c>
      <c r="BF7">
        <v>585</v>
      </c>
      <c r="BG7">
        <v>597.03300000000002</v>
      </c>
      <c r="BH7">
        <v>603.33000000000004</v>
      </c>
      <c r="BI7">
        <v>643.12099999999998</v>
      </c>
      <c r="BJ7">
        <v>643.12099999999998</v>
      </c>
      <c r="BK7">
        <v>643.12099999999998</v>
      </c>
      <c r="BL7">
        <v>643.12099999999998</v>
      </c>
      <c r="BM7">
        <v>649</v>
      </c>
      <c r="BN7">
        <v>621.17200000000003</v>
      </c>
      <c r="BO7">
        <v>635.76199999999994</v>
      </c>
      <c r="BP7">
        <v>651.32500000000005</v>
      </c>
      <c r="BQ7">
        <v>650.28300000000002</v>
      </c>
    </row>
    <row r="8" spans="1:69" x14ac:dyDescent="0.25">
      <c r="A8" t="s">
        <v>286</v>
      </c>
      <c r="B8">
        <v>2.7</v>
      </c>
      <c r="C8">
        <v>2.7</v>
      </c>
      <c r="D8">
        <v>2.7</v>
      </c>
      <c r="E8">
        <v>2.7</v>
      </c>
      <c r="F8">
        <v>2.7</v>
      </c>
      <c r="G8">
        <v>2.7</v>
      </c>
      <c r="H8">
        <v>2.7</v>
      </c>
      <c r="I8">
        <v>2.7</v>
      </c>
      <c r="J8">
        <v>2.7</v>
      </c>
      <c r="K8">
        <v>2.7</v>
      </c>
      <c r="L8">
        <v>2.7</v>
      </c>
      <c r="M8">
        <v>2.7</v>
      </c>
      <c r="N8">
        <v>2.7</v>
      </c>
      <c r="O8">
        <v>2.7</v>
      </c>
      <c r="P8">
        <v>2.7</v>
      </c>
      <c r="Q8">
        <v>2.7</v>
      </c>
      <c r="R8">
        <v>2.7</v>
      </c>
      <c r="S8">
        <v>2.7</v>
      </c>
      <c r="T8">
        <v>2.7</v>
      </c>
      <c r="U8">
        <v>2.7</v>
      </c>
      <c r="V8">
        <v>2.7</v>
      </c>
      <c r="W8">
        <v>2.7</v>
      </c>
      <c r="X8">
        <v>2.7</v>
      </c>
      <c r="Y8">
        <v>2.7</v>
      </c>
      <c r="Z8">
        <v>2.7</v>
      </c>
      <c r="AA8">
        <v>2.7</v>
      </c>
      <c r="AB8">
        <v>2.7</v>
      </c>
      <c r="AC8">
        <v>2.7</v>
      </c>
      <c r="AD8">
        <v>2.7</v>
      </c>
      <c r="AE8">
        <v>2.7</v>
      </c>
      <c r="AF8">
        <v>2.7</v>
      </c>
      <c r="AG8">
        <v>2.7</v>
      </c>
      <c r="AH8">
        <v>2.7</v>
      </c>
      <c r="AI8">
        <v>2.7</v>
      </c>
      <c r="AJ8">
        <v>2.7</v>
      </c>
      <c r="AK8">
        <v>2.7</v>
      </c>
      <c r="AL8">
        <v>2.7</v>
      </c>
      <c r="AM8">
        <v>2.7</v>
      </c>
      <c r="AN8">
        <v>2.7</v>
      </c>
      <c r="AO8">
        <v>2.7</v>
      </c>
      <c r="AP8">
        <v>2.7</v>
      </c>
      <c r="AQ8">
        <v>2.7</v>
      </c>
      <c r="AR8">
        <v>2.7</v>
      </c>
      <c r="AS8">
        <v>2.7</v>
      </c>
      <c r="AT8">
        <v>2.7</v>
      </c>
      <c r="AU8">
        <v>2.7</v>
      </c>
      <c r="AV8">
        <v>2.7</v>
      </c>
      <c r="AW8">
        <v>2.7</v>
      </c>
      <c r="AX8">
        <v>2.7</v>
      </c>
      <c r="AY8">
        <v>2.7</v>
      </c>
      <c r="AZ8">
        <v>2.7</v>
      </c>
      <c r="BA8">
        <v>2.7</v>
      </c>
      <c r="BB8">
        <v>2.7</v>
      </c>
      <c r="BC8">
        <v>2.7</v>
      </c>
      <c r="BD8">
        <v>2.7</v>
      </c>
      <c r="BE8">
        <v>2.7</v>
      </c>
      <c r="BF8">
        <v>2.7</v>
      </c>
      <c r="BG8">
        <v>2.7</v>
      </c>
      <c r="BH8">
        <v>2.7</v>
      </c>
      <c r="BI8">
        <v>2.7</v>
      </c>
      <c r="BJ8">
        <v>2.7</v>
      </c>
      <c r="BK8">
        <v>2.7</v>
      </c>
      <c r="BL8">
        <v>2.7</v>
      </c>
      <c r="BM8">
        <v>2.7</v>
      </c>
      <c r="BN8">
        <v>2.7</v>
      </c>
      <c r="BO8">
        <v>2.7</v>
      </c>
      <c r="BP8">
        <v>2.7</v>
      </c>
      <c r="BQ8">
        <v>2.7</v>
      </c>
    </row>
    <row r="9" spans="1:69" x14ac:dyDescent="0.25">
      <c r="A9" t="s">
        <v>286</v>
      </c>
      <c r="B9">
        <v>2.7</v>
      </c>
      <c r="C9">
        <v>2.7</v>
      </c>
      <c r="D9">
        <v>2.7</v>
      </c>
      <c r="E9">
        <v>2.7</v>
      </c>
      <c r="F9">
        <v>2.7</v>
      </c>
      <c r="G9">
        <v>2.7</v>
      </c>
      <c r="H9">
        <v>2.7</v>
      </c>
      <c r="I9">
        <v>2.7</v>
      </c>
      <c r="J9">
        <v>2.7</v>
      </c>
      <c r="K9">
        <v>2.7</v>
      </c>
      <c r="L9">
        <v>2.7</v>
      </c>
      <c r="M9">
        <v>2.7</v>
      </c>
      <c r="N9">
        <v>2.7</v>
      </c>
      <c r="O9">
        <v>2.7</v>
      </c>
      <c r="P9">
        <v>2.7</v>
      </c>
      <c r="Q9">
        <v>2.7</v>
      </c>
      <c r="R9">
        <v>2.7</v>
      </c>
      <c r="S9">
        <v>2.7</v>
      </c>
      <c r="T9">
        <v>2.7</v>
      </c>
      <c r="U9">
        <v>2.7</v>
      </c>
      <c r="V9">
        <v>2.7</v>
      </c>
      <c r="W9">
        <v>2.7</v>
      </c>
      <c r="X9">
        <v>2.7</v>
      </c>
      <c r="Y9">
        <v>2.7</v>
      </c>
      <c r="Z9">
        <v>2.7</v>
      </c>
      <c r="AA9">
        <v>2.7</v>
      </c>
      <c r="AB9">
        <v>2.7</v>
      </c>
      <c r="AC9">
        <v>2.7</v>
      </c>
      <c r="AD9">
        <v>2.7</v>
      </c>
      <c r="AE9">
        <v>2.7</v>
      </c>
      <c r="AF9">
        <v>2.7</v>
      </c>
      <c r="AG9">
        <v>2.7</v>
      </c>
      <c r="AH9">
        <v>2.7</v>
      </c>
      <c r="AI9">
        <v>2.7</v>
      </c>
      <c r="AJ9">
        <v>2.7</v>
      </c>
      <c r="AK9">
        <v>2.7</v>
      </c>
      <c r="AL9">
        <v>2.7</v>
      </c>
      <c r="AM9">
        <v>2.7</v>
      </c>
      <c r="AN9">
        <v>2.7</v>
      </c>
      <c r="AO9">
        <v>2.7</v>
      </c>
      <c r="AP9">
        <v>2.7</v>
      </c>
      <c r="AQ9">
        <v>2.7</v>
      </c>
      <c r="AR9">
        <v>2.7</v>
      </c>
      <c r="AS9">
        <v>2.7</v>
      </c>
      <c r="AT9">
        <v>2.7</v>
      </c>
      <c r="AU9">
        <v>2.7</v>
      </c>
      <c r="AV9">
        <v>2.7</v>
      </c>
      <c r="AW9">
        <v>2.7</v>
      </c>
      <c r="AX9">
        <v>2.7</v>
      </c>
      <c r="AY9">
        <v>2.7</v>
      </c>
      <c r="AZ9">
        <v>2.7</v>
      </c>
      <c r="BA9">
        <v>2.7</v>
      </c>
      <c r="BB9">
        <v>2.7</v>
      </c>
      <c r="BC9">
        <v>2.7</v>
      </c>
      <c r="BD9">
        <v>2.7</v>
      </c>
      <c r="BE9">
        <v>2.7</v>
      </c>
      <c r="BF9">
        <v>2.7</v>
      </c>
      <c r="BG9">
        <v>2.7</v>
      </c>
      <c r="BH9">
        <v>2.7</v>
      </c>
      <c r="BI9">
        <v>2.7</v>
      </c>
      <c r="BJ9">
        <v>2.7</v>
      </c>
      <c r="BK9">
        <v>2.7</v>
      </c>
      <c r="BL9">
        <v>2.7</v>
      </c>
      <c r="BM9">
        <v>2.7</v>
      </c>
      <c r="BN9">
        <v>2.7</v>
      </c>
      <c r="BO9">
        <v>2.7</v>
      </c>
      <c r="BP9">
        <v>2.7</v>
      </c>
      <c r="BQ9">
        <v>2.7</v>
      </c>
    </row>
    <row r="10" spans="1:69" x14ac:dyDescent="0.25">
      <c r="A10" t="s">
        <v>37</v>
      </c>
      <c r="B10">
        <v>1491.972</v>
      </c>
      <c r="C10">
        <v>1488.32</v>
      </c>
      <c r="D10">
        <v>1426.94</v>
      </c>
      <c r="E10">
        <v>1385.6659999999999</v>
      </c>
      <c r="F10">
        <v>1368.873</v>
      </c>
      <c r="G10">
        <v>1399.7739999999999</v>
      </c>
      <c r="H10">
        <v>1391.37</v>
      </c>
      <c r="I10">
        <v>1467</v>
      </c>
      <c r="J10">
        <v>1437.4929999999999</v>
      </c>
      <c r="K10">
        <v>1411.492</v>
      </c>
      <c r="L10">
        <v>1347.6479999999999</v>
      </c>
      <c r="M10">
        <v>1423.5150000000001</v>
      </c>
      <c r="N10">
        <v>1322</v>
      </c>
      <c r="O10">
        <v>1254.9849999999999</v>
      </c>
      <c r="P10">
        <v>1181.117</v>
      </c>
      <c r="Q10">
        <v>1126.25</v>
      </c>
      <c r="R10">
        <v>1075.6600000000001</v>
      </c>
      <c r="S10">
        <v>1066</v>
      </c>
      <c r="T10">
        <v>1056.07</v>
      </c>
      <c r="U10">
        <v>1039.1199999999999</v>
      </c>
      <c r="V10">
        <v>1016.59</v>
      </c>
      <c r="W10">
        <v>998.13699999999994</v>
      </c>
      <c r="X10">
        <v>974.56200000000001</v>
      </c>
      <c r="Y10">
        <v>958.24599999999998</v>
      </c>
      <c r="Z10">
        <v>939.48699999999997</v>
      </c>
      <c r="AA10">
        <v>919.33600000000001</v>
      </c>
      <c r="AB10">
        <v>902.18399999999997</v>
      </c>
      <c r="AC10">
        <v>884.23699999999997</v>
      </c>
      <c r="AD10">
        <v>865.67700000000002</v>
      </c>
      <c r="AE10">
        <v>849.52200000000005</v>
      </c>
      <c r="AF10">
        <v>831.28800000000001</v>
      </c>
      <c r="AG10">
        <v>815.4</v>
      </c>
      <c r="AH10">
        <v>799.95</v>
      </c>
      <c r="AI10">
        <v>350.005</v>
      </c>
      <c r="AJ10">
        <v>350.02100000000002</v>
      </c>
      <c r="AK10">
        <v>349.96899999999999</v>
      </c>
      <c r="AL10">
        <v>287.2</v>
      </c>
      <c r="AM10">
        <v>263.86700000000002</v>
      </c>
      <c r="AN10">
        <v>247.25700000000001</v>
      </c>
      <c r="AO10">
        <v>228.96</v>
      </c>
      <c r="AP10">
        <v>214.18600000000001</v>
      </c>
      <c r="AQ10">
        <v>200.64699999999999</v>
      </c>
      <c r="AR10">
        <v>191.64</v>
      </c>
      <c r="AS10">
        <v>180.68199999999999</v>
      </c>
      <c r="AT10">
        <v>171.745</v>
      </c>
      <c r="AU10">
        <v>160.72399999999999</v>
      </c>
      <c r="AV10">
        <v>150.97300000000001</v>
      </c>
      <c r="AW10">
        <v>142.57</v>
      </c>
      <c r="AX10">
        <v>134.21</v>
      </c>
      <c r="AY10">
        <v>127.79</v>
      </c>
      <c r="AZ10">
        <v>122.286</v>
      </c>
      <c r="BA10">
        <v>117.06399999999999</v>
      </c>
      <c r="BB10">
        <v>112.724</v>
      </c>
      <c r="BC10">
        <v>108.88</v>
      </c>
      <c r="BD10">
        <v>106.101</v>
      </c>
      <c r="BE10">
        <v>103.607</v>
      </c>
      <c r="BF10">
        <v>100.929</v>
      </c>
      <c r="BG10">
        <v>99.691000000000003</v>
      </c>
      <c r="BH10">
        <v>98.7</v>
      </c>
      <c r="BI10">
        <v>97.710999999999999</v>
      </c>
      <c r="BJ10">
        <v>96.647999999999996</v>
      </c>
      <c r="BK10">
        <v>95.671999999999997</v>
      </c>
      <c r="BL10">
        <v>94.516999999999996</v>
      </c>
      <c r="BM10">
        <v>93.504000000000005</v>
      </c>
      <c r="BN10">
        <v>91.96</v>
      </c>
      <c r="BO10">
        <v>89.751000000000005</v>
      </c>
      <c r="BP10">
        <v>87.204999999999998</v>
      </c>
      <c r="BQ10">
        <v>84.019000000000005</v>
      </c>
    </row>
    <row r="11" spans="1:69" x14ac:dyDescent="0.25">
      <c r="A11" t="s">
        <v>34</v>
      </c>
      <c r="B11">
        <v>365</v>
      </c>
      <c r="C11">
        <v>366.33</v>
      </c>
      <c r="D11">
        <v>367</v>
      </c>
      <c r="E11">
        <v>367.25</v>
      </c>
      <c r="F11">
        <v>375.13</v>
      </c>
      <c r="G11">
        <v>375.8</v>
      </c>
      <c r="H11">
        <v>376</v>
      </c>
      <c r="I11">
        <v>379.5</v>
      </c>
      <c r="J11">
        <v>380.02</v>
      </c>
      <c r="K11">
        <v>381</v>
      </c>
      <c r="L11">
        <v>381</v>
      </c>
      <c r="M11">
        <v>381.4</v>
      </c>
      <c r="N11">
        <v>382.13</v>
      </c>
      <c r="O11">
        <v>383.13</v>
      </c>
      <c r="P11">
        <v>382.08</v>
      </c>
      <c r="Q11">
        <v>386.5</v>
      </c>
      <c r="R11">
        <v>389.83</v>
      </c>
      <c r="S11">
        <v>392</v>
      </c>
      <c r="T11">
        <v>394</v>
      </c>
      <c r="U11">
        <v>393.86</v>
      </c>
      <c r="V11">
        <v>390</v>
      </c>
      <c r="W11">
        <v>385.6</v>
      </c>
      <c r="X11">
        <v>385.6</v>
      </c>
      <c r="Y11">
        <v>386</v>
      </c>
      <c r="Z11">
        <v>386</v>
      </c>
      <c r="AA11">
        <v>385.75</v>
      </c>
      <c r="AB11">
        <v>386</v>
      </c>
      <c r="AC11">
        <v>385.75</v>
      </c>
      <c r="AD11">
        <v>391.25</v>
      </c>
      <c r="AE11">
        <v>401.13</v>
      </c>
      <c r="AF11">
        <v>401</v>
      </c>
      <c r="AG11">
        <v>402</v>
      </c>
      <c r="AH11">
        <v>400.2</v>
      </c>
      <c r="AI11">
        <v>400</v>
      </c>
      <c r="AJ11">
        <v>392.8</v>
      </c>
      <c r="AK11">
        <v>383.45</v>
      </c>
      <c r="AL11">
        <v>384.1</v>
      </c>
      <c r="AM11">
        <v>383</v>
      </c>
      <c r="AN11">
        <v>383.25</v>
      </c>
      <c r="AO11">
        <v>383.25</v>
      </c>
      <c r="AP11">
        <v>385</v>
      </c>
      <c r="AQ11">
        <v>385</v>
      </c>
      <c r="AR11">
        <v>391.5</v>
      </c>
      <c r="AS11">
        <v>393</v>
      </c>
      <c r="AT11">
        <v>391.7</v>
      </c>
      <c r="AU11">
        <v>392</v>
      </c>
      <c r="AV11">
        <v>399.8</v>
      </c>
      <c r="AW11">
        <v>401.2</v>
      </c>
      <c r="AX11">
        <v>402</v>
      </c>
      <c r="AY11">
        <v>409.1</v>
      </c>
      <c r="AZ11">
        <v>411.69</v>
      </c>
      <c r="BA11">
        <v>455.63</v>
      </c>
      <c r="BB11">
        <v>466.9</v>
      </c>
      <c r="BC11">
        <v>510.13</v>
      </c>
      <c r="BD11">
        <v>476.91</v>
      </c>
      <c r="BE11">
        <v>477.4</v>
      </c>
      <c r="BF11">
        <v>482.52</v>
      </c>
      <c r="BG11">
        <v>474.9</v>
      </c>
      <c r="BH11">
        <v>482.25</v>
      </c>
      <c r="BI11">
        <v>490.5</v>
      </c>
      <c r="BJ11">
        <v>481.25</v>
      </c>
      <c r="BK11">
        <v>494.05</v>
      </c>
      <c r="BL11">
        <v>518.29999999999995</v>
      </c>
      <c r="BM11">
        <v>518.25</v>
      </c>
      <c r="BN11">
        <v>528.88</v>
      </c>
      <c r="BO11">
        <v>525.13</v>
      </c>
      <c r="BP11">
        <v>516.5</v>
      </c>
      <c r="BQ11">
        <v>519.62</v>
      </c>
    </row>
    <row r="12" spans="1:69" x14ac:dyDescent="0.25">
      <c r="A12" t="s">
        <v>49</v>
      </c>
      <c r="B12">
        <v>1.79</v>
      </c>
      <c r="C12">
        <v>1.79</v>
      </c>
      <c r="D12">
        <v>1.79</v>
      </c>
      <c r="E12">
        <v>1.79</v>
      </c>
      <c r="F12">
        <v>1.79</v>
      </c>
      <c r="G12">
        <v>1.79</v>
      </c>
      <c r="H12">
        <v>1.79</v>
      </c>
      <c r="I12">
        <v>1.79</v>
      </c>
      <c r="J12">
        <v>1.79</v>
      </c>
      <c r="K12">
        <v>1.79</v>
      </c>
      <c r="L12">
        <v>1.79</v>
      </c>
      <c r="M12">
        <v>1.79</v>
      </c>
      <c r="N12">
        <v>1.79</v>
      </c>
      <c r="O12">
        <v>1.79</v>
      </c>
      <c r="P12">
        <v>1.79</v>
      </c>
      <c r="Q12">
        <v>1.79</v>
      </c>
      <c r="R12">
        <v>1.79</v>
      </c>
      <c r="S12">
        <v>1.79</v>
      </c>
      <c r="T12">
        <v>1.79</v>
      </c>
      <c r="U12">
        <v>1.79</v>
      </c>
      <c r="V12">
        <v>1.79</v>
      </c>
      <c r="W12">
        <v>1.79</v>
      </c>
      <c r="X12">
        <v>1.79</v>
      </c>
      <c r="Y12">
        <v>1.79</v>
      </c>
      <c r="Z12">
        <v>1.79</v>
      </c>
      <c r="AA12">
        <v>1.79</v>
      </c>
      <c r="AB12">
        <v>1.79</v>
      </c>
      <c r="AC12">
        <v>1.79</v>
      </c>
      <c r="AD12">
        <v>1.79</v>
      </c>
      <c r="AE12">
        <v>1.79</v>
      </c>
      <c r="AF12">
        <v>1.79</v>
      </c>
      <c r="AG12">
        <v>1.79</v>
      </c>
      <c r="AH12">
        <v>1.79</v>
      </c>
      <c r="AI12">
        <v>1.79</v>
      </c>
      <c r="AJ12">
        <v>1.79</v>
      </c>
      <c r="AK12">
        <v>1.79</v>
      </c>
      <c r="AL12">
        <v>1.79</v>
      </c>
      <c r="AM12">
        <v>1.79</v>
      </c>
      <c r="AN12">
        <v>1.79</v>
      </c>
      <c r="AO12">
        <v>1.79</v>
      </c>
      <c r="AP12">
        <v>1.79</v>
      </c>
      <c r="AQ12">
        <v>1.79</v>
      </c>
      <c r="AR12">
        <v>1.79</v>
      </c>
      <c r="AS12">
        <v>1.79</v>
      </c>
      <c r="AT12">
        <v>1.79</v>
      </c>
      <c r="AU12">
        <v>1.79</v>
      </c>
      <c r="AV12">
        <v>1.79</v>
      </c>
      <c r="AW12">
        <v>1.79</v>
      </c>
      <c r="AX12">
        <v>1.79</v>
      </c>
      <c r="AY12">
        <v>1.79</v>
      </c>
      <c r="AZ12">
        <v>1.79</v>
      </c>
      <c r="BA12">
        <v>1.79</v>
      </c>
      <c r="BB12">
        <v>1.79</v>
      </c>
      <c r="BC12">
        <v>1.79</v>
      </c>
      <c r="BD12">
        <v>1.79</v>
      </c>
      <c r="BE12">
        <v>1.79</v>
      </c>
      <c r="BF12">
        <v>1.79</v>
      </c>
      <c r="BG12">
        <v>1.79</v>
      </c>
      <c r="BH12">
        <v>1.79</v>
      </c>
      <c r="BI12">
        <v>1.79</v>
      </c>
      <c r="BJ12">
        <v>1.79</v>
      </c>
      <c r="BK12">
        <v>1.7827999999999999</v>
      </c>
      <c r="BL12">
        <v>1.7864</v>
      </c>
      <c r="BM12">
        <v>1.79</v>
      </c>
      <c r="BN12">
        <v>1.79</v>
      </c>
      <c r="BO12">
        <v>1.79</v>
      </c>
      <c r="BP12">
        <v>1.79</v>
      </c>
      <c r="BQ12">
        <v>1.79</v>
      </c>
    </row>
    <row r="13" spans="1:69" x14ac:dyDescent="0.25">
      <c r="A13" t="s">
        <v>42</v>
      </c>
      <c r="B13">
        <v>1.417</v>
      </c>
      <c r="C13">
        <v>1.4410000000000001</v>
      </c>
      <c r="D13">
        <v>1.4319999999999999</v>
      </c>
      <c r="E13">
        <v>1.38</v>
      </c>
      <c r="F13">
        <v>1.415</v>
      </c>
      <c r="G13">
        <v>1.4079999999999999</v>
      </c>
      <c r="H13">
        <v>1.403</v>
      </c>
      <c r="I13">
        <v>1.4970000000000001</v>
      </c>
      <c r="J13">
        <v>1.4990000000000001</v>
      </c>
      <c r="K13">
        <v>1.53</v>
      </c>
      <c r="L13">
        <v>1.5349999999999999</v>
      </c>
      <c r="M13">
        <v>1.5089999999999999</v>
      </c>
      <c r="N13">
        <v>1.5269999999999999</v>
      </c>
      <c r="O13">
        <v>1.52</v>
      </c>
      <c r="P13">
        <v>1.534</v>
      </c>
      <c r="Q13">
        <v>1.5549999999999999</v>
      </c>
      <c r="R13">
        <v>1.591</v>
      </c>
      <c r="S13">
        <v>1.59</v>
      </c>
      <c r="T13">
        <v>1.599</v>
      </c>
      <c r="U13">
        <v>1.6240000000000001</v>
      </c>
      <c r="V13">
        <v>1.5720000000000001</v>
      </c>
      <c r="W13">
        <v>1.5369999999999999</v>
      </c>
      <c r="X13">
        <v>1.484</v>
      </c>
      <c r="Y13">
        <v>1.504</v>
      </c>
      <c r="Z13">
        <v>1.5129999999999999</v>
      </c>
      <c r="AA13">
        <v>1.4730000000000001</v>
      </c>
      <c r="AB13">
        <v>1.494</v>
      </c>
      <c r="AC13">
        <v>1.51</v>
      </c>
      <c r="AD13">
        <v>1.53</v>
      </c>
      <c r="AE13">
        <v>1.5109999999999999</v>
      </c>
      <c r="AF13">
        <v>1.546</v>
      </c>
      <c r="AG13">
        <v>1.498</v>
      </c>
      <c r="AH13">
        <v>1.522</v>
      </c>
      <c r="AI13">
        <v>1.571</v>
      </c>
      <c r="AJ13">
        <v>1.556</v>
      </c>
      <c r="AK13">
        <v>1.5569999999999999</v>
      </c>
      <c r="AL13">
        <v>1.538</v>
      </c>
      <c r="AM13">
        <v>1.4770000000000001</v>
      </c>
      <c r="AN13">
        <v>1.4770000000000001</v>
      </c>
      <c r="AO13">
        <v>1.4930000000000001</v>
      </c>
      <c r="AP13">
        <v>1.4930000000000001</v>
      </c>
      <c r="AQ13">
        <v>1.5009999999999999</v>
      </c>
      <c r="AR13">
        <v>1.4370000000000001</v>
      </c>
      <c r="AS13">
        <v>1.448</v>
      </c>
      <c r="AT13">
        <v>1.4510000000000001</v>
      </c>
      <c r="AU13">
        <v>1.4970000000000001</v>
      </c>
      <c r="AV13">
        <v>1.5980000000000001</v>
      </c>
      <c r="AW13">
        <v>1.472</v>
      </c>
      <c r="AX13">
        <v>1.403</v>
      </c>
      <c r="AY13">
        <v>1.4810000000000001</v>
      </c>
      <c r="AZ13">
        <v>1.4359999999999999</v>
      </c>
      <c r="BA13">
        <v>1.423</v>
      </c>
      <c r="BB13">
        <v>1.339</v>
      </c>
      <c r="BC13">
        <v>1.365</v>
      </c>
      <c r="BD13">
        <v>1.3939999999999999</v>
      </c>
      <c r="BE13">
        <v>1.3759999999999999</v>
      </c>
      <c r="BF13">
        <v>1.401</v>
      </c>
      <c r="BG13">
        <v>1.369</v>
      </c>
      <c r="BH13">
        <v>1.39</v>
      </c>
      <c r="BI13">
        <v>1.357</v>
      </c>
      <c r="BJ13">
        <v>1.353</v>
      </c>
      <c r="BK13">
        <v>1.3220000000000001</v>
      </c>
      <c r="BL13">
        <v>1.2909999999999999</v>
      </c>
      <c r="BM13">
        <v>1.2869999999999999</v>
      </c>
      <c r="BN13">
        <v>1.3140000000000001</v>
      </c>
      <c r="BO13">
        <v>1.2889999999999999</v>
      </c>
      <c r="BP13">
        <v>1.288</v>
      </c>
      <c r="BQ13">
        <v>1.294</v>
      </c>
    </row>
    <row r="14" spans="1:69" x14ac:dyDescent="0.25">
      <c r="A14" t="s">
        <v>45</v>
      </c>
      <c r="B14">
        <v>0.86699999999999999</v>
      </c>
      <c r="C14">
        <v>0.875</v>
      </c>
      <c r="D14">
        <v>0.86799999999999999</v>
      </c>
      <c r="E14">
        <v>0.85399999999999998</v>
      </c>
      <c r="F14">
        <v>0.85399999999999998</v>
      </c>
      <c r="G14">
        <v>0.86699999999999999</v>
      </c>
      <c r="H14">
        <v>0.84099999999999997</v>
      </c>
      <c r="I14">
        <v>0.85799999999999998</v>
      </c>
      <c r="J14">
        <v>0.85199999999999998</v>
      </c>
      <c r="K14">
        <v>0.86499999999999999</v>
      </c>
      <c r="L14">
        <v>0.86499999999999999</v>
      </c>
      <c r="M14">
        <v>0.85299999999999998</v>
      </c>
      <c r="N14">
        <v>0.85499999999999998</v>
      </c>
      <c r="O14">
        <v>0.85599999999999998</v>
      </c>
      <c r="P14">
        <v>0.872</v>
      </c>
      <c r="Q14">
        <v>0.89700000000000002</v>
      </c>
      <c r="R14">
        <v>0.88</v>
      </c>
      <c r="S14">
        <v>0.91800000000000004</v>
      </c>
      <c r="T14">
        <v>0.96699999999999997</v>
      </c>
      <c r="U14">
        <v>0.98</v>
      </c>
      <c r="V14">
        <v>0.95299999999999996</v>
      </c>
      <c r="W14">
        <v>0.94299999999999995</v>
      </c>
      <c r="X14">
        <v>0.91400000000000003</v>
      </c>
      <c r="Y14">
        <v>0.90800000000000003</v>
      </c>
      <c r="Z14">
        <v>0.91300000000000003</v>
      </c>
      <c r="AA14">
        <v>0.91800000000000004</v>
      </c>
      <c r="AB14">
        <v>0.92300000000000004</v>
      </c>
      <c r="AC14">
        <v>0.92600000000000005</v>
      </c>
      <c r="AD14">
        <v>0.93200000000000005</v>
      </c>
      <c r="AE14">
        <v>0.91400000000000003</v>
      </c>
      <c r="AF14">
        <v>0.93300000000000005</v>
      </c>
      <c r="AG14">
        <v>0.91300000000000003</v>
      </c>
      <c r="AH14">
        <v>0.92700000000000005</v>
      </c>
      <c r="AI14">
        <v>0.93700000000000006</v>
      </c>
      <c r="AJ14">
        <v>0.94099999999999995</v>
      </c>
      <c r="AK14">
        <v>0.93100000000000005</v>
      </c>
      <c r="AL14">
        <v>0.91300000000000003</v>
      </c>
      <c r="AM14">
        <v>0.90200000000000002</v>
      </c>
      <c r="AN14">
        <v>0.92700000000000005</v>
      </c>
      <c r="AO14">
        <v>0.91700000000000004</v>
      </c>
      <c r="AP14">
        <v>0.91100000000000003</v>
      </c>
      <c r="AQ14">
        <v>0.93400000000000005</v>
      </c>
      <c r="AR14">
        <v>0.93300000000000005</v>
      </c>
      <c r="AS14">
        <v>0.92900000000000005</v>
      </c>
      <c r="AT14">
        <v>0.93799999999999994</v>
      </c>
      <c r="AU14">
        <v>0.97199999999999998</v>
      </c>
      <c r="AV14">
        <v>1.032</v>
      </c>
      <c r="AW14">
        <v>0.997</v>
      </c>
      <c r="AX14">
        <v>0.96499999999999997</v>
      </c>
      <c r="AY14">
        <v>0.996</v>
      </c>
      <c r="AZ14">
        <v>0.95799999999999996</v>
      </c>
      <c r="BA14">
        <v>0.94699999999999995</v>
      </c>
      <c r="BB14">
        <v>0.92</v>
      </c>
      <c r="BC14">
        <v>0.91300000000000003</v>
      </c>
      <c r="BD14">
        <v>0.878</v>
      </c>
      <c r="BE14">
        <v>0.876</v>
      </c>
      <c r="BF14">
        <v>0.88800000000000001</v>
      </c>
      <c r="BG14">
        <v>0.872</v>
      </c>
      <c r="BH14">
        <v>0.86</v>
      </c>
      <c r="BI14">
        <v>0.84699999999999998</v>
      </c>
      <c r="BJ14">
        <v>0.84099999999999997</v>
      </c>
      <c r="BK14">
        <v>0.83799999999999997</v>
      </c>
      <c r="BL14">
        <v>0.82</v>
      </c>
      <c r="BM14">
        <v>0.82599999999999996</v>
      </c>
      <c r="BN14">
        <v>0.85299999999999998</v>
      </c>
      <c r="BO14">
        <v>0.83699999999999997</v>
      </c>
      <c r="BP14">
        <v>0.82399999999999995</v>
      </c>
      <c r="BQ14">
        <v>0.82199999999999995</v>
      </c>
    </row>
    <row r="15" spans="1:69" x14ac:dyDescent="0.25">
      <c r="A15" t="s">
        <v>48</v>
      </c>
      <c r="B15">
        <v>1.698</v>
      </c>
      <c r="C15">
        <v>1.698</v>
      </c>
      <c r="D15">
        <v>1.6990000000000001</v>
      </c>
      <c r="E15">
        <v>1.698</v>
      </c>
      <c r="F15">
        <v>1.698</v>
      </c>
      <c r="G15">
        <v>1.698</v>
      </c>
      <c r="H15">
        <v>1.698</v>
      </c>
      <c r="I15">
        <v>1.698</v>
      </c>
      <c r="J15">
        <v>1.698</v>
      </c>
      <c r="K15">
        <v>1.698</v>
      </c>
      <c r="L15">
        <v>1.698</v>
      </c>
      <c r="M15">
        <v>1.698</v>
      </c>
      <c r="N15">
        <v>1.698</v>
      </c>
      <c r="O15">
        <v>1.698</v>
      </c>
      <c r="P15">
        <v>1.698</v>
      </c>
      <c r="Q15">
        <v>1.698</v>
      </c>
      <c r="R15">
        <v>1.698</v>
      </c>
      <c r="S15">
        <v>1.698</v>
      </c>
      <c r="T15">
        <v>1.698</v>
      </c>
      <c r="U15">
        <v>1.6990000000000001</v>
      </c>
      <c r="V15">
        <v>1.6990000000000001</v>
      </c>
      <c r="W15">
        <v>1.7</v>
      </c>
      <c r="X15">
        <v>1.698</v>
      </c>
      <c r="Y15">
        <v>1.6990000000000001</v>
      </c>
      <c r="Z15">
        <v>1.6990000000000001</v>
      </c>
      <c r="AA15">
        <v>1.698</v>
      </c>
      <c r="AB15">
        <v>1.698</v>
      </c>
      <c r="AC15">
        <v>1.6990000000000001</v>
      </c>
      <c r="AD15">
        <v>1.6990000000000001</v>
      </c>
      <c r="AE15">
        <v>1.698</v>
      </c>
      <c r="AF15">
        <v>1.698</v>
      </c>
      <c r="AG15">
        <v>1.698</v>
      </c>
      <c r="AH15">
        <v>1.698</v>
      </c>
      <c r="AI15">
        <v>1.698</v>
      </c>
      <c r="AJ15">
        <v>1.696</v>
      </c>
      <c r="AK15">
        <v>1.694</v>
      </c>
      <c r="AL15">
        <v>1.696</v>
      </c>
      <c r="AM15">
        <v>1.6950000000000001</v>
      </c>
      <c r="AN15">
        <v>1.696</v>
      </c>
      <c r="AO15">
        <v>1.6950000000000001</v>
      </c>
      <c r="AP15">
        <v>1.694</v>
      </c>
      <c r="AQ15">
        <v>1.694</v>
      </c>
      <c r="AR15">
        <v>1.6950000000000001</v>
      </c>
      <c r="AS15">
        <v>1.6930000000000001</v>
      </c>
      <c r="AT15">
        <v>1.694</v>
      </c>
      <c r="AU15">
        <v>1.6930000000000001</v>
      </c>
      <c r="AV15">
        <v>1.6910000000000001</v>
      </c>
      <c r="AW15">
        <v>1.6910000000000001</v>
      </c>
      <c r="AX15">
        <v>1.6910000000000001</v>
      </c>
      <c r="AY15">
        <v>1.69</v>
      </c>
      <c r="AZ15">
        <v>1.6919999999999999</v>
      </c>
      <c r="BA15">
        <v>1.6950000000000001</v>
      </c>
      <c r="BB15">
        <v>1.6930000000000001</v>
      </c>
      <c r="BC15">
        <v>1.6910000000000001</v>
      </c>
      <c r="BD15">
        <v>1.6930000000000001</v>
      </c>
      <c r="BE15">
        <v>1.6950000000000001</v>
      </c>
      <c r="BF15">
        <v>1.6950000000000001</v>
      </c>
      <c r="BG15">
        <v>1.6950000000000001</v>
      </c>
      <c r="BH15">
        <v>1.6950000000000001</v>
      </c>
      <c r="BI15">
        <v>1.6950000000000001</v>
      </c>
      <c r="BJ15">
        <v>1.6950000000000001</v>
      </c>
      <c r="BK15">
        <v>1.6950000000000001</v>
      </c>
      <c r="BL15">
        <v>1.6950000000000001</v>
      </c>
      <c r="BM15">
        <v>1.6930000000000001</v>
      </c>
      <c r="BN15">
        <v>1.6990000000000001</v>
      </c>
      <c r="BO15">
        <v>1.6990000000000001</v>
      </c>
      <c r="BP15">
        <v>1.6930000000000001</v>
      </c>
      <c r="BQ15">
        <v>1.6930000000000001</v>
      </c>
    </row>
    <row r="16" spans="1:69" x14ac:dyDescent="0.25">
      <c r="A16" t="s">
        <v>51</v>
      </c>
      <c r="B16">
        <v>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row>
    <row r="17" spans="1:69" x14ac:dyDescent="0.25">
      <c r="A17" t="s">
        <v>53</v>
      </c>
      <c r="B17">
        <v>0.377</v>
      </c>
      <c r="C17">
        <v>0.377</v>
      </c>
      <c r="D17">
        <v>0.377</v>
      </c>
      <c r="E17">
        <v>0.377</v>
      </c>
      <c r="F17">
        <v>0.377</v>
      </c>
      <c r="G17">
        <v>0.377</v>
      </c>
      <c r="H17">
        <v>0.377</v>
      </c>
      <c r="I17">
        <v>0.377</v>
      </c>
      <c r="J17">
        <v>0.377</v>
      </c>
      <c r="K17">
        <v>0.377</v>
      </c>
      <c r="L17">
        <v>0.377</v>
      </c>
      <c r="M17">
        <v>0.377</v>
      </c>
      <c r="N17">
        <v>0.377</v>
      </c>
      <c r="O17">
        <v>0.377</v>
      </c>
      <c r="P17">
        <v>0.377</v>
      </c>
      <c r="Q17">
        <v>0.377</v>
      </c>
      <c r="R17">
        <v>0.377</v>
      </c>
      <c r="S17">
        <v>0.377</v>
      </c>
      <c r="T17">
        <v>0.377</v>
      </c>
      <c r="U17">
        <v>0.377</v>
      </c>
      <c r="V17">
        <v>0.377</v>
      </c>
      <c r="W17">
        <v>0.377</v>
      </c>
      <c r="X17">
        <v>0.377</v>
      </c>
      <c r="Y17">
        <v>0.377</v>
      </c>
      <c r="Z17">
        <v>0.377</v>
      </c>
      <c r="AA17">
        <v>0.377</v>
      </c>
      <c r="AB17">
        <v>0.377</v>
      </c>
      <c r="AC17">
        <v>0.377</v>
      </c>
      <c r="AD17">
        <v>0.377</v>
      </c>
      <c r="AE17">
        <v>0.377</v>
      </c>
      <c r="AF17">
        <v>0.377</v>
      </c>
      <c r="AG17">
        <v>0.377</v>
      </c>
      <c r="AH17">
        <v>0.377</v>
      </c>
      <c r="AI17">
        <v>0.377</v>
      </c>
      <c r="AJ17">
        <v>0.377</v>
      </c>
      <c r="AK17">
        <v>0.377</v>
      </c>
      <c r="AL17">
        <v>0.377</v>
      </c>
      <c r="AM17">
        <v>0.377</v>
      </c>
      <c r="AN17">
        <v>0.377</v>
      </c>
      <c r="AO17">
        <v>0.377</v>
      </c>
      <c r="AP17">
        <v>0.377</v>
      </c>
      <c r="AQ17">
        <v>0.377</v>
      </c>
      <c r="AR17">
        <v>0.377</v>
      </c>
      <c r="AS17">
        <v>0.377</v>
      </c>
      <c r="AT17">
        <v>0.377</v>
      </c>
      <c r="AU17">
        <v>0.377</v>
      </c>
      <c r="AV17">
        <v>0.377</v>
      </c>
      <c r="AW17">
        <v>0.377</v>
      </c>
      <c r="AX17">
        <v>0.377</v>
      </c>
      <c r="AY17">
        <v>0.377</v>
      </c>
      <c r="AZ17">
        <v>0.377</v>
      </c>
      <c r="BA17">
        <v>0.377</v>
      </c>
      <c r="BB17">
        <v>0.377</v>
      </c>
      <c r="BC17">
        <v>0.377</v>
      </c>
      <c r="BD17">
        <v>0.377</v>
      </c>
      <c r="BE17">
        <v>0.377</v>
      </c>
      <c r="BF17">
        <v>0.377</v>
      </c>
      <c r="BG17">
        <v>0.377</v>
      </c>
      <c r="BH17">
        <v>0.377</v>
      </c>
      <c r="BI17">
        <v>0.377</v>
      </c>
      <c r="BJ17">
        <v>0.377</v>
      </c>
      <c r="BK17">
        <v>0.377</v>
      </c>
      <c r="BL17">
        <v>0.377</v>
      </c>
      <c r="BM17">
        <v>0.377</v>
      </c>
      <c r="BN17">
        <v>0.377</v>
      </c>
      <c r="BO17">
        <v>0.377</v>
      </c>
      <c r="BP17">
        <v>0.377</v>
      </c>
      <c r="BQ17">
        <v>0.377</v>
      </c>
    </row>
    <row r="18" spans="1:69" x14ac:dyDescent="0.25">
      <c r="A18" t="s">
        <v>56</v>
      </c>
      <c r="B18">
        <v>122.889</v>
      </c>
      <c r="C18">
        <v>122.58</v>
      </c>
      <c r="D18">
        <v>122.511</v>
      </c>
      <c r="E18">
        <v>122.23699999999999</v>
      </c>
      <c r="F18">
        <v>122.503</v>
      </c>
      <c r="G18">
        <v>122.276</v>
      </c>
      <c r="H18">
        <v>122.029</v>
      </c>
      <c r="I18">
        <v>122.029</v>
      </c>
      <c r="J18">
        <v>122.029</v>
      </c>
      <c r="K18">
        <v>121.65</v>
      </c>
      <c r="L18">
        <v>121.25</v>
      </c>
      <c r="M18">
        <v>121.2</v>
      </c>
      <c r="N18">
        <v>121.3</v>
      </c>
      <c r="O18">
        <v>121.5</v>
      </c>
      <c r="P18">
        <v>121.6</v>
      </c>
      <c r="Q18">
        <v>121</v>
      </c>
      <c r="R18">
        <v>121</v>
      </c>
      <c r="S18">
        <v>121</v>
      </c>
      <c r="T18">
        <v>121.2</v>
      </c>
      <c r="U18">
        <v>121</v>
      </c>
      <c r="V18">
        <v>119</v>
      </c>
      <c r="W18">
        <v>119</v>
      </c>
      <c r="X18">
        <v>119</v>
      </c>
      <c r="Y18">
        <v>119</v>
      </c>
      <c r="Z18">
        <v>117</v>
      </c>
      <c r="AA18">
        <v>117</v>
      </c>
      <c r="AB18">
        <v>117</v>
      </c>
      <c r="AC18">
        <v>109.5</v>
      </c>
      <c r="AD18">
        <v>109.5</v>
      </c>
      <c r="AE18">
        <v>109.5</v>
      </c>
      <c r="AF18">
        <v>109.5</v>
      </c>
      <c r="AG18">
        <v>109.5</v>
      </c>
      <c r="AH18">
        <v>109.75</v>
      </c>
      <c r="AI18">
        <v>110.5</v>
      </c>
      <c r="AJ18">
        <v>110</v>
      </c>
      <c r="AK18">
        <v>109.5</v>
      </c>
      <c r="AL18">
        <v>108.5</v>
      </c>
      <c r="AM18">
        <v>107.5</v>
      </c>
      <c r="AN18">
        <v>107</v>
      </c>
      <c r="AO18">
        <v>106</v>
      </c>
      <c r="AP18">
        <v>105</v>
      </c>
      <c r="AQ18">
        <v>104</v>
      </c>
      <c r="AR18">
        <v>103</v>
      </c>
      <c r="AS18">
        <v>102</v>
      </c>
      <c r="AT18">
        <v>101</v>
      </c>
      <c r="AU18">
        <v>100</v>
      </c>
      <c r="AV18">
        <v>101.569</v>
      </c>
      <c r="AW18">
        <v>95.692999999999998</v>
      </c>
      <c r="AX18">
        <v>94.936000000000007</v>
      </c>
      <c r="AY18">
        <v>93.53</v>
      </c>
      <c r="AZ18">
        <v>93.12</v>
      </c>
      <c r="BA18">
        <v>86.38</v>
      </c>
      <c r="BB18">
        <v>86.018000000000001</v>
      </c>
      <c r="BC18">
        <v>85.44</v>
      </c>
      <c r="BD18">
        <v>85.727099999999993</v>
      </c>
      <c r="BE18">
        <v>85.882000000000005</v>
      </c>
      <c r="BF18">
        <v>85.702100000000002</v>
      </c>
      <c r="BG18">
        <v>85.587999999999994</v>
      </c>
      <c r="BH18">
        <v>85.359399999999994</v>
      </c>
      <c r="BI18">
        <v>84.844999999999999</v>
      </c>
      <c r="BJ18">
        <v>84.639600000000002</v>
      </c>
      <c r="BK18">
        <v>84.605800000000002</v>
      </c>
      <c r="BL18">
        <v>84.734499999999997</v>
      </c>
      <c r="BM18">
        <v>84.760800000000003</v>
      </c>
      <c r="BN18">
        <v>84.45</v>
      </c>
      <c r="BO18">
        <v>84.776399999999995</v>
      </c>
      <c r="BP18">
        <v>84.713999999999999</v>
      </c>
      <c r="BQ18">
        <v>84.461100000000002</v>
      </c>
    </row>
    <row r="19" spans="1:69" x14ac:dyDescent="0.25">
      <c r="A19" t="s">
        <v>57</v>
      </c>
      <c r="B19">
        <v>2</v>
      </c>
      <c r="C19">
        <v>2</v>
      </c>
      <c r="D19">
        <v>2</v>
      </c>
      <c r="E19">
        <v>2</v>
      </c>
      <c r="F19">
        <v>2</v>
      </c>
      <c r="G19">
        <v>2</v>
      </c>
      <c r="H19">
        <v>2</v>
      </c>
      <c r="I19">
        <v>2</v>
      </c>
      <c r="J19">
        <v>2</v>
      </c>
      <c r="K19">
        <v>2</v>
      </c>
      <c r="L19">
        <v>2</v>
      </c>
      <c r="M19">
        <v>2</v>
      </c>
      <c r="N19">
        <v>2</v>
      </c>
      <c r="O19">
        <v>2</v>
      </c>
      <c r="P19">
        <v>2</v>
      </c>
      <c r="Q19">
        <v>2</v>
      </c>
      <c r="R19">
        <v>2</v>
      </c>
      <c r="S19">
        <v>2</v>
      </c>
      <c r="T19">
        <v>2</v>
      </c>
      <c r="U19">
        <v>2</v>
      </c>
      <c r="V19">
        <v>2</v>
      </c>
      <c r="W19">
        <v>2</v>
      </c>
      <c r="X19">
        <v>2</v>
      </c>
      <c r="Y19">
        <v>2</v>
      </c>
      <c r="Z19">
        <v>2</v>
      </c>
      <c r="AA19">
        <v>2</v>
      </c>
      <c r="AB19">
        <v>2</v>
      </c>
      <c r="AC19">
        <v>2</v>
      </c>
      <c r="AD19">
        <v>2</v>
      </c>
      <c r="AE19">
        <v>2</v>
      </c>
      <c r="AF19">
        <v>2</v>
      </c>
      <c r="AG19">
        <v>2</v>
      </c>
      <c r="AH19">
        <v>2</v>
      </c>
      <c r="AI19">
        <v>2</v>
      </c>
      <c r="AJ19">
        <v>2</v>
      </c>
      <c r="AK19">
        <v>2</v>
      </c>
      <c r="AL19">
        <v>2</v>
      </c>
      <c r="AM19">
        <v>2</v>
      </c>
      <c r="AN19">
        <v>2</v>
      </c>
      <c r="AO19">
        <v>2</v>
      </c>
      <c r="AP19">
        <v>2</v>
      </c>
      <c r="AQ19">
        <v>2</v>
      </c>
      <c r="AR19">
        <v>2</v>
      </c>
      <c r="AS19">
        <v>2</v>
      </c>
      <c r="AT19">
        <v>2</v>
      </c>
      <c r="AU19">
        <v>2</v>
      </c>
      <c r="AV19">
        <v>2</v>
      </c>
      <c r="AW19">
        <v>2</v>
      </c>
      <c r="AX19">
        <v>2</v>
      </c>
      <c r="AY19">
        <v>2</v>
      </c>
      <c r="AZ19">
        <v>2</v>
      </c>
      <c r="BA19">
        <v>2</v>
      </c>
      <c r="BB19">
        <v>2</v>
      </c>
      <c r="BC19">
        <v>2</v>
      </c>
      <c r="BD19">
        <v>2</v>
      </c>
      <c r="BE19">
        <v>2</v>
      </c>
      <c r="BF19">
        <v>2</v>
      </c>
      <c r="BG19">
        <v>2</v>
      </c>
      <c r="BH19">
        <v>2</v>
      </c>
      <c r="BI19">
        <v>2</v>
      </c>
      <c r="BJ19">
        <v>2</v>
      </c>
      <c r="BK19">
        <v>2</v>
      </c>
      <c r="BL19">
        <v>2</v>
      </c>
      <c r="BM19">
        <v>2</v>
      </c>
      <c r="BN19">
        <v>2</v>
      </c>
      <c r="BO19">
        <v>2</v>
      </c>
      <c r="BP19">
        <v>2</v>
      </c>
      <c r="BQ19">
        <v>2</v>
      </c>
    </row>
    <row r="20" spans="1:69" x14ac:dyDescent="0.25">
      <c r="A20" t="s">
        <v>60</v>
      </c>
      <c r="B20">
        <v>2.948</v>
      </c>
      <c r="C20">
        <v>2.9039999999999999</v>
      </c>
      <c r="D20">
        <v>2.8170000000000002</v>
      </c>
      <c r="E20">
        <v>2.8069999999999999</v>
      </c>
      <c r="F20">
        <v>2.919</v>
      </c>
      <c r="G20">
        <v>2.9260000000000002</v>
      </c>
      <c r="H20">
        <v>2.8679999999999999</v>
      </c>
      <c r="I20">
        <v>2.9550000000000001</v>
      </c>
      <c r="J20">
        <v>2.8959999999999999</v>
      </c>
      <c r="K20">
        <v>2.9780000000000002</v>
      </c>
      <c r="L20">
        <v>3.0390000000000001</v>
      </c>
      <c r="M20">
        <v>3.0089999999999999</v>
      </c>
      <c r="N20">
        <v>2.99</v>
      </c>
      <c r="O20">
        <v>2.9660000000000002</v>
      </c>
      <c r="P20">
        <v>2.9950000000000001</v>
      </c>
      <c r="Q20">
        <v>3.0059999999999998</v>
      </c>
      <c r="R20">
        <v>3.145</v>
      </c>
      <c r="S20">
        <v>3.2040000000000002</v>
      </c>
      <c r="T20">
        <v>3.39</v>
      </c>
      <c r="U20">
        <v>3.492</v>
      </c>
      <c r="V20">
        <v>3.48</v>
      </c>
      <c r="W20">
        <v>3.331</v>
      </c>
      <c r="X20">
        <v>3.2709999999999999</v>
      </c>
      <c r="Y20">
        <v>3.173</v>
      </c>
      <c r="Z20">
        <v>3.101</v>
      </c>
      <c r="AA20">
        <v>3.2160000000000002</v>
      </c>
      <c r="AB20">
        <v>3.1829999999999998</v>
      </c>
      <c r="AC20">
        <v>3.222</v>
      </c>
      <c r="AD20">
        <v>3.254</v>
      </c>
      <c r="AE20">
        <v>3.2069999999999999</v>
      </c>
      <c r="AF20">
        <v>3.1640000000000001</v>
      </c>
      <c r="AG20">
        <v>3.1960000000000002</v>
      </c>
      <c r="AH20">
        <v>3.206</v>
      </c>
      <c r="AI20">
        <v>3.2</v>
      </c>
      <c r="AJ20">
        <v>3.1840000000000002</v>
      </c>
      <c r="AK20">
        <v>3.278</v>
      </c>
      <c r="AL20">
        <v>3.1160000000000001</v>
      </c>
      <c r="AM20">
        <v>3.0760000000000001</v>
      </c>
      <c r="AN20">
        <v>2.9260000000000002</v>
      </c>
      <c r="AO20">
        <v>2.8849999999999998</v>
      </c>
      <c r="AP20">
        <v>2.9020000000000001</v>
      </c>
      <c r="AQ20">
        <v>2.835</v>
      </c>
      <c r="AR20">
        <v>2.7290000000000001</v>
      </c>
      <c r="AS20">
        <v>2.71</v>
      </c>
      <c r="AT20">
        <v>2.4780000000000002</v>
      </c>
      <c r="AU20">
        <v>2.464</v>
      </c>
      <c r="AV20">
        <v>2.5369999999999999</v>
      </c>
      <c r="AW20">
        <v>2.573</v>
      </c>
      <c r="AX20">
        <v>2.5840000000000001</v>
      </c>
      <c r="AY20">
        <v>2.7069999999999999</v>
      </c>
      <c r="AZ20">
        <v>2.6040000000000001</v>
      </c>
      <c r="BA20">
        <v>2.7480000000000002</v>
      </c>
      <c r="BB20">
        <v>2.7480000000000002</v>
      </c>
      <c r="BC20">
        <v>2.7480000000000002</v>
      </c>
      <c r="BD20">
        <v>2.5539999999999998</v>
      </c>
      <c r="BE20">
        <v>2.5640000000000001</v>
      </c>
      <c r="BF20">
        <v>2.5489999999999999</v>
      </c>
      <c r="BG20">
        <v>2.423</v>
      </c>
      <c r="BH20">
        <v>2.5030000000000001</v>
      </c>
      <c r="BI20">
        <v>2.5070000000000001</v>
      </c>
      <c r="BJ20">
        <v>2.5</v>
      </c>
      <c r="BK20">
        <v>2.52</v>
      </c>
      <c r="BL20">
        <v>2.524</v>
      </c>
      <c r="BM20">
        <v>2.5529999999999999</v>
      </c>
      <c r="BN20">
        <v>2.621</v>
      </c>
      <c r="BO20">
        <v>2.5979999999999999</v>
      </c>
      <c r="BP20">
        <v>2.5859999999999999</v>
      </c>
      <c r="BQ20">
        <v>2.5630000000000002</v>
      </c>
    </row>
    <row r="21" spans="1:69" x14ac:dyDescent="0.25">
      <c r="A21" t="s">
        <v>45</v>
      </c>
      <c r="B21">
        <v>0.86699999999999999</v>
      </c>
      <c r="C21">
        <v>0.875</v>
      </c>
      <c r="D21">
        <v>0.86799999999999999</v>
      </c>
      <c r="E21">
        <v>0.85399999999999998</v>
      </c>
      <c r="F21">
        <v>0.85399999999999998</v>
      </c>
      <c r="G21">
        <v>0.86699999999999999</v>
      </c>
      <c r="H21">
        <v>0.84099999999999997</v>
      </c>
      <c r="I21">
        <v>0.85799999999999998</v>
      </c>
      <c r="J21">
        <v>0.85199999999999998</v>
      </c>
      <c r="K21">
        <v>0.86499999999999999</v>
      </c>
      <c r="L21">
        <v>0.86499999999999999</v>
      </c>
      <c r="M21">
        <v>0.85299999999999998</v>
      </c>
      <c r="N21">
        <v>0.85499999999999998</v>
      </c>
      <c r="O21">
        <v>0.85599999999999998</v>
      </c>
      <c r="P21">
        <v>0.872</v>
      </c>
      <c r="Q21">
        <v>0.89700000000000002</v>
      </c>
      <c r="R21">
        <v>0.88</v>
      </c>
      <c r="S21">
        <v>0.91800000000000004</v>
      </c>
      <c r="T21">
        <v>0.96699999999999997</v>
      </c>
      <c r="U21">
        <v>0.98</v>
      </c>
      <c r="V21">
        <v>0.95299999999999996</v>
      </c>
      <c r="W21">
        <v>0.94299999999999995</v>
      </c>
      <c r="X21">
        <v>0.91400000000000003</v>
      </c>
      <c r="Y21">
        <v>0.90800000000000003</v>
      </c>
      <c r="Z21">
        <v>0.91300000000000003</v>
      </c>
      <c r="AA21">
        <v>0.91800000000000004</v>
      </c>
      <c r="AB21">
        <v>0.92300000000000004</v>
      </c>
      <c r="AC21">
        <v>0.92600000000000005</v>
      </c>
      <c r="AD21">
        <v>0.93200000000000005</v>
      </c>
      <c r="AE21">
        <v>0.91400000000000003</v>
      </c>
      <c r="AF21">
        <v>0.93300000000000005</v>
      </c>
      <c r="AG21">
        <v>0.91300000000000003</v>
      </c>
      <c r="AH21">
        <v>0.92700000000000005</v>
      </c>
      <c r="AI21">
        <v>0.93700000000000006</v>
      </c>
      <c r="AJ21">
        <v>0.94099999999999995</v>
      </c>
      <c r="AK21">
        <v>0.93100000000000005</v>
      </c>
      <c r="AL21">
        <v>0.91300000000000003</v>
      </c>
      <c r="AM21">
        <v>0.90200000000000002</v>
      </c>
      <c r="AN21">
        <v>0.92700000000000005</v>
      </c>
      <c r="AO21">
        <v>0.91700000000000004</v>
      </c>
      <c r="AP21">
        <v>0.91100000000000003</v>
      </c>
      <c r="AQ21">
        <v>0.93400000000000005</v>
      </c>
      <c r="AR21">
        <v>0.93300000000000005</v>
      </c>
      <c r="AS21">
        <v>0.92900000000000005</v>
      </c>
      <c r="AT21">
        <v>0.93799999999999994</v>
      </c>
      <c r="AU21">
        <v>0.97199999999999998</v>
      </c>
      <c r="AV21">
        <v>1.032</v>
      </c>
      <c r="AW21">
        <v>0.997</v>
      </c>
      <c r="AX21">
        <v>0.96499999999999997</v>
      </c>
      <c r="AY21">
        <v>0.996</v>
      </c>
      <c r="AZ21">
        <v>0.95799999999999996</v>
      </c>
      <c r="BA21">
        <v>0.94699999999999995</v>
      </c>
      <c r="BB21">
        <v>0.92</v>
      </c>
      <c r="BC21">
        <v>0.91300000000000003</v>
      </c>
      <c r="BD21">
        <v>0.878</v>
      </c>
      <c r="BE21">
        <v>0.876</v>
      </c>
      <c r="BF21">
        <v>0.88800000000000001</v>
      </c>
      <c r="BG21">
        <v>0.872</v>
      </c>
      <c r="BH21">
        <v>0.86</v>
      </c>
      <c r="BI21">
        <v>0.84699999999999998</v>
      </c>
      <c r="BJ21">
        <v>0.84099999999999997</v>
      </c>
      <c r="BK21">
        <v>0.83799999999999997</v>
      </c>
      <c r="BL21">
        <v>0.82</v>
      </c>
      <c r="BM21">
        <v>0.82599999999999996</v>
      </c>
      <c r="BN21">
        <v>0.85299999999999998</v>
      </c>
      <c r="BO21">
        <v>0.83699999999999997</v>
      </c>
      <c r="BP21">
        <v>0.82399999999999995</v>
      </c>
      <c r="BQ21">
        <v>0.82199999999999995</v>
      </c>
    </row>
    <row r="22" spans="1:69" x14ac:dyDescent="0.25">
      <c r="A22" t="s">
        <v>63</v>
      </c>
      <c r="B22">
        <v>2</v>
      </c>
      <c r="C22">
        <v>2</v>
      </c>
      <c r="D22">
        <v>2</v>
      </c>
      <c r="E22">
        <v>2</v>
      </c>
      <c r="F22">
        <v>2</v>
      </c>
      <c r="G22">
        <v>2</v>
      </c>
      <c r="H22">
        <v>2</v>
      </c>
      <c r="I22">
        <v>2</v>
      </c>
      <c r="J22">
        <v>2</v>
      </c>
      <c r="K22">
        <v>2</v>
      </c>
      <c r="L22">
        <v>2</v>
      </c>
      <c r="M22">
        <v>2</v>
      </c>
      <c r="N22">
        <v>2</v>
      </c>
      <c r="O22">
        <v>2</v>
      </c>
      <c r="P22">
        <v>2</v>
      </c>
      <c r="Q22">
        <v>2</v>
      </c>
      <c r="R22">
        <v>2</v>
      </c>
      <c r="S22">
        <v>2</v>
      </c>
      <c r="T22">
        <v>2</v>
      </c>
      <c r="U22">
        <v>2</v>
      </c>
      <c r="V22">
        <v>2</v>
      </c>
      <c r="W22">
        <v>2</v>
      </c>
      <c r="X22">
        <v>2</v>
      </c>
      <c r="Y22">
        <v>2</v>
      </c>
      <c r="Z22">
        <v>2</v>
      </c>
      <c r="AA22">
        <v>2</v>
      </c>
      <c r="AB22">
        <v>2</v>
      </c>
      <c r="AC22">
        <v>2</v>
      </c>
      <c r="AD22">
        <v>2</v>
      </c>
      <c r="AE22">
        <v>2</v>
      </c>
      <c r="AF22">
        <v>2</v>
      </c>
      <c r="AG22">
        <v>2</v>
      </c>
      <c r="AH22">
        <v>2</v>
      </c>
      <c r="AI22">
        <v>2</v>
      </c>
      <c r="AJ22">
        <v>2</v>
      </c>
      <c r="AK22">
        <v>2</v>
      </c>
      <c r="AL22">
        <v>2</v>
      </c>
      <c r="AM22">
        <v>2</v>
      </c>
      <c r="AN22">
        <v>2</v>
      </c>
      <c r="AO22">
        <v>2</v>
      </c>
      <c r="AP22">
        <v>2</v>
      </c>
      <c r="AQ22">
        <v>2</v>
      </c>
      <c r="AR22">
        <v>2</v>
      </c>
      <c r="AS22">
        <v>2</v>
      </c>
      <c r="AT22">
        <v>2</v>
      </c>
      <c r="AU22">
        <v>2</v>
      </c>
      <c r="AV22">
        <v>2</v>
      </c>
      <c r="AW22">
        <v>2</v>
      </c>
      <c r="AX22">
        <v>2</v>
      </c>
      <c r="AY22">
        <v>2</v>
      </c>
      <c r="AZ22">
        <v>2</v>
      </c>
      <c r="BA22">
        <v>2</v>
      </c>
      <c r="BB22">
        <v>2</v>
      </c>
      <c r="BC22">
        <v>2</v>
      </c>
      <c r="BD22">
        <v>2</v>
      </c>
      <c r="BE22">
        <v>2</v>
      </c>
      <c r="BF22">
        <v>2</v>
      </c>
      <c r="BG22">
        <v>2</v>
      </c>
      <c r="BH22">
        <v>2</v>
      </c>
      <c r="BI22">
        <v>2</v>
      </c>
      <c r="BJ22">
        <v>2</v>
      </c>
      <c r="BK22">
        <v>2</v>
      </c>
      <c r="BL22">
        <v>2</v>
      </c>
      <c r="BM22">
        <v>2</v>
      </c>
      <c r="BN22">
        <v>2</v>
      </c>
      <c r="BO22">
        <v>2</v>
      </c>
      <c r="BP22">
        <v>2</v>
      </c>
      <c r="BQ22">
        <v>2</v>
      </c>
    </row>
    <row r="23" spans="1:69" x14ac:dyDescent="0.25">
      <c r="A23" t="s">
        <v>66</v>
      </c>
      <c r="B23">
        <v>568.51900000000001</v>
      </c>
      <c r="C23">
        <v>574.04100000000005</v>
      </c>
      <c r="D23">
        <v>569.30799999999999</v>
      </c>
      <c r="E23">
        <v>560.16800000000001</v>
      </c>
      <c r="F23">
        <v>560.16800000000001</v>
      </c>
      <c r="G23">
        <v>568.81500000000005</v>
      </c>
      <c r="H23">
        <v>551.87400000000002</v>
      </c>
      <c r="I23">
        <v>563.053</v>
      </c>
      <c r="J23">
        <v>558.59400000000005</v>
      </c>
      <c r="K23">
        <v>567.24099999999999</v>
      </c>
      <c r="L23">
        <v>567.24099999999999</v>
      </c>
      <c r="M23">
        <v>559.30799999999999</v>
      </c>
      <c r="N23">
        <v>560.55100000000004</v>
      </c>
      <c r="O23">
        <v>561.17499999999995</v>
      </c>
      <c r="P23">
        <v>571.98900000000003</v>
      </c>
      <c r="Q23">
        <v>588.46100000000001</v>
      </c>
      <c r="R23">
        <v>577.32500000000005</v>
      </c>
      <c r="S23">
        <v>602.40300000000002</v>
      </c>
      <c r="T23">
        <v>634.08100000000002</v>
      </c>
      <c r="U23">
        <v>642.654</v>
      </c>
      <c r="V23">
        <v>624.84</v>
      </c>
      <c r="W23">
        <v>618.59400000000005</v>
      </c>
      <c r="X23">
        <v>599.65</v>
      </c>
      <c r="Y23">
        <v>595.35</v>
      </c>
      <c r="Z23">
        <v>598.71900000000005</v>
      </c>
      <c r="AA23">
        <v>602.45899999999995</v>
      </c>
      <c r="AB23">
        <v>605.46199999999999</v>
      </c>
      <c r="AC23">
        <v>607.14300000000003</v>
      </c>
      <c r="AD23">
        <v>611.15899999999999</v>
      </c>
      <c r="AE23">
        <v>599.65</v>
      </c>
      <c r="AF23">
        <v>611.72900000000004</v>
      </c>
      <c r="AG23">
        <v>598.88300000000004</v>
      </c>
      <c r="AH23">
        <v>607.98699999999997</v>
      </c>
      <c r="AI23">
        <v>614.71</v>
      </c>
      <c r="AJ23">
        <v>617.13900000000001</v>
      </c>
      <c r="AK23">
        <v>610.64700000000005</v>
      </c>
      <c r="AL23">
        <v>598.61</v>
      </c>
      <c r="AM23">
        <v>591.43200000000002</v>
      </c>
      <c r="AN23">
        <v>608.26900000000001</v>
      </c>
      <c r="AO23">
        <v>601.24400000000003</v>
      </c>
      <c r="AP23">
        <v>597.46500000000003</v>
      </c>
      <c r="AQ23">
        <v>612.47199999999998</v>
      </c>
      <c r="AR23">
        <v>612.12900000000002</v>
      </c>
      <c r="AS23">
        <v>609.28599999999994</v>
      </c>
      <c r="AT23">
        <v>615.40200000000004</v>
      </c>
      <c r="AU23">
        <v>637.65599999999995</v>
      </c>
      <c r="AV23">
        <v>676.73299999999995</v>
      </c>
      <c r="AW23">
        <v>653.79899999999998</v>
      </c>
      <c r="AX23">
        <v>633.22400000000005</v>
      </c>
      <c r="AY23">
        <v>653.40899999999999</v>
      </c>
      <c r="AZ23">
        <v>628.13099999999997</v>
      </c>
      <c r="BA23">
        <v>621.34799999999996</v>
      </c>
      <c r="BB23">
        <v>603.34500000000003</v>
      </c>
      <c r="BC23">
        <v>598.61</v>
      </c>
      <c r="BD23">
        <v>575.70399999999995</v>
      </c>
      <c r="BE23">
        <v>574.49400000000003</v>
      </c>
      <c r="BF23">
        <v>582.19299999999998</v>
      </c>
      <c r="BG23">
        <v>572.08900000000006</v>
      </c>
      <c r="BH23">
        <v>563.97299999999996</v>
      </c>
      <c r="BI23">
        <v>555.89599999999996</v>
      </c>
      <c r="BJ23">
        <v>551.73400000000004</v>
      </c>
      <c r="BK23">
        <v>549.88400000000001</v>
      </c>
      <c r="BL23">
        <v>537.71400000000006</v>
      </c>
      <c r="BM23">
        <v>541.84500000000003</v>
      </c>
      <c r="BN23">
        <v>559.69000000000005</v>
      </c>
      <c r="BO23">
        <v>549.24</v>
      </c>
      <c r="BP23">
        <v>540.46100000000001</v>
      </c>
      <c r="BQ23">
        <v>539.26099999999997</v>
      </c>
    </row>
    <row r="24" spans="1:69" x14ac:dyDescent="0.25">
      <c r="A24" t="s">
        <v>67</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row>
    <row r="25" spans="1:69" x14ac:dyDescent="0.25">
      <c r="A25" t="s">
        <v>69</v>
      </c>
      <c r="B25">
        <v>95.44</v>
      </c>
      <c r="C25">
        <v>95.62</v>
      </c>
      <c r="D25">
        <v>95.754999999999995</v>
      </c>
      <c r="E25">
        <v>95.704999999999998</v>
      </c>
      <c r="F25">
        <v>93.37</v>
      </c>
      <c r="G25">
        <v>92.192999999999998</v>
      </c>
      <c r="H25">
        <v>90.59</v>
      </c>
      <c r="I25">
        <v>90.185000000000002</v>
      </c>
      <c r="J25">
        <v>90.36</v>
      </c>
      <c r="K25">
        <v>88.628</v>
      </c>
      <c r="L25">
        <v>88.673000000000002</v>
      </c>
      <c r="M25">
        <v>88.44</v>
      </c>
      <c r="N25">
        <v>87.49</v>
      </c>
      <c r="O25">
        <v>85.79</v>
      </c>
      <c r="P25">
        <v>85.51</v>
      </c>
      <c r="Q25">
        <v>85.34</v>
      </c>
      <c r="R25">
        <v>86.04</v>
      </c>
      <c r="S25">
        <v>87.2</v>
      </c>
      <c r="T25">
        <v>86.89</v>
      </c>
      <c r="U25">
        <v>86.58</v>
      </c>
      <c r="V25">
        <v>84.84</v>
      </c>
      <c r="W25">
        <v>84.38</v>
      </c>
      <c r="X25">
        <v>84.07</v>
      </c>
      <c r="Y25">
        <v>83.97</v>
      </c>
      <c r="Z25">
        <v>83.97</v>
      </c>
      <c r="AA25">
        <v>83.56</v>
      </c>
      <c r="AB25">
        <v>83.54</v>
      </c>
      <c r="AC25">
        <v>83.52</v>
      </c>
      <c r="AD25">
        <v>83.19</v>
      </c>
      <c r="AE25">
        <v>82.85</v>
      </c>
      <c r="AF25">
        <v>83.01</v>
      </c>
      <c r="AG25">
        <v>83.03</v>
      </c>
      <c r="AH25">
        <v>83.4</v>
      </c>
      <c r="AI25">
        <v>83.33</v>
      </c>
      <c r="AJ25">
        <v>83.18</v>
      </c>
      <c r="AK25">
        <v>82.98</v>
      </c>
      <c r="AL25">
        <v>82.84</v>
      </c>
      <c r="AM25">
        <v>82.25</v>
      </c>
      <c r="AN25">
        <v>82.37</v>
      </c>
      <c r="AO25">
        <v>82.09</v>
      </c>
      <c r="AP25">
        <v>82.09</v>
      </c>
      <c r="AQ25">
        <v>82.12</v>
      </c>
      <c r="AR25">
        <v>82.73</v>
      </c>
      <c r="AS25">
        <v>81.569999999999993</v>
      </c>
      <c r="AT25">
        <v>82.8</v>
      </c>
      <c r="AU25">
        <v>80.8</v>
      </c>
      <c r="AV25">
        <v>82.31</v>
      </c>
      <c r="AW25">
        <v>79.14</v>
      </c>
      <c r="AX25">
        <v>79.63</v>
      </c>
      <c r="AY25">
        <v>79.63</v>
      </c>
      <c r="AZ25">
        <v>78.03</v>
      </c>
      <c r="BA25">
        <v>77.23</v>
      </c>
      <c r="BB25">
        <v>76.13</v>
      </c>
      <c r="BC25">
        <v>76.59</v>
      </c>
      <c r="BD25">
        <v>75.38</v>
      </c>
      <c r="BE25">
        <v>73.91</v>
      </c>
      <c r="BF25">
        <v>75.09</v>
      </c>
      <c r="BG25">
        <v>74.92</v>
      </c>
      <c r="BH25">
        <v>74.150000000000006</v>
      </c>
      <c r="BI25">
        <v>73.27</v>
      </c>
      <c r="BJ25">
        <v>74.28</v>
      </c>
      <c r="BK25">
        <v>74.19</v>
      </c>
      <c r="BL25">
        <v>72.58</v>
      </c>
      <c r="BM25">
        <v>74.040000000000006</v>
      </c>
      <c r="BN25">
        <v>73.38</v>
      </c>
      <c r="BO25">
        <v>72.42</v>
      </c>
      <c r="BP25">
        <v>73.040000000000006</v>
      </c>
      <c r="BQ25">
        <v>73.42</v>
      </c>
    </row>
    <row r="26" spans="1:69" x14ac:dyDescent="0.25">
      <c r="A26" t="s">
        <v>72</v>
      </c>
      <c r="B26">
        <v>11.66</v>
      </c>
      <c r="C26">
        <v>6.8550000000000004</v>
      </c>
      <c r="D26">
        <v>6.8550000000000004</v>
      </c>
      <c r="E26">
        <v>6.8550000000000004</v>
      </c>
      <c r="F26">
        <v>6.86</v>
      </c>
      <c r="G26">
        <v>6.859</v>
      </c>
      <c r="H26">
        <v>6.8620000000000001</v>
      </c>
      <c r="I26">
        <v>6.8630000000000004</v>
      </c>
      <c r="J26">
        <v>6.86</v>
      </c>
      <c r="K26">
        <v>6.86</v>
      </c>
      <c r="L26">
        <v>6.8540000000000001</v>
      </c>
      <c r="M26">
        <v>6.8570000000000002</v>
      </c>
      <c r="N26">
        <v>6.86</v>
      </c>
      <c r="O26">
        <v>6.86</v>
      </c>
      <c r="P26">
        <v>6.86</v>
      </c>
      <c r="Q26">
        <v>6.85</v>
      </c>
      <c r="R26">
        <v>6.8529999999999998</v>
      </c>
      <c r="S26">
        <v>6.8550000000000004</v>
      </c>
      <c r="T26">
        <v>6.8570000000000002</v>
      </c>
      <c r="U26">
        <v>6.859</v>
      </c>
      <c r="V26">
        <v>6.8550000000000004</v>
      </c>
      <c r="W26">
        <v>6.86</v>
      </c>
      <c r="X26">
        <v>6.8559999999999999</v>
      </c>
      <c r="Y26">
        <v>6.8559999999999999</v>
      </c>
      <c r="Z26">
        <v>6.8579999999999997</v>
      </c>
      <c r="AA26">
        <v>6.8570000000000002</v>
      </c>
      <c r="AB26">
        <v>6.8529999999999998</v>
      </c>
      <c r="AC26">
        <v>6.85</v>
      </c>
      <c r="AD26">
        <v>6.86</v>
      </c>
      <c r="AE26">
        <v>6.86</v>
      </c>
      <c r="AF26">
        <v>6.86</v>
      </c>
      <c r="AG26">
        <v>6.8570000000000002</v>
      </c>
      <c r="AH26">
        <v>6.8529999999999998</v>
      </c>
      <c r="AI26">
        <v>6.8550000000000004</v>
      </c>
      <c r="AJ26">
        <v>6.8550000000000004</v>
      </c>
      <c r="AK26">
        <v>6.8570000000000002</v>
      </c>
      <c r="AL26">
        <v>6.8550000000000004</v>
      </c>
      <c r="AM26">
        <v>6.85</v>
      </c>
      <c r="AN26">
        <v>6.8570000000000002</v>
      </c>
      <c r="AO26">
        <v>6.8570000000000002</v>
      </c>
      <c r="AP26">
        <v>6.8529999999999998</v>
      </c>
      <c r="AQ26">
        <v>6.8550000000000004</v>
      </c>
      <c r="AR26">
        <v>6.8570000000000002</v>
      </c>
      <c r="AS26">
        <v>6.8529999999999998</v>
      </c>
      <c r="AT26">
        <v>6.8520000000000003</v>
      </c>
      <c r="AU26">
        <v>6.8529999999999998</v>
      </c>
      <c r="AV26">
        <v>6.851</v>
      </c>
      <c r="AW26">
        <v>6.8570000000000002</v>
      </c>
      <c r="AX26">
        <v>6.835</v>
      </c>
      <c r="AY26">
        <v>6.82</v>
      </c>
      <c r="AZ26">
        <v>6.827</v>
      </c>
      <c r="BA26">
        <v>6.8250000000000002</v>
      </c>
      <c r="BB26">
        <v>6.8049999999999997</v>
      </c>
      <c r="BC26">
        <v>6.8049999999999997</v>
      </c>
      <c r="BD26">
        <v>6.8140000000000001</v>
      </c>
      <c r="BE26">
        <v>6.82</v>
      </c>
      <c r="BF26">
        <v>6.83</v>
      </c>
      <c r="BG26">
        <v>6.83</v>
      </c>
      <c r="BH26">
        <v>6.835</v>
      </c>
      <c r="BI26">
        <v>6.8460000000000001</v>
      </c>
      <c r="BJ26">
        <v>6.8460000000000001</v>
      </c>
      <c r="BK26">
        <v>6.8479999999999999</v>
      </c>
      <c r="BL26">
        <v>6.8479999999999999</v>
      </c>
      <c r="BM26">
        <v>6.8479999999999999</v>
      </c>
      <c r="BN26">
        <v>6.9169999999999998</v>
      </c>
      <c r="BO26">
        <v>6.9089999999999998</v>
      </c>
      <c r="BP26">
        <v>6.907</v>
      </c>
      <c r="BQ26">
        <v>6.843</v>
      </c>
    </row>
    <row r="27" spans="1:69" x14ac:dyDescent="0.25">
      <c r="A27" t="s">
        <v>54</v>
      </c>
      <c r="B27">
        <v>1.6950000000000001</v>
      </c>
      <c r="C27">
        <v>1.712</v>
      </c>
      <c r="D27">
        <v>1.6970000000000001</v>
      </c>
      <c r="E27">
        <v>1.67</v>
      </c>
      <c r="F27">
        <v>1.67</v>
      </c>
      <c r="G27">
        <v>1.696</v>
      </c>
      <c r="H27">
        <v>1.645</v>
      </c>
      <c r="I27">
        <v>1.679</v>
      </c>
      <c r="J27">
        <v>1.6659999999999999</v>
      </c>
      <c r="K27">
        <v>1.6910000000000001</v>
      </c>
      <c r="L27">
        <v>1.6910000000000001</v>
      </c>
      <c r="M27">
        <v>1.6679999999999999</v>
      </c>
      <c r="N27">
        <v>1.671</v>
      </c>
      <c r="O27">
        <v>1.673</v>
      </c>
      <c r="P27">
        <v>1.7050000000000001</v>
      </c>
      <c r="Q27">
        <v>1.7549999999999999</v>
      </c>
      <c r="R27">
        <v>1.7210000000000001</v>
      </c>
      <c r="S27">
        <v>1.796</v>
      </c>
      <c r="T27">
        <v>1.891</v>
      </c>
      <c r="U27">
        <v>1.9159999999999999</v>
      </c>
      <c r="V27">
        <v>1.863</v>
      </c>
      <c r="W27">
        <v>1.8440000000000001</v>
      </c>
      <c r="X27">
        <v>1.788</v>
      </c>
      <c r="Y27">
        <v>1.7749999999999999</v>
      </c>
      <c r="Z27">
        <v>1.7849999999999999</v>
      </c>
      <c r="AA27">
        <v>1.796</v>
      </c>
      <c r="AB27">
        <v>1.8049999999999999</v>
      </c>
      <c r="AC27">
        <v>1.81</v>
      </c>
      <c r="AD27">
        <v>1.8220000000000001</v>
      </c>
      <c r="AE27">
        <v>1.788</v>
      </c>
      <c r="AF27">
        <v>1.8240000000000001</v>
      </c>
      <c r="AG27">
        <v>1.786</v>
      </c>
      <c r="AH27">
        <v>1.8129999999999999</v>
      </c>
      <c r="AI27">
        <v>1.833</v>
      </c>
      <c r="AJ27">
        <v>1.84</v>
      </c>
      <c r="AK27">
        <v>1.821</v>
      </c>
      <c r="AL27">
        <v>1.7849999999999999</v>
      </c>
      <c r="AM27">
        <v>1.7629999999999999</v>
      </c>
      <c r="AN27">
        <v>1.8140000000000001</v>
      </c>
      <c r="AO27">
        <v>1.7929999999999999</v>
      </c>
      <c r="AP27">
        <v>1.7809999999999999</v>
      </c>
      <c r="AQ27">
        <v>1.8260000000000001</v>
      </c>
      <c r="AR27">
        <v>1.825</v>
      </c>
      <c r="AS27">
        <v>1.8169999999999999</v>
      </c>
      <c r="AT27">
        <v>1.835</v>
      </c>
      <c r="AU27">
        <v>1.901</v>
      </c>
      <c r="AV27">
        <v>2.0179999999999998</v>
      </c>
      <c r="AW27">
        <v>1.9490000000000001</v>
      </c>
      <c r="AX27">
        <v>1.8879999999999999</v>
      </c>
      <c r="AY27">
        <v>1.948</v>
      </c>
      <c r="AZ27">
        <v>1.873</v>
      </c>
      <c r="BA27">
        <v>1.853</v>
      </c>
      <c r="BB27">
        <v>1.7989999999999999</v>
      </c>
      <c r="BC27">
        <v>1.7849999999999999</v>
      </c>
      <c r="BD27">
        <v>1.7170000000000001</v>
      </c>
      <c r="BE27">
        <v>1.7130000000000001</v>
      </c>
      <c r="BF27">
        <v>1.736</v>
      </c>
      <c r="BG27">
        <v>1.706</v>
      </c>
      <c r="BH27">
        <v>1.6819999999999999</v>
      </c>
      <c r="BI27">
        <v>1.657</v>
      </c>
      <c r="BJ27">
        <v>1.645</v>
      </c>
      <c r="BK27">
        <v>1.64</v>
      </c>
      <c r="BL27">
        <v>1.603</v>
      </c>
      <c r="BM27">
        <v>1.6160000000000001</v>
      </c>
      <c r="BN27">
        <v>1.669</v>
      </c>
      <c r="BO27">
        <v>1.6379999999999999</v>
      </c>
      <c r="BP27">
        <v>1.611</v>
      </c>
      <c r="BQ27">
        <v>1.6080000000000001</v>
      </c>
    </row>
    <row r="28" spans="1:69" x14ac:dyDescent="0.25">
      <c r="A28" t="s">
        <v>76</v>
      </c>
      <c r="B28">
        <v>13.965999999999999</v>
      </c>
      <c r="C28">
        <v>13.87</v>
      </c>
      <c r="D28">
        <v>13.965999999999999</v>
      </c>
      <c r="E28">
        <v>13.717000000000001</v>
      </c>
      <c r="F28">
        <v>13.888999999999999</v>
      </c>
      <c r="G28">
        <v>13.661</v>
      </c>
      <c r="H28">
        <v>13.55</v>
      </c>
      <c r="I28">
        <v>13.831</v>
      </c>
      <c r="J28">
        <v>14.045</v>
      </c>
      <c r="K28">
        <v>14.065</v>
      </c>
      <c r="L28">
        <v>14.124000000000001</v>
      </c>
      <c r="M28">
        <v>14.124000000000001</v>
      </c>
      <c r="N28">
        <v>13.263</v>
      </c>
      <c r="O28">
        <v>12.987</v>
      </c>
      <c r="P28">
        <v>13.298</v>
      </c>
      <c r="Q28">
        <v>13.605</v>
      </c>
      <c r="R28">
        <v>13.811999999999999</v>
      </c>
      <c r="S28">
        <v>13.624000000000001</v>
      </c>
      <c r="T28">
        <v>13.773999999999999</v>
      </c>
      <c r="U28">
        <v>14.065</v>
      </c>
      <c r="V28">
        <v>13.532</v>
      </c>
      <c r="W28">
        <v>13.55</v>
      </c>
      <c r="X28">
        <v>13.263</v>
      </c>
      <c r="Y28">
        <v>13.298</v>
      </c>
      <c r="Z28">
        <v>13.459</v>
      </c>
      <c r="AA28">
        <v>13.441000000000001</v>
      </c>
      <c r="AB28">
        <v>13.605</v>
      </c>
      <c r="AC28">
        <v>13.55</v>
      </c>
      <c r="AD28">
        <v>13.661</v>
      </c>
      <c r="AE28">
        <v>13.569000000000001</v>
      </c>
      <c r="AF28">
        <v>13.643000000000001</v>
      </c>
      <c r="AG28">
        <v>13.477</v>
      </c>
      <c r="AH28">
        <v>13.643000000000001</v>
      </c>
      <c r="AI28">
        <v>13.605</v>
      </c>
      <c r="AJ28">
        <v>13.643000000000001</v>
      </c>
      <c r="AK28">
        <v>13.587</v>
      </c>
      <c r="AL28">
        <v>13.494999999999999</v>
      </c>
      <c r="AM28">
        <v>13.244999999999999</v>
      </c>
      <c r="AN28">
        <v>13.351000000000001</v>
      </c>
      <c r="AO28">
        <v>13.459</v>
      </c>
      <c r="AP28">
        <v>13.193</v>
      </c>
      <c r="AQ28">
        <v>13.122999999999999</v>
      </c>
      <c r="AR28">
        <v>13.055</v>
      </c>
      <c r="AS28">
        <v>12.723000000000001</v>
      </c>
      <c r="AT28">
        <v>12.952999999999999</v>
      </c>
      <c r="AU28">
        <v>12.903</v>
      </c>
      <c r="AV28">
        <v>13.423</v>
      </c>
      <c r="AW28">
        <v>12.952999999999999</v>
      </c>
      <c r="AX28">
        <v>12.346</v>
      </c>
      <c r="AY28">
        <v>12.673999999999999</v>
      </c>
      <c r="AZ28">
        <v>12.225</v>
      </c>
      <c r="BA28">
        <v>12.18</v>
      </c>
      <c r="BB28">
        <v>11.429</v>
      </c>
      <c r="BC28">
        <v>11.521000000000001</v>
      </c>
      <c r="BD28">
        <v>11.442</v>
      </c>
      <c r="BE28">
        <v>11.521000000000001</v>
      </c>
      <c r="BF28">
        <v>11.779</v>
      </c>
      <c r="BG28">
        <v>11.324999999999999</v>
      </c>
      <c r="BH28">
        <v>11.298999999999999</v>
      </c>
      <c r="BI28">
        <v>11.061999999999999</v>
      </c>
      <c r="BJ28">
        <v>11.000999999999999</v>
      </c>
      <c r="BK28">
        <v>10.846</v>
      </c>
      <c r="BL28">
        <v>10.582000000000001</v>
      </c>
      <c r="BM28">
        <v>10.787000000000001</v>
      </c>
      <c r="BN28">
        <v>11.061999999999999</v>
      </c>
      <c r="BO28">
        <v>10.846</v>
      </c>
      <c r="BP28">
        <v>10.965</v>
      </c>
      <c r="BQ28">
        <v>10.741</v>
      </c>
    </row>
    <row r="29" spans="1:69" x14ac:dyDescent="0.25">
      <c r="A29" t="s">
        <v>74</v>
      </c>
      <c r="B29">
        <v>5.1760000000000002</v>
      </c>
      <c r="C29">
        <v>5.117</v>
      </c>
      <c r="D29">
        <v>5.1660000000000004</v>
      </c>
      <c r="E29">
        <v>4.9260000000000002</v>
      </c>
      <c r="F29">
        <v>5.0309999999999997</v>
      </c>
      <c r="G29">
        <v>5.202</v>
      </c>
      <c r="H29">
        <v>5.16</v>
      </c>
      <c r="I29">
        <v>5.3890000000000002</v>
      </c>
      <c r="J29">
        <v>5.423</v>
      </c>
      <c r="K29">
        <v>5.2930000000000001</v>
      </c>
      <c r="L29">
        <v>5.4539999999999997</v>
      </c>
      <c r="M29">
        <v>5.39</v>
      </c>
      <c r="N29">
        <v>5.3970000000000002</v>
      </c>
      <c r="O29">
        <v>5.57</v>
      </c>
      <c r="P29">
        <v>5.5490000000000004</v>
      </c>
      <c r="Q29">
        <v>5.6349999999999998</v>
      </c>
      <c r="R29">
        <v>5.88</v>
      </c>
      <c r="S29">
        <v>5.8170000000000002</v>
      </c>
      <c r="T29">
        <v>5.7640000000000002</v>
      </c>
      <c r="U29">
        <v>6.11</v>
      </c>
      <c r="V29">
        <v>6.0350000000000001</v>
      </c>
      <c r="W29">
        <v>5.78</v>
      </c>
      <c r="X29">
        <v>5.6390000000000002</v>
      </c>
      <c r="Y29">
        <v>5.6230000000000002</v>
      </c>
      <c r="Z29">
        <v>5.49</v>
      </c>
      <c r="AA29">
        <v>5.3979999999999997</v>
      </c>
      <c r="AB29">
        <v>5.4240000000000004</v>
      </c>
      <c r="AC29">
        <v>5.125</v>
      </c>
      <c r="AD29">
        <v>5.0819999999999999</v>
      </c>
      <c r="AE29">
        <v>4.9829999999999997</v>
      </c>
      <c r="AF29">
        <v>4.9539999999999997</v>
      </c>
      <c r="AG29">
        <v>4.8710000000000004</v>
      </c>
      <c r="AH29">
        <v>4.9560000000000004</v>
      </c>
      <c r="AI29">
        <v>4.9320000000000004</v>
      </c>
      <c r="AJ29">
        <v>5.0529999999999999</v>
      </c>
      <c r="AK29">
        <v>4.9210000000000003</v>
      </c>
      <c r="AL29">
        <v>4.899</v>
      </c>
      <c r="AM29">
        <v>4.7919999999999998</v>
      </c>
      <c r="AN29">
        <v>4.8659999999999997</v>
      </c>
      <c r="AO29">
        <v>4.9790000000000001</v>
      </c>
      <c r="AP29">
        <v>4.9450000000000003</v>
      </c>
      <c r="AQ29">
        <v>5.2320000000000002</v>
      </c>
      <c r="AR29">
        <v>5.173</v>
      </c>
      <c r="AS29">
        <v>5.1989999999999998</v>
      </c>
      <c r="AT29">
        <v>5.2610000000000001</v>
      </c>
      <c r="AU29">
        <v>5.3010000000000002</v>
      </c>
      <c r="AV29">
        <v>5.3019999999999996</v>
      </c>
      <c r="AW29">
        <v>5.1520000000000001</v>
      </c>
      <c r="AX29">
        <v>5.0730000000000004</v>
      </c>
      <c r="AY29">
        <v>5.4039999999999999</v>
      </c>
      <c r="AZ29">
        <v>5.0990000000000002</v>
      </c>
      <c r="BA29">
        <v>5.1159999999999997</v>
      </c>
      <c r="BB29">
        <v>4.6399999999999997</v>
      </c>
      <c r="BC29">
        <v>5.0369999999999999</v>
      </c>
      <c r="BD29">
        <v>5.1920000000000002</v>
      </c>
      <c r="BE29">
        <v>5.55</v>
      </c>
      <c r="BF29">
        <v>5.6159999999999997</v>
      </c>
      <c r="BG29">
        <v>5.5940000000000003</v>
      </c>
      <c r="BH29">
        <v>5.4290000000000003</v>
      </c>
      <c r="BI29">
        <v>5.21</v>
      </c>
      <c r="BJ29">
        <v>5.0620000000000003</v>
      </c>
      <c r="BK29">
        <v>4.9450000000000003</v>
      </c>
      <c r="BL29">
        <v>5.2949999999999999</v>
      </c>
      <c r="BM29">
        <v>5.3689999999999998</v>
      </c>
      <c r="BN29">
        <v>5.7679999999999998</v>
      </c>
      <c r="BO29">
        <v>5.4530000000000003</v>
      </c>
      <c r="BP29">
        <v>5.423</v>
      </c>
      <c r="BQ29">
        <v>5.1970000000000001</v>
      </c>
    </row>
    <row r="30" spans="1:69" x14ac:dyDescent="0.25">
      <c r="A30" t="s">
        <v>70</v>
      </c>
      <c r="B30">
        <v>1.28</v>
      </c>
      <c r="C30">
        <v>1.292</v>
      </c>
      <c r="D30">
        <v>1.2889999999999999</v>
      </c>
      <c r="E30">
        <v>1.2729999999999999</v>
      </c>
      <c r="F30">
        <v>1.2749999999999999</v>
      </c>
      <c r="G30">
        <v>1.2769999999999999</v>
      </c>
      <c r="H30">
        <v>1.2609999999999999</v>
      </c>
      <c r="I30">
        <v>1.2889999999999999</v>
      </c>
      <c r="J30">
        <v>1.2909999999999999</v>
      </c>
      <c r="K30">
        <v>1.3029999999999999</v>
      </c>
      <c r="L30">
        <v>1.2989999999999999</v>
      </c>
      <c r="M30">
        <v>1.2829999999999999</v>
      </c>
      <c r="N30">
        <v>1.28</v>
      </c>
      <c r="O30">
        <v>1.28</v>
      </c>
      <c r="P30">
        <v>1.2849999999999999</v>
      </c>
      <c r="Q30">
        <v>1.3029999999999999</v>
      </c>
      <c r="R30">
        <v>1.3180000000000001</v>
      </c>
      <c r="S30">
        <v>1.3340000000000001</v>
      </c>
      <c r="T30">
        <v>1.3560000000000001</v>
      </c>
      <c r="U30">
        <v>1.373</v>
      </c>
      <c r="V30">
        <v>1.343</v>
      </c>
      <c r="W30">
        <v>1.339</v>
      </c>
      <c r="X30">
        <v>1.306</v>
      </c>
      <c r="Y30">
        <v>1.304</v>
      </c>
      <c r="Z30">
        <v>1.32</v>
      </c>
      <c r="AA30">
        <v>1.3420000000000001</v>
      </c>
      <c r="AB30">
        <v>1.345</v>
      </c>
      <c r="AC30">
        <v>1.3520000000000001</v>
      </c>
      <c r="AD30">
        <v>1.353</v>
      </c>
      <c r="AE30">
        <v>1.333</v>
      </c>
      <c r="AF30">
        <v>1.35</v>
      </c>
      <c r="AG30">
        <v>1.3320000000000001</v>
      </c>
      <c r="AH30">
        <v>1.3420000000000001</v>
      </c>
      <c r="AI30">
        <v>1.361</v>
      </c>
      <c r="AJ30">
        <v>1.3620000000000001</v>
      </c>
      <c r="AK30">
        <v>1.361</v>
      </c>
      <c r="AL30">
        <v>1.3520000000000001</v>
      </c>
      <c r="AM30">
        <v>1.333</v>
      </c>
      <c r="AN30">
        <v>1.341</v>
      </c>
      <c r="AO30">
        <v>1.331</v>
      </c>
      <c r="AP30">
        <v>1.3280000000000001</v>
      </c>
      <c r="AQ30">
        <v>1.349</v>
      </c>
      <c r="AR30">
        <v>1.33</v>
      </c>
      <c r="AS30">
        <v>1.331</v>
      </c>
      <c r="AT30">
        <v>1.3440000000000001</v>
      </c>
      <c r="AU30">
        <v>1.3759999999999999</v>
      </c>
      <c r="AV30">
        <v>1.4370000000000001</v>
      </c>
      <c r="AW30">
        <v>1.4039999999999999</v>
      </c>
      <c r="AX30">
        <v>1.367</v>
      </c>
      <c r="AY30">
        <v>1.407</v>
      </c>
      <c r="AZ30">
        <v>1.39</v>
      </c>
      <c r="BA30">
        <v>1.385</v>
      </c>
      <c r="BB30">
        <v>1.363</v>
      </c>
      <c r="BC30">
        <v>1.36</v>
      </c>
      <c r="BD30">
        <v>1.343</v>
      </c>
      <c r="BE30">
        <v>1.3480000000000001</v>
      </c>
      <c r="BF30">
        <v>1.37</v>
      </c>
      <c r="BG30">
        <v>1.3540000000000001</v>
      </c>
      <c r="BH30">
        <v>1.359</v>
      </c>
      <c r="BI30">
        <v>1.3420000000000001</v>
      </c>
      <c r="BJ30">
        <v>1.353</v>
      </c>
      <c r="BK30">
        <v>1.3440000000000001</v>
      </c>
      <c r="BL30">
        <v>1.3240000000000001</v>
      </c>
      <c r="BM30">
        <v>1.327</v>
      </c>
      <c r="BN30">
        <v>1.3480000000000001</v>
      </c>
      <c r="BO30">
        <v>1.341</v>
      </c>
      <c r="BP30">
        <v>1.3240000000000001</v>
      </c>
      <c r="BQ30">
        <v>1.3260000000000001</v>
      </c>
    </row>
    <row r="31" spans="1:69" x14ac:dyDescent="0.25">
      <c r="A31" t="s">
        <v>45</v>
      </c>
      <c r="B31">
        <v>0.86699999999999999</v>
      </c>
      <c r="C31">
        <v>0.875</v>
      </c>
      <c r="D31">
        <v>0.86799999999999999</v>
      </c>
      <c r="E31">
        <v>0.85399999999999998</v>
      </c>
      <c r="F31">
        <v>0.85399999999999998</v>
      </c>
      <c r="G31">
        <v>0.86699999999999999</v>
      </c>
      <c r="H31">
        <v>0.84099999999999997</v>
      </c>
      <c r="I31">
        <v>0.85799999999999998</v>
      </c>
      <c r="J31">
        <v>1.6659999999999999</v>
      </c>
      <c r="K31">
        <v>1.6910000000000001</v>
      </c>
      <c r="L31">
        <v>1.6910000000000001</v>
      </c>
      <c r="M31">
        <v>1.6679999999999999</v>
      </c>
      <c r="N31">
        <v>1.671</v>
      </c>
      <c r="O31">
        <v>1.673</v>
      </c>
      <c r="P31">
        <v>1.7050000000000001</v>
      </c>
      <c r="Q31">
        <v>1.7549999999999999</v>
      </c>
      <c r="R31">
        <v>1.7210000000000001</v>
      </c>
      <c r="S31">
        <v>1.796</v>
      </c>
      <c r="T31">
        <v>1.891</v>
      </c>
      <c r="U31">
        <v>1.9159999999999999</v>
      </c>
      <c r="V31">
        <v>1.863</v>
      </c>
      <c r="W31">
        <v>1.8440000000000001</v>
      </c>
      <c r="X31">
        <v>1.788</v>
      </c>
      <c r="Y31">
        <v>1.7749999999999999</v>
      </c>
      <c r="Z31">
        <v>1.7849999999999999</v>
      </c>
      <c r="AA31">
        <v>1.796</v>
      </c>
      <c r="AB31">
        <v>1.8049999999999999</v>
      </c>
      <c r="AC31">
        <v>1.81</v>
      </c>
      <c r="AD31">
        <v>1.8220000000000001</v>
      </c>
      <c r="AE31">
        <v>1.788</v>
      </c>
      <c r="AF31">
        <v>1.8240000000000001</v>
      </c>
      <c r="AG31">
        <v>1.786</v>
      </c>
      <c r="AH31">
        <v>1.8129999999999999</v>
      </c>
      <c r="AI31">
        <v>1.833</v>
      </c>
      <c r="AJ31">
        <v>1.84</v>
      </c>
      <c r="AK31">
        <v>1.821</v>
      </c>
      <c r="AL31">
        <v>1.7849999999999999</v>
      </c>
      <c r="AM31">
        <v>1.7629999999999999</v>
      </c>
      <c r="AN31">
        <v>1.8140000000000001</v>
      </c>
      <c r="AO31">
        <v>1.7929999999999999</v>
      </c>
      <c r="AP31">
        <v>1.7809999999999999</v>
      </c>
      <c r="AQ31">
        <v>1.8260000000000001</v>
      </c>
      <c r="AR31">
        <v>1.825</v>
      </c>
      <c r="AS31">
        <v>1.8169999999999999</v>
      </c>
      <c r="AT31">
        <v>1.835</v>
      </c>
      <c r="AU31">
        <v>1.901</v>
      </c>
      <c r="AV31">
        <v>2.0179999999999998</v>
      </c>
      <c r="AW31">
        <v>1.9490000000000001</v>
      </c>
      <c r="AX31">
        <v>1.8879999999999999</v>
      </c>
      <c r="AY31">
        <v>1.948</v>
      </c>
      <c r="AZ31">
        <v>1.873</v>
      </c>
      <c r="BA31">
        <v>1.853</v>
      </c>
      <c r="BB31">
        <v>1.7989999999999999</v>
      </c>
      <c r="BC31">
        <v>1.7849999999999999</v>
      </c>
      <c r="BD31">
        <v>1.7170000000000001</v>
      </c>
      <c r="BE31">
        <v>1.7130000000000001</v>
      </c>
      <c r="BF31">
        <v>1.736</v>
      </c>
      <c r="BG31">
        <v>1.706</v>
      </c>
      <c r="BH31">
        <v>1.6819999999999999</v>
      </c>
      <c r="BI31">
        <v>1.657</v>
      </c>
      <c r="BJ31">
        <v>1.645</v>
      </c>
      <c r="BK31">
        <v>1.64</v>
      </c>
      <c r="BL31">
        <v>1.603</v>
      </c>
      <c r="BM31">
        <v>1.6160000000000001</v>
      </c>
      <c r="BN31">
        <v>1.669</v>
      </c>
      <c r="BO31">
        <v>1.6379999999999999</v>
      </c>
      <c r="BP31">
        <v>1.611</v>
      </c>
      <c r="BQ31">
        <v>1.6080000000000001</v>
      </c>
    </row>
    <row r="32" spans="1:69" x14ac:dyDescent="0.25">
      <c r="A32" t="s">
        <v>66</v>
      </c>
      <c r="B32">
        <v>568.51900000000001</v>
      </c>
      <c r="C32">
        <v>574.04100000000005</v>
      </c>
      <c r="D32">
        <v>569.30799999999999</v>
      </c>
      <c r="E32">
        <v>560.16800000000001</v>
      </c>
      <c r="F32">
        <v>560.16800000000001</v>
      </c>
      <c r="G32">
        <v>568.81500000000005</v>
      </c>
      <c r="H32">
        <v>551.87400000000002</v>
      </c>
      <c r="I32">
        <v>563.053</v>
      </c>
      <c r="J32">
        <v>558.59400000000005</v>
      </c>
      <c r="K32">
        <v>567.24099999999999</v>
      </c>
      <c r="L32">
        <v>567.24099999999999</v>
      </c>
      <c r="M32">
        <v>559.30799999999999</v>
      </c>
      <c r="N32">
        <v>560.55100000000004</v>
      </c>
      <c r="O32">
        <v>561.17499999999995</v>
      </c>
      <c r="P32">
        <v>571.98900000000003</v>
      </c>
      <c r="Q32">
        <v>588.46100000000001</v>
      </c>
      <c r="R32">
        <v>577.32500000000005</v>
      </c>
      <c r="S32">
        <v>602.40300000000002</v>
      </c>
      <c r="T32">
        <v>634.08100000000002</v>
      </c>
      <c r="U32">
        <v>642.654</v>
      </c>
      <c r="V32">
        <v>624.84</v>
      </c>
      <c r="W32">
        <v>618.59400000000005</v>
      </c>
      <c r="X32">
        <v>599.65</v>
      </c>
      <c r="Y32">
        <v>595.35</v>
      </c>
      <c r="Z32">
        <v>598.71900000000005</v>
      </c>
      <c r="AA32">
        <v>602.45899999999995</v>
      </c>
      <c r="AB32">
        <v>605.46199999999999</v>
      </c>
      <c r="AC32">
        <v>607.14300000000003</v>
      </c>
      <c r="AD32">
        <v>611.15899999999999</v>
      </c>
      <c r="AE32">
        <v>599.65</v>
      </c>
      <c r="AF32">
        <v>611.72900000000004</v>
      </c>
      <c r="AG32">
        <v>598.88300000000004</v>
      </c>
      <c r="AH32">
        <v>607.98699999999997</v>
      </c>
      <c r="AI32">
        <v>614.71</v>
      </c>
      <c r="AJ32">
        <v>617.13900000000001</v>
      </c>
      <c r="AK32">
        <v>610.64700000000005</v>
      </c>
      <c r="AL32">
        <v>598.61</v>
      </c>
      <c r="AM32">
        <v>591.43200000000002</v>
      </c>
      <c r="AN32">
        <v>608.26900000000001</v>
      </c>
      <c r="AO32">
        <v>601.24400000000003</v>
      </c>
      <c r="AP32">
        <v>597.46500000000003</v>
      </c>
      <c r="AQ32">
        <v>612.47199999999998</v>
      </c>
      <c r="AR32">
        <v>612.12900000000002</v>
      </c>
      <c r="AS32">
        <v>609.28599999999994</v>
      </c>
      <c r="AT32">
        <v>615.40200000000004</v>
      </c>
      <c r="AU32">
        <v>637.65599999999995</v>
      </c>
      <c r="AV32">
        <v>676.73299999999995</v>
      </c>
      <c r="AW32">
        <v>653.79899999999998</v>
      </c>
      <c r="AX32">
        <v>633.22400000000005</v>
      </c>
      <c r="AY32">
        <v>653.40899999999999</v>
      </c>
      <c r="AZ32">
        <v>628.13099999999997</v>
      </c>
      <c r="BA32">
        <v>621.34799999999996</v>
      </c>
      <c r="BB32">
        <v>603.34500000000003</v>
      </c>
      <c r="BC32">
        <v>598.61</v>
      </c>
      <c r="BD32">
        <v>575.70399999999995</v>
      </c>
      <c r="BE32">
        <v>574.49400000000003</v>
      </c>
      <c r="BF32">
        <v>582.19299999999998</v>
      </c>
      <c r="BG32">
        <v>572.08900000000006</v>
      </c>
      <c r="BH32">
        <v>563.97299999999996</v>
      </c>
      <c r="BI32">
        <v>555.89599999999996</v>
      </c>
      <c r="BJ32">
        <v>551.73400000000004</v>
      </c>
      <c r="BK32">
        <v>549.88400000000001</v>
      </c>
      <c r="BL32">
        <v>537.71400000000006</v>
      </c>
      <c r="BM32">
        <v>541.84500000000003</v>
      </c>
      <c r="BN32">
        <v>559.69000000000005</v>
      </c>
      <c r="BO32">
        <v>549.24</v>
      </c>
      <c r="BP32">
        <v>540.46100000000001</v>
      </c>
      <c r="BQ32">
        <v>539.26099999999997</v>
      </c>
    </row>
    <row r="33" spans="1:69" x14ac:dyDescent="0.25">
      <c r="A33" t="s">
        <v>64</v>
      </c>
      <c r="B33">
        <v>2974.9029999999998</v>
      </c>
      <c r="C33">
        <v>2963.3910000000001</v>
      </c>
      <c r="D33">
        <v>2956</v>
      </c>
      <c r="E33">
        <v>2957.5079999999998</v>
      </c>
      <c r="F33">
        <v>2953.6880000000001</v>
      </c>
      <c r="G33">
        <v>2949.75</v>
      </c>
      <c r="H33">
        <v>2947</v>
      </c>
      <c r="I33">
        <v>2947.37</v>
      </c>
      <c r="J33">
        <v>2947.636</v>
      </c>
      <c r="K33">
        <v>2938.8890000000001</v>
      </c>
      <c r="L33">
        <v>2934.4949999999999</v>
      </c>
      <c r="M33">
        <v>2929.703</v>
      </c>
      <c r="N33">
        <v>2925.7150000000001</v>
      </c>
      <c r="O33">
        <v>2921.123</v>
      </c>
      <c r="P33">
        <v>2916.2220000000002</v>
      </c>
      <c r="Q33">
        <v>2912.0160000000001</v>
      </c>
      <c r="R33">
        <v>2906.808</v>
      </c>
      <c r="S33">
        <v>2902.1849999999999</v>
      </c>
      <c r="T33">
        <v>2897.692</v>
      </c>
      <c r="U33">
        <v>2892.6030000000001</v>
      </c>
      <c r="V33">
        <v>2888.1579999999999</v>
      </c>
      <c r="W33">
        <v>2917.6669999999999</v>
      </c>
      <c r="X33">
        <v>2878.2379999999998</v>
      </c>
      <c r="Y33">
        <v>2873.1689999999999</v>
      </c>
      <c r="Z33">
        <v>2868.0610000000001</v>
      </c>
      <c r="AA33">
        <v>2862.8229999999999</v>
      </c>
      <c r="AB33">
        <v>2858.3490000000002</v>
      </c>
      <c r="AC33">
        <v>2852.8229999999999</v>
      </c>
      <c r="AD33">
        <v>2848.1010000000001</v>
      </c>
      <c r="AE33">
        <v>2850.297</v>
      </c>
      <c r="AF33">
        <v>2838.9749999999999</v>
      </c>
      <c r="AG33">
        <v>2834.7890000000002</v>
      </c>
      <c r="AH33">
        <v>2829.68</v>
      </c>
      <c r="AI33">
        <v>2825.2460000000001</v>
      </c>
      <c r="AJ33">
        <v>2821.32</v>
      </c>
      <c r="AK33">
        <v>2816.7840000000001</v>
      </c>
      <c r="AL33">
        <v>2810.7330000000002</v>
      </c>
      <c r="AM33">
        <v>2806.12</v>
      </c>
      <c r="AN33">
        <v>2800.8620000000001</v>
      </c>
      <c r="AO33">
        <v>2795.357</v>
      </c>
      <c r="AP33">
        <v>2063.598</v>
      </c>
      <c r="AQ33">
        <v>2058.221</v>
      </c>
      <c r="AR33">
        <v>2069.2600000000002</v>
      </c>
      <c r="AS33">
        <v>2048.4499999999998</v>
      </c>
      <c r="AT33">
        <v>2043.123</v>
      </c>
      <c r="AU33">
        <v>2037.885</v>
      </c>
      <c r="AV33">
        <v>2033.749</v>
      </c>
      <c r="AW33">
        <v>2028.788</v>
      </c>
      <c r="AX33">
        <v>2023.5309999999999</v>
      </c>
      <c r="AY33">
        <v>2018.6610000000001</v>
      </c>
      <c r="AZ33">
        <v>2014.008</v>
      </c>
      <c r="BA33">
        <v>2009.4749999999999</v>
      </c>
      <c r="BB33">
        <v>2005.249</v>
      </c>
      <c r="BC33">
        <v>2000.973</v>
      </c>
      <c r="BD33">
        <v>1996.46</v>
      </c>
      <c r="BE33">
        <v>1991.43</v>
      </c>
      <c r="BF33">
        <v>1983.643</v>
      </c>
      <c r="BG33">
        <v>1978.723</v>
      </c>
      <c r="BH33">
        <v>1974.298</v>
      </c>
      <c r="BI33">
        <v>1968.932</v>
      </c>
      <c r="BJ33">
        <v>1964.0409999999999</v>
      </c>
      <c r="BK33">
        <v>1958.952</v>
      </c>
      <c r="BL33">
        <v>1953.8630000000001</v>
      </c>
      <c r="BM33">
        <v>1949.181</v>
      </c>
      <c r="BN33">
        <v>1943.626</v>
      </c>
      <c r="BO33">
        <v>1938.586</v>
      </c>
      <c r="BP33">
        <v>1934.35</v>
      </c>
      <c r="BQ33">
        <v>1929.9359999999999</v>
      </c>
    </row>
    <row r="34" spans="1:69" x14ac:dyDescent="0.25">
      <c r="A34" t="s">
        <v>82</v>
      </c>
      <c r="B34">
        <v>4039</v>
      </c>
      <c r="C34">
        <v>4029</v>
      </c>
      <c r="D34">
        <v>4019</v>
      </c>
      <c r="E34">
        <v>4003.9969999999998</v>
      </c>
      <c r="F34">
        <v>3994.5</v>
      </c>
      <c r="G34">
        <v>4003</v>
      </c>
      <c r="H34">
        <v>4015</v>
      </c>
      <c r="I34">
        <v>4008.5</v>
      </c>
      <c r="J34">
        <v>4002</v>
      </c>
      <c r="K34">
        <v>4015</v>
      </c>
      <c r="L34">
        <v>4018</v>
      </c>
      <c r="M34">
        <v>4005</v>
      </c>
      <c r="N34">
        <v>4000</v>
      </c>
      <c r="O34">
        <v>4009</v>
      </c>
      <c r="P34">
        <v>4010</v>
      </c>
      <c r="Q34">
        <v>4000</v>
      </c>
      <c r="R34">
        <v>3996</v>
      </c>
      <c r="S34">
        <v>4000</v>
      </c>
      <c r="T34">
        <v>4007</v>
      </c>
      <c r="U34">
        <v>4032</v>
      </c>
      <c r="V34">
        <v>4023</v>
      </c>
      <c r="W34">
        <v>4058</v>
      </c>
      <c r="X34">
        <v>4055</v>
      </c>
      <c r="Y34">
        <v>4072.0010000000002</v>
      </c>
      <c r="Z34">
        <v>4104</v>
      </c>
      <c r="AA34">
        <v>4112</v>
      </c>
      <c r="AB34">
        <v>4106</v>
      </c>
      <c r="AC34">
        <v>4073</v>
      </c>
      <c r="AD34">
        <v>4039</v>
      </c>
      <c r="AE34">
        <v>4041</v>
      </c>
      <c r="AF34">
        <v>4076</v>
      </c>
      <c r="AG34">
        <v>4093</v>
      </c>
      <c r="AH34">
        <v>4112</v>
      </c>
      <c r="AI34">
        <v>4121</v>
      </c>
      <c r="AJ34">
        <v>4126</v>
      </c>
      <c r="AK34">
        <v>4138</v>
      </c>
      <c r="AL34">
        <v>4123</v>
      </c>
      <c r="AM34">
        <v>4121</v>
      </c>
      <c r="AN34">
        <v>4106</v>
      </c>
      <c r="AO34">
        <v>4066</v>
      </c>
      <c r="AP34">
        <v>4050</v>
      </c>
      <c r="AQ34">
        <v>4031</v>
      </c>
      <c r="AR34">
        <v>4112</v>
      </c>
      <c r="AS34">
        <v>4110</v>
      </c>
      <c r="AT34">
        <v>4130</v>
      </c>
      <c r="AU34">
        <v>4130</v>
      </c>
      <c r="AV34">
        <v>4110</v>
      </c>
      <c r="AW34">
        <v>4097</v>
      </c>
      <c r="AX34">
        <v>4092</v>
      </c>
      <c r="AY34">
        <v>4072.5010000000002</v>
      </c>
      <c r="AZ34">
        <v>4071.7510000000002</v>
      </c>
      <c r="BA34">
        <v>4055</v>
      </c>
      <c r="BB34">
        <v>4050</v>
      </c>
      <c r="BC34">
        <v>4085</v>
      </c>
      <c r="BD34">
        <v>4060</v>
      </c>
      <c r="BE34">
        <v>4080</v>
      </c>
      <c r="BF34">
        <v>4080</v>
      </c>
      <c r="BG34">
        <v>4098</v>
      </c>
      <c r="BH34">
        <v>4112</v>
      </c>
      <c r="BI34">
        <v>4115</v>
      </c>
      <c r="BJ34">
        <v>4102</v>
      </c>
      <c r="BK34">
        <v>4097</v>
      </c>
      <c r="BL34">
        <v>4098</v>
      </c>
      <c r="BM34">
        <v>4067</v>
      </c>
      <c r="BN34">
        <v>4051</v>
      </c>
      <c r="BO34">
        <v>4080</v>
      </c>
      <c r="BP34">
        <v>4073</v>
      </c>
      <c r="BQ34">
        <v>4040</v>
      </c>
    </row>
    <row r="35" spans="1:69" x14ac:dyDescent="0.25">
      <c r="A35" t="s">
        <v>85</v>
      </c>
      <c r="B35">
        <v>568.51900000000001</v>
      </c>
      <c r="C35">
        <v>574.04100000000005</v>
      </c>
      <c r="D35">
        <v>569.30799999999999</v>
      </c>
      <c r="E35">
        <v>560.16800000000001</v>
      </c>
      <c r="F35">
        <v>560.16800000000001</v>
      </c>
      <c r="G35">
        <v>568.81500000000005</v>
      </c>
      <c r="H35">
        <v>551.87400000000002</v>
      </c>
      <c r="I35">
        <v>563.053</v>
      </c>
      <c r="J35">
        <v>558.59400000000005</v>
      </c>
      <c r="K35">
        <v>567.24099999999999</v>
      </c>
      <c r="L35">
        <v>567.24099999999999</v>
      </c>
      <c r="M35">
        <v>559.30799999999999</v>
      </c>
      <c r="N35">
        <v>560.55100000000004</v>
      </c>
      <c r="O35">
        <v>561.17499999999995</v>
      </c>
      <c r="P35">
        <v>571.98900000000003</v>
      </c>
      <c r="Q35">
        <v>588.46100000000001</v>
      </c>
      <c r="R35">
        <v>577.32500000000005</v>
      </c>
      <c r="S35">
        <v>602.40300000000002</v>
      </c>
      <c r="T35">
        <v>634.08100000000002</v>
      </c>
      <c r="U35">
        <v>642.654</v>
      </c>
      <c r="V35">
        <v>624.84</v>
      </c>
      <c r="W35">
        <v>618.59400000000005</v>
      </c>
      <c r="X35">
        <v>599.65</v>
      </c>
      <c r="Y35">
        <v>595.35</v>
      </c>
      <c r="Z35">
        <v>598.71900000000005</v>
      </c>
      <c r="AA35">
        <v>602.45899999999995</v>
      </c>
      <c r="AB35">
        <v>605.46199999999999</v>
      </c>
      <c r="AC35">
        <v>607.14300000000003</v>
      </c>
      <c r="AD35">
        <v>611.15899999999999</v>
      </c>
      <c r="AE35">
        <v>599.65</v>
      </c>
      <c r="AF35">
        <v>611.72900000000004</v>
      </c>
      <c r="AG35">
        <v>598.88300000000004</v>
      </c>
      <c r="AH35">
        <v>607.98699999999997</v>
      </c>
      <c r="AI35">
        <v>614.71</v>
      </c>
      <c r="AJ35">
        <v>617.13900000000001</v>
      </c>
      <c r="AK35">
        <v>610.64700000000005</v>
      </c>
      <c r="AL35">
        <v>598.61</v>
      </c>
      <c r="AM35">
        <v>591.43200000000002</v>
      </c>
      <c r="AN35">
        <v>608.26900000000001</v>
      </c>
      <c r="AO35">
        <v>601.24400000000003</v>
      </c>
      <c r="AP35">
        <v>597.46500000000003</v>
      </c>
      <c r="AQ35">
        <v>612.47199999999998</v>
      </c>
      <c r="AR35">
        <v>612.12900000000002</v>
      </c>
      <c r="AS35">
        <v>609.28599999999994</v>
      </c>
      <c r="AT35">
        <v>615.40200000000004</v>
      </c>
      <c r="AU35">
        <v>637.65599999999995</v>
      </c>
      <c r="AV35">
        <v>676.73299999999995</v>
      </c>
      <c r="AW35">
        <v>653.79899999999998</v>
      </c>
      <c r="AX35">
        <v>633.22400000000005</v>
      </c>
      <c r="AY35">
        <v>653.40899999999999</v>
      </c>
      <c r="AZ35">
        <v>628.13099999999997</v>
      </c>
      <c r="BA35">
        <v>621.34799999999996</v>
      </c>
      <c r="BB35">
        <v>603.34500000000003</v>
      </c>
      <c r="BC35">
        <v>598.61</v>
      </c>
      <c r="BD35">
        <v>575.70399999999995</v>
      </c>
      <c r="BE35">
        <v>574.49400000000003</v>
      </c>
      <c r="BF35">
        <v>582.19299999999998</v>
      </c>
      <c r="BG35">
        <v>572.08900000000006</v>
      </c>
      <c r="BH35">
        <v>563.97299999999996</v>
      </c>
      <c r="BI35">
        <v>555.89599999999996</v>
      </c>
      <c r="BJ35">
        <v>551.73400000000004</v>
      </c>
      <c r="BK35">
        <v>549.88400000000001</v>
      </c>
      <c r="BL35">
        <v>537.71400000000006</v>
      </c>
      <c r="BM35">
        <v>541.84500000000003</v>
      </c>
      <c r="BN35">
        <v>559.69000000000005</v>
      </c>
      <c r="BO35">
        <v>549.24</v>
      </c>
      <c r="BP35">
        <v>540.46100000000001</v>
      </c>
      <c r="BQ35">
        <v>539.26099999999997</v>
      </c>
    </row>
    <row r="36" spans="1:69" x14ac:dyDescent="0.25">
      <c r="A36" t="s">
        <v>83</v>
      </c>
      <c r="B36">
        <v>1.3939999999999999</v>
      </c>
      <c r="C36">
        <v>1.4139999999999999</v>
      </c>
      <c r="D36">
        <v>1.399</v>
      </c>
      <c r="E36">
        <v>1.371</v>
      </c>
      <c r="F36">
        <v>1.381</v>
      </c>
      <c r="G36">
        <v>1.36</v>
      </c>
      <c r="H36">
        <v>1.359</v>
      </c>
      <c r="I36">
        <v>1.389</v>
      </c>
      <c r="J36">
        <v>1.377</v>
      </c>
      <c r="K36">
        <v>1.4019999999999999</v>
      </c>
      <c r="L36">
        <v>1.403</v>
      </c>
      <c r="M36">
        <v>1.3859999999999999</v>
      </c>
      <c r="N36">
        <v>1.3759999999999999</v>
      </c>
      <c r="O36">
        <v>1.369</v>
      </c>
      <c r="P36">
        <v>1.367</v>
      </c>
      <c r="Q36">
        <v>1.399</v>
      </c>
      <c r="R36">
        <v>1.385</v>
      </c>
      <c r="S36">
        <v>1.4410000000000001</v>
      </c>
      <c r="T36">
        <v>1.4330000000000001</v>
      </c>
      <c r="U36">
        <v>1.44</v>
      </c>
      <c r="V36">
        <v>1.413</v>
      </c>
      <c r="W36">
        <v>1.399</v>
      </c>
      <c r="X36">
        <v>1.375</v>
      </c>
      <c r="Y36">
        <v>1.359</v>
      </c>
      <c r="Z36">
        <v>1.3740000000000001</v>
      </c>
      <c r="AA36">
        <v>1.36</v>
      </c>
      <c r="AB36">
        <v>1.369</v>
      </c>
      <c r="AC36">
        <v>1.3660000000000001</v>
      </c>
      <c r="AD36">
        <v>1.369</v>
      </c>
      <c r="AE36">
        <v>1.3480000000000001</v>
      </c>
      <c r="AF36">
        <v>1.3540000000000001</v>
      </c>
      <c r="AG36">
        <v>1.339</v>
      </c>
      <c r="AH36">
        <v>1.3580000000000001</v>
      </c>
      <c r="AI36">
        <v>1.3819999999999999</v>
      </c>
      <c r="AJ36">
        <v>1.359</v>
      </c>
      <c r="AK36">
        <v>1.355</v>
      </c>
      <c r="AL36">
        <v>1.3460000000000001</v>
      </c>
      <c r="AM36">
        <v>1.3160000000000001</v>
      </c>
      <c r="AN36">
        <v>1.333</v>
      </c>
      <c r="AO36">
        <v>1.3480000000000001</v>
      </c>
      <c r="AP36">
        <v>1.3460000000000001</v>
      </c>
      <c r="AQ36">
        <v>1.373</v>
      </c>
      <c r="AR36">
        <v>1.333</v>
      </c>
      <c r="AS36">
        <v>1.3420000000000001</v>
      </c>
      <c r="AT36">
        <v>1.353</v>
      </c>
      <c r="AU36">
        <v>1.3280000000000001</v>
      </c>
      <c r="AV36">
        <v>1.38</v>
      </c>
      <c r="AW36">
        <v>1.3089999999999999</v>
      </c>
      <c r="AX36">
        <v>1.274</v>
      </c>
      <c r="AY36">
        <v>1.296</v>
      </c>
      <c r="AZ36">
        <v>1.2849999999999999</v>
      </c>
      <c r="BA36">
        <v>1.294</v>
      </c>
      <c r="BB36">
        <v>1.2609999999999999</v>
      </c>
      <c r="BC36">
        <v>1.27</v>
      </c>
      <c r="BD36">
        <v>1.2689999999999999</v>
      </c>
      <c r="BE36">
        <v>1.252</v>
      </c>
      <c r="BF36">
        <v>1.276</v>
      </c>
      <c r="BG36">
        <v>1.258</v>
      </c>
      <c r="BH36">
        <v>1.272</v>
      </c>
      <c r="BI36">
        <v>1.2649999999999999</v>
      </c>
      <c r="BJ36">
        <v>1.246</v>
      </c>
      <c r="BK36">
        <v>1.2330000000000001</v>
      </c>
      <c r="BL36">
        <v>1.208</v>
      </c>
      <c r="BM36">
        <v>1.2310000000000001</v>
      </c>
      <c r="BN36">
        <v>1.264</v>
      </c>
      <c r="BO36">
        <v>1.2589999999999999</v>
      </c>
      <c r="BP36">
        <v>1.268</v>
      </c>
      <c r="BQ36">
        <v>1.274</v>
      </c>
    </row>
    <row r="37" spans="1:69" x14ac:dyDescent="0.25">
      <c r="A37" t="s">
        <v>45</v>
      </c>
      <c r="B37">
        <v>0.86699999999999999</v>
      </c>
      <c r="C37">
        <v>0.875</v>
      </c>
      <c r="D37">
        <v>0.86799999999999999</v>
      </c>
      <c r="E37">
        <v>0.85399999999999998</v>
      </c>
      <c r="F37">
        <v>0.85399999999999998</v>
      </c>
      <c r="G37">
        <v>0.86699999999999999</v>
      </c>
      <c r="H37">
        <v>0.84099999999999997</v>
      </c>
      <c r="I37">
        <v>0.85799999999999998</v>
      </c>
      <c r="J37">
        <v>0.85199999999999998</v>
      </c>
      <c r="K37">
        <v>0.86499999999999999</v>
      </c>
      <c r="L37">
        <v>0.86499999999999999</v>
      </c>
      <c r="M37">
        <v>0.85299999999999998</v>
      </c>
      <c r="N37">
        <v>0.85499999999999998</v>
      </c>
      <c r="O37">
        <v>0.85599999999999998</v>
      </c>
      <c r="P37">
        <v>0.872</v>
      </c>
      <c r="Q37">
        <v>0.89700000000000002</v>
      </c>
      <c r="R37">
        <v>0.88</v>
      </c>
      <c r="S37">
        <v>0.91800000000000004</v>
      </c>
      <c r="T37">
        <v>0.96699999999999997</v>
      </c>
      <c r="U37">
        <v>0.98</v>
      </c>
      <c r="V37">
        <v>0.95299999999999996</v>
      </c>
      <c r="W37">
        <v>0.94299999999999995</v>
      </c>
      <c r="X37">
        <v>0.91400000000000003</v>
      </c>
      <c r="Y37">
        <v>0.90800000000000003</v>
      </c>
      <c r="Z37">
        <v>0.91300000000000003</v>
      </c>
      <c r="AA37">
        <v>0.91800000000000004</v>
      </c>
      <c r="AB37">
        <v>0.92300000000000004</v>
      </c>
      <c r="AC37">
        <v>0.92600000000000005</v>
      </c>
      <c r="AD37">
        <v>0.93200000000000005</v>
      </c>
      <c r="AE37">
        <v>0.91400000000000003</v>
      </c>
      <c r="AF37">
        <v>0.93300000000000005</v>
      </c>
      <c r="AG37">
        <v>0.91300000000000003</v>
      </c>
      <c r="AH37">
        <v>0.92700000000000005</v>
      </c>
      <c r="AI37">
        <v>0.93700000000000006</v>
      </c>
      <c r="AJ37">
        <v>0.94099999999999995</v>
      </c>
      <c r="AK37">
        <v>0.93100000000000005</v>
      </c>
      <c r="AL37">
        <v>0.91300000000000003</v>
      </c>
      <c r="AM37">
        <v>0.90200000000000002</v>
      </c>
      <c r="AN37">
        <v>0.92700000000000005</v>
      </c>
      <c r="AO37">
        <v>0.91700000000000004</v>
      </c>
      <c r="AP37">
        <v>0.91100000000000003</v>
      </c>
      <c r="AQ37">
        <v>0.93400000000000005</v>
      </c>
      <c r="AR37">
        <v>0.93300000000000005</v>
      </c>
      <c r="AS37">
        <v>0.92900000000000005</v>
      </c>
      <c r="AT37">
        <v>0.93799999999999994</v>
      </c>
      <c r="AU37">
        <v>0.97199999999999998</v>
      </c>
      <c r="AV37">
        <v>1.032</v>
      </c>
      <c r="AW37">
        <v>0.997</v>
      </c>
      <c r="AX37">
        <v>0.96499999999999997</v>
      </c>
      <c r="AY37">
        <v>0.996</v>
      </c>
      <c r="AZ37">
        <v>0.95799999999999996</v>
      </c>
      <c r="BA37">
        <v>0.94699999999999995</v>
      </c>
      <c r="BB37">
        <v>0.92</v>
      </c>
      <c r="BC37">
        <v>0.91300000000000003</v>
      </c>
      <c r="BD37">
        <v>0.878</v>
      </c>
      <c r="BE37">
        <v>0.876</v>
      </c>
      <c r="BF37">
        <v>0.88800000000000001</v>
      </c>
      <c r="BG37">
        <v>0.872</v>
      </c>
      <c r="BH37">
        <v>0.86</v>
      </c>
      <c r="BI37">
        <v>0.84699999999999998</v>
      </c>
      <c r="BJ37">
        <v>0.84099999999999997</v>
      </c>
      <c r="BK37">
        <v>0.83799999999999997</v>
      </c>
      <c r="BL37">
        <v>0.82</v>
      </c>
      <c r="BM37">
        <v>0.82599999999999996</v>
      </c>
      <c r="BN37">
        <v>0.85299999999999998</v>
      </c>
      <c r="BO37">
        <v>0.83699999999999997</v>
      </c>
      <c r="BP37">
        <v>0.82399999999999995</v>
      </c>
      <c r="BQ37">
        <v>0.82199999999999995</v>
      </c>
    </row>
    <row r="38" spans="1:69" x14ac:dyDescent="0.25">
      <c r="A38" t="s">
        <v>89</v>
      </c>
      <c r="B38">
        <v>95.566999999999993</v>
      </c>
      <c r="C38">
        <v>96.495000000000005</v>
      </c>
      <c r="D38">
        <v>95.7</v>
      </c>
      <c r="E38">
        <v>94.162999999999997</v>
      </c>
      <c r="F38">
        <v>94.162999999999997</v>
      </c>
      <c r="G38">
        <v>95.617000000000004</v>
      </c>
      <c r="H38">
        <v>92.769000000000005</v>
      </c>
      <c r="I38">
        <v>94.647999999999996</v>
      </c>
      <c r="J38">
        <v>93.897999999999996</v>
      </c>
      <c r="K38">
        <v>95.352000000000004</v>
      </c>
      <c r="L38">
        <v>95.352000000000004</v>
      </c>
      <c r="M38">
        <v>94.019000000000005</v>
      </c>
      <c r="N38">
        <v>94.227000000000004</v>
      </c>
      <c r="O38">
        <v>94.331999999999994</v>
      </c>
      <c r="P38">
        <v>96.15</v>
      </c>
      <c r="Q38">
        <v>98.918999999999997</v>
      </c>
      <c r="R38">
        <v>97.046999999999997</v>
      </c>
      <c r="S38">
        <v>101.26300000000001</v>
      </c>
      <c r="T38">
        <v>106.58799999999999</v>
      </c>
      <c r="U38">
        <v>108.029</v>
      </c>
      <c r="V38">
        <v>105.03400000000001</v>
      </c>
      <c r="W38">
        <v>103.98399999999999</v>
      </c>
      <c r="X38">
        <v>100.8</v>
      </c>
      <c r="Y38">
        <v>100.077</v>
      </c>
      <c r="Z38">
        <v>100.643</v>
      </c>
      <c r="AA38">
        <v>101.27200000000001</v>
      </c>
      <c r="AB38">
        <v>101.777</v>
      </c>
      <c r="AC38">
        <v>102.059</v>
      </c>
      <c r="AD38">
        <v>102.735</v>
      </c>
      <c r="AE38">
        <v>100.8</v>
      </c>
      <c r="AF38">
        <v>102.83</v>
      </c>
      <c r="AG38">
        <v>100.67100000000001</v>
      </c>
      <c r="AH38">
        <v>102.20099999999999</v>
      </c>
      <c r="AI38">
        <v>103.331</v>
      </c>
      <c r="AJ38">
        <v>103.74</v>
      </c>
      <c r="AK38">
        <v>102.648</v>
      </c>
      <c r="AL38">
        <v>100.625</v>
      </c>
      <c r="AM38">
        <v>99.418000000000006</v>
      </c>
      <c r="AN38">
        <v>102.249</v>
      </c>
      <c r="AO38">
        <v>101.068</v>
      </c>
      <c r="AP38">
        <v>100.43300000000001</v>
      </c>
      <c r="AQ38">
        <v>102.955</v>
      </c>
      <c r="AR38">
        <v>102.898</v>
      </c>
      <c r="AS38">
        <v>102.42</v>
      </c>
      <c r="AT38">
        <v>103.44799999999999</v>
      </c>
      <c r="AU38">
        <v>107.18899999999999</v>
      </c>
      <c r="AV38">
        <v>113.75700000000001</v>
      </c>
      <c r="AW38">
        <v>109.902</v>
      </c>
      <c r="AX38">
        <v>106.444</v>
      </c>
      <c r="AY38">
        <v>109.837</v>
      </c>
      <c r="AZ38">
        <v>105.587</v>
      </c>
      <c r="BA38">
        <v>104.447</v>
      </c>
      <c r="BB38">
        <v>101.42100000000001</v>
      </c>
      <c r="BC38">
        <v>100.625</v>
      </c>
      <c r="BD38">
        <v>96.775000000000006</v>
      </c>
      <c r="BE38">
        <v>96.570999999999998</v>
      </c>
      <c r="BF38">
        <v>97.864999999999995</v>
      </c>
      <c r="BG38">
        <v>96.167000000000002</v>
      </c>
      <c r="BH38">
        <v>94.802999999999997</v>
      </c>
      <c r="BI38">
        <v>93.444999999999993</v>
      </c>
      <c r="BJ38">
        <v>92.745000000000005</v>
      </c>
      <c r="BK38">
        <v>92.433999999999997</v>
      </c>
      <c r="BL38">
        <v>90.388999999999996</v>
      </c>
      <c r="BM38">
        <v>91.082999999999998</v>
      </c>
      <c r="BN38">
        <v>94.082999999999998</v>
      </c>
      <c r="BO38">
        <v>92.325999999999993</v>
      </c>
      <c r="BP38">
        <v>90.85</v>
      </c>
      <c r="BQ38">
        <v>90.649000000000001</v>
      </c>
    </row>
    <row r="39" spans="1:69" x14ac:dyDescent="0.25">
      <c r="A39" t="s">
        <v>169</v>
      </c>
      <c r="B39">
        <v>0.82</v>
      </c>
      <c r="C39">
        <v>0.82</v>
      </c>
      <c r="D39">
        <v>0.82</v>
      </c>
      <c r="E39">
        <v>0.82</v>
      </c>
      <c r="F39">
        <v>0.82</v>
      </c>
      <c r="G39">
        <v>0.82</v>
      </c>
      <c r="H39">
        <v>0.82</v>
      </c>
      <c r="I39">
        <v>0.82</v>
      </c>
      <c r="J39">
        <v>0.82</v>
      </c>
      <c r="K39">
        <v>0.82</v>
      </c>
      <c r="L39">
        <v>0.82</v>
      </c>
      <c r="M39">
        <v>0.82</v>
      </c>
      <c r="N39">
        <v>0.82</v>
      </c>
      <c r="O39">
        <v>0.82</v>
      </c>
      <c r="P39">
        <v>0.82</v>
      </c>
      <c r="Q39">
        <v>0.82</v>
      </c>
      <c r="R39">
        <v>0.82</v>
      </c>
      <c r="S39">
        <v>0.82</v>
      </c>
      <c r="T39">
        <v>0.82</v>
      </c>
      <c r="U39">
        <v>0.82</v>
      </c>
      <c r="V39">
        <v>0.82</v>
      </c>
      <c r="W39">
        <v>0.82</v>
      </c>
      <c r="X39">
        <v>0.82</v>
      </c>
      <c r="Y39">
        <v>0.82</v>
      </c>
      <c r="Z39">
        <v>0.82</v>
      </c>
      <c r="AA39">
        <v>0.82</v>
      </c>
      <c r="AB39">
        <v>0.82</v>
      </c>
      <c r="AC39">
        <v>0.82</v>
      </c>
      <c r="AD39">
        <v>0.82</v>
      </c>
      <c r="AE39">
        <v>0.82</v>
      </c>
      <c r="AF39">
        <v>0.82</v>
      </c>
      <c r="AG39">
        <v>0.82</v>
      </c>
      <c r="AH39">
        <v>0.82</v>
      </c>
      <c r="AI39">
        <v>0.82</v>
      </c>
      <c r="AJ39">
        <v>0.82</v>
      </c>
      <c r="AK39">
        <v>0.82</v>
      </c>
      <c r="AL39">
        <v>0.82</v>
      </c>
      <c r="AM39">
        <v>0.82</v>
      </c>
      <c r="AN39">
        <v>0.82</v>
      </c>
      <c r="AO39">
        <v>0.82</v>
      </c>
      <c r="AP39">
        <v>0.82</v>
      </c>
      <c r="AQ39">
        <v>0.82</v>
      </c>
      <c r="AR39">
        <v>0.82</v>
      </c>
      <c r="AS39">
        <v>0.82</v>
      </c>
      <c r="AT39">
        <v>0.82</v>
      </c>
      <c r="AU39">
        <v>0.82</v>
      </c>
      <c r="AV39">
        <v>0.82</v>
      </c>
      <c r="AW39">
        <v>0.82</v>
      </c>
      <c r="AX39">
        <v>0.82</v>
      </c>
      <c r="AY39">
        <v>0.82</v>
      </c>
      <c r="AZ39">
        <v>0.82</v>
      </c>
      <c r="BA39">
        <v>0.82</v>
      </c>
      <c r="BB39">
        <v>0.82</v>
      </c>
      <c r="BC39">
        <v>0.82</v>
      </c>
      <c r="BD39">
        <v>0.82</v>
      </c>
      <c r="BE39">
        <v>0.82</v>
      </c>
      <c r="BF39">
        <v>0.82</v>
      </c>
      <c r="BG39">
        <v>0.82</v>
      </c>
      <c r="BH39">
        <v>0.82</v>
      </c>
      <c r="BI39">
        <v>0.82</v>
      </c>
      <c r="BJ39">
        <v>0.82</v>
      </c>
      <c r="BK39">
        <v>0.82</v>
      </c>
      <c r="BL39">
        <v>0.82</v>
      </c>
      <c r="BM39">
        <v>0.82</v>
      </c>
      <c r="BN39">
        <v>0.82</v>
      </c>
      <c r="BO39">
        <v>0.82</v>
      </c>
      <c r="BP39">
        <v>0.82</v>
      </c>
      <c r="BQ39">
        <v>0.82</v>
      </c>
    </row>
    <row r="40" spans="1:69" x14ac:dyDescent="0.25">
      <c r="A40" t="s">
        <v>85</v>
      </c>
      <c r="B40">
        <v>568.51900000000001</v>
      </c>
      <c r="C40">
        <v>574.04100000000005</v>
      </c>
      <c r="D40">
        <v>569.30799999999999</v>
      </c>
      <c r="E40">
        <v>560.16800000000001</v>
      </c>
      <c r="F40">
        <v>560.16800000000001</v>
      </c>
      <c r="G40">
        <v>568.81500000000005</v>
      </c>
      <c r="H40">
        <v>551.87400000000002</v>
      </c>
      <c r="I40">
        <v>563.053</v>
      </c>
      <c r="J40">
        <v>558.59400000000005</v>
      </c>
      <c r="K40">
        <v>567.24099999999999</v>
      </c>
      <c r="L40">
        <v>567.24099999999999</v>
      </c>
      <c r="M40">
        <v>559.30799999999999</v>
      </c>
      <c r="N40">
        <v>560.55100000000004</v>
      </c>
      <c r="O40">
        <v>561.17499999999995</v>
      </c>
      <c r="P40">
        <v>571.98900000000003</v>
      </c>
      <c r="Q40">
        <v>588.46100000000001</v>
      </c>
      <c r="R40">
        <v>577.32500000000005</v>
      </c>
      <c r="S40">
        <v>602.40300000000002</v>
      </c>
      <c r="T40">
        <v>634.08100000000002</v>
      </c>
      <c r="U40">
        <v>642.654</v>
      </c>
      <c r="V40">
        <v>624.84</v>
      </c>
      <c r="W40">
        <v>618.59400000000005</v>
      </c>
      <c r="X40">
        <v>599.65</v>
      </c>
      <c r="Y40">
        <v>595.35</v>
      </c>
      <c r="Z40">
        <v>598.71900000000005</v>
      </c>
      <c r="AA40">
        <v>602.45899999999995</v>
      </c>
      <c r="AB40">
        <v>605.46199999999999</v>
      </c>
      <c r="AC40">
        <v>607.14300000000003</v>
      </c>
      <c r="AD40">
        <v>611.15899999999999</v>
      </c>
      <c r="AE40">
        <v>599.65</v>
      </c>
      <c r="AF40">
        <v>611.72900000000004</v>
      </c>
      <c r="AG40">
        <v>598.88300000000004</v>
      </c>
      <c r="AH40">
        <v>607.98699999999997</v>
      </c>
      <c r="AI40">
        <v>614.71</v>
      </c>
      <c r="AJ40">
        <v>617.13900000000001</v>
      </c>
      <c r="AK40">
        <v>610.64700000000005</v>
      </c>
      <c r="AL40">
        <v>598.61</v>
      </c>
      <c r="AM40">
        <v>591.43200000000002</v>
      </c>
      <c r="AN40">
        <v>608.26900000000001</v>
      </c>
      <c r="AO40">
        <v>601.24400000000003</v>
      </c>
      <c r="AP40">
        <v>597.46500000000003</v>
      </c>
      <c r="AQ40">
        <v>612.47199999999998</v>
      </c>
      <c r="AR40">
        <v>612.12900000000002</v>
      </c>
      <c r="AS40">
        <v>609.28599999999994</v>
      </c>
      <c r="AT40">
        <v>615.40200000000004</v>
      </c>
      <c r="AU40">
        <v>637.65599999999995</v>
      </c>
      <c r="AV40">
        <v>676.73299999999995</v>
      </c>
      <c r="AW40">
        <v>653.79899999999998</v>
      </c>
      <c r="AX40">
        <v>633.22400000000005</v>
      </c>
      <c r="AY40">
        <v>653.40899999999999</v>
      </c>
      <c r="AZ40">
        <v>628.13099999999997</v>
      </c>
      <c r="BA40">
        <v>621.34799999999996</v>
      </c>
      <c r="BB40">
        <v>603.34500000000003</v>
      </c>
      <c r="BC40">
        <v>598.61</v>
      </c>
      <c r="BD40">
        <v>575.70399999999995</v>
      </c>
      <c r="BE40">
        <v>574.49400000000003</v>
      </c>
      <c r="BF40">
        <v>582.19299999999998</v>
      </c>
      <c r="BG40">
        <v>572.08900000000006</v>
      </c>
      <c r="BH40">
        <v>563.97299999999996</v>
      </c>
      <c r="BI40">
        <v>555.89599999999996</v>
      </c>
      <c r="BJ40">
        <v>551.73400000000004</v>
      </c>
      <c r="BK40">
        <v>549.88400000000001</v>
      </c>
      <c r="BL40">
        <v>537.71400000000006</v>
      </c>
      <c r="BM40">
        <v>541.84500000000003</v>
      </c>
      <c r="BN40">
        <v>559.69000000000005</v>
      </c>
      <c r="BO40">
        <v>549.24</v>
      </c>
      <c r="BP40">
        <v>540.46100000000001</v>
      </c>
      <c r="BQ40">
        <v>539.26099999999997</v>
      </c>
    </row>
    <row r="41" spans="1:69" x14ac:dyDescent="0.25">
      <c r="A41" t="s">
        <v>85</v>
      </c>
      <c r="B41">
        <v>568.51900000000001</v>
      </c>
      <c r="C41">
        <v>574.04100000000005</v>
      </c>
      <c r="D41">
        <v>569.30799999999999</v>
      </c>
      <c r="E41">
        <v>560.16800000000001</v>
      </c>
      <c r="F41">
        <v>560.16800000000001</v>
      </c>
      <c r="G41">
        <v>568.81500000000005</v>
      </c>
      <c r="H41">
        <v>551.87400000000002</v>
      </c>
      <c r="I41">
        <v>563.053</v>
      </c>
      <c r="J41">
        <v>558.59400000000005</v>
      </c>
      <c r="K41">
        <v>567.24099999999999</v>
      </c>
      <c r="L41">
        <v>567.24099999999999</v>
      </c>
      <c r="M41">
        <v>559.30799999999999</v>
      </c>
      <c r="N41">
        <v>560.55100000000004</v>
      </c>
      <c r="O41">
        <v>561.17499999999995</v>
      </c>
      <c r="P41">
        <v>571.98900000000003</v>
      </c>
      <c r="Q41">
        <v>588.46100000000001</v>
      </c>
      <c r="R41">
        <v>577.32500000000005</v>
      </c>
      <c r="S41">
        <v>602.40300000000002</v>
      </c>
      <c r="T41">
        <v>634.08100000000002</v>
      </c>
      <c r="U41">
        <v>642.654</v>
      </c>
      <c r="V41">
        <v>624.84</v>
      </c>
      <c r="W41">
        <v>618.59400000000005</v>
      </c>
      <c r="X41">
        <v>599.65</v>
      </c>
      <c r="Y41">
        <v>595.35</v>
      </c>
      <c r="Z41">
        <v>598.71900000000005</v>
      </c>
      <c r="AA41">
        <v>602.45899999999995</v>
      </c>
      <c r="AB41">
        <v>605.46199999999999</v>
      </c>
      <c r="AC41">
        <v>607.14300000000003</v>
      </c>
      <c r="AD41">
        <v>611.15899999999999</v>
      </c>
      <c r="AE41">
        <v>599.65</v>
      </c>
      <c r="AF41">
        <v>611.72900000000004</v>
      </c>
      <c r="AG41">
        <v>598.88300000000004</v>
      </c>
      <c r="AH41">
        <v>607.98699999999997</v>
      </c>
      <c r="AI41">
        <v>614.71</v>
      </c>
      <c r="AJ41">
        <v>617.13900000000001</v>
      </c>
      <c r="AK41">
        <v>610.64700000000005</v>
      </c>
      <c r="AL41">
        <v>598.61</v>
      </c>
      <c r="AM41">
        <v>591.43200000000002</v>
      </c>
      <c r="AN41">
        <v>608.26900000000001</v>
      </c>
      <c r="AO41">
        <v>601.24400000000003</v>
      </c>
      <c r="AP41">
        <v>597.46500000000003</v>
      </c>
      <c r="AQ41">
        <v>612.47199999999998</v>
      </c>
      <c r="AR41">
        <v>612.12900000000002</v>
      </c>
      <c r="AS41">
        <v>609.28599999999994</v>
      </c>
      <c r="AT41">
        <v>615.40200000000004</v>
      </c>
      <c r="AU41">
        <v>637.65599999999995</v>
      </c>
      <c r="AV41">
        <v>676.73299999999995</v>
      </c>
      <c r="AW41">
        <v>653.79899999999998</v>
      </c>
      <c r="AX41">
        <v>633.22400000000005</v>
      </c>
      <c r="AY41">
        <v>653.40899999999999</v>
      </c>
      <c r="AZ41">
        <v>628.13099999999997</v>
      </c>
      <c r="BA41">
        <v>621.34799999999996</v>
      </c>
      <c r="BB41">
        <v>603.34500000000003</v>
      </c>
      <c r="BC41">
        <v>598.61</v>
      </c>
      <c r="BD41">
        <v>575.70399999999995</v>
      </c>
      <c r="BE41">
        <v>574.49400000000003</v>
      </c>
      <c r="BF41">
        <v>582.19299999999998</v>
      </c>
      <c r="BG41">
        <v>572.08900000000006</v>
      </c>
      <c r="BH41">
        <v>563.97299999999996</v>
      </c>
      <c r="BI41">
        <v>555.89599999999996</v>
      </c>
      <c r="BJ41">
        <v>551.73400000000004</v>
      </c>
      <c r="BK41">
        <v>549.88400000000001</v>
      </c>
      <c r="BL41">
        <v>537.71400000000006</v>
      </c>
      <c r="BM41">
        <v>541.84500000000003</v>
      </c>
      <c r="BN41">
        <v>559.69000000000005</v>
      </c>
      <c r="BO41">
        <v>549.24</v>
      </c>
      <c r="BP41">
        <v>540.46100000000001</v>
      </c>
      <c r="BQ41">
        <v>539.26099999999997</v>
      </c>
    </row>
    <row r="42" spans="1:69" x14ac:dyDescent="0.25">
      <c r="A42" t="s">
        <v>90</v>
      </c>
      <c r="B42">
        <v>915</v>
      </c>
      <c r="C42">
        <v>925</v>
      </c>
      <c r="D42">
        <v>912.37</v>
      </c>
      <c r="E42">
        <v>889</v>
      </c>
      <c r="F42">
        <v>900.57</v>
      </c>
      <c r="G42">
        <v>912.05</v>
      </c>
      <c r="H42">
        <v>853.4</v>
      </c>
      <c r="I42">
        <v>882.45</v>
      </c>
      <c r="J42">
        <v>914.35</v>
      </c>
      <c r="K42">
        <v>931.83</v>
      </c>
      <c r="L42">
        <v>957.21</v>
      </c>
      <c r="M42">
        <v>957</v>
      </c>
      <c r="N42">
        <v>951</v>
      </c>
      <c r="O42">
        <v>955</v>
      </c>
      <c r="P42">
        <v>939</v>
      </c>
      <c r="Q42">
        <v>938</v>
      </c>
      <c r="R42">
        <v>979</v>
      </c>
      <c r="S42">
        <v>931</v>
      </c>
      <c r="T42">
        <v>955</v>
      </c>
      <c r="U42">
        <v>1014</v>
      </c>
      <c r="V42">
        <v>976</v>
      </c>
      <c r="W42">
        <v>983</v>
      </c>
      <c r="X42">
        <v>926</v>
      </c>
      <c r="Y42">
        <v>942</v>
      </c>
      <c r="Z42">
        <v>933</v>
      </c>
      <c r="AA42">
        <v>906</v>
      </c>
      <c r="AB42">
        <v>914</v>
      </c>
      <c r="AC42">
        <v>919</v>
      </c>
      <c r="AD42">
        <v>953</v>
      </c>
      <c r="AE42">
        <v>949</v>
      </c>
      <c r="AF42">
        <v>967</v>
      </c>
      <c r="AG42">
        <v>910</v>
      </c>
      <c r="AH42">
        <v>878</v>
      </c>
      <c r="AI42">
        <v>924</v>
      </c>
      <c r="AJ42">
        <v>926</v>
      </c>
      <c r="AK42">
        <v>886</v>
      </c>
      <c r="AL42">
        <v>853</v>
      </c>
      <c r="AM42">
        <v>810</v>
      </c>
      <c r="AN42">
        <v>807</v>
      </c>
      <c r="AO42">
        <v>800</v>
      </c>
      <c r="AP42">
        <v>800</v>
      </c>
      <c r="AQ42">
        <v>805</v>
      </c>
      <c r="AR42">
        <v>791</v>
      </c>
      <c r="AS42">
        <v>824</v>
      </c>
      <c r="AT42">
        <v>852</v>
      </c>
      <c r="AU42">
        <v>891</v>
      </c>
      <c r="AV42">
        <v>933</v>
      </c>
      <c r="AW42">
        <v>912</v>
      </c>
      <c r="AX42">
        <v>880</v>
      </c>
      <c r="AY42">
        <v>1015</v>
      </c>
      <c r="AZ42">
        <v>865</v>
      </c>
      <c r="BA42">
        <v>862</v>
      </c>
      <c r="BB42">
        <v>809</v>
      </c>
      <c r="BC42">
        <v>804</v>
      </c>
      <c r="BD42">
        <v>808</v>
      </c>
      <c r="BE42">
        <v>825</v>
      </c>
      <c r="BF42">
        <v>833</v>
      </c>
      <c r="BG42">
        <v>806</v>
      </c>
      <c r="BH42">
        <v>803</v>
      </c>
      <c r="BI42">
        <v>780</v>
      </c>
      <c r="BJ42">
        <v>758</v>
      </c>
      <c r="BK42">
        <v>733</v>
      </c>
      <c r="BL42">
        <v>732</v>
      </c>
      <c r="BM42">
        <v>705</v>
      </c>
      <c r="BN42">
        <v>731</v>
      </c>
      <c r="BO42">
        <v>708</v>
      </c>
      <c r="BP42">
        <v>740</v>
      </c>
      <c r="BQ42">
        <v>710</v>
      </c>
    </row>
    <row r="43" spans="1:69" x14ac:dyDescent="0.25">
      <c r="A43" t="s">
        <v>92</v>
      </c>
      <c r="B43">
        <v>6.7430000000000003</v>
      </c>
      <c r="C43">
        <v>6.7759999999999998</v>
      </c>
      <c r="D43">
        <v>6.7770000000000001</v>
      </c>
      <c r="E43">
        <v>6.7910000000000004</v>
      </c>
      <c r="F43">
        <v>6.8310000000000004</v>
      </c>
      <c r="G43">
        <v>6.875</v>
      </c>
      <c r="H43">
        <v>6.9</v>
      </c>
      <c r="I43">
        <v>6.976</v>
      </c>
      <c r="J43">
        <v>7.0570000000000004</v>
      </c>
      <c r="K43">
        <v>7.1139999999999999</v>
      </c>
      <c r="L43">
        <v>7.13</v>
      </c>
      <c r="M43">
        <v>7.12</v>
      </c>
      <c r="N43">
        <v>7.1740000000000004</v>
      </c>
      <c r="O43">
        <v>7.1669999999999998</v>
      </c>
      <c r="P43">
        <v>7.1890000000000001</v>
      </c>
      <c r="Q43">
        <v>7.2009999999999996</v>
      </c>
      <c r="R43">
        <v>7.2919999999999998</v>
      </c>
      <c r="S43">
        <v>7.2430000000000003</v>
      </c>
      <c r="T43">
        <v>7.3090000000000002</v>
      </c>
      <c r="U43">
        <v>7.3319999999999999</v>
      </c>
      <c r="V43">
        <v>7.2610000000000001</v>
      </c>
      <c r="W43">
        <v>7.2119999999999997</v>
      </c>
      <c r="X43">
        <v>7.0659999999999998</v>
      </c>
      <c r="Y43">
        <v>7.1180000000000003</v>
      </c>
      <c r="Z43">
        <v>7.1539999999999999</v>
      </c>
      <c r="AA43">
        <v>7.2560000000000002</v>
      </c>
      <c r="AB43">
        <v>7.2409999999999997</v>
      </c>
      <c r="AC43">
        <v>7.2329999999999997</v>
      </c>
      <c r="AD43">
        <v>7.2370000000000001</v>
      </c>
      <c r="AE43">
        <v>7.1890000000000001</v>
      </c>
      <c r="AF43">
        <v>7.194</v>
      </c>
      <c r="AG43">
        <v>7.1660000000000004</v>
      </c>
      <c r="AH43">
        <v>7.173</v>
      </c>
      <c r="AI43">
        <v>7.2910000000000004</v>
      </c>
      <c r="AJ43">
        <v>7.2990000000000004</v>
      </c>
      <c r="AK43">
        <v>7.2770000000000001</v>
      </c>
      <c r="AL43">
        <v>7.2359999999999998</v>
      </c>
      <c r="AM43">
        <v>7.1719999999999997</v>
      </c>
      <c r="AN43">
        <v>7.1529999999999996</v>
      </c>
      <c r="AO43">
        <v>6.9470000000000001</v>
      </c>
      <c r="AP43">
        <v>6.8769999999999998</v>
      </c>
      <c r="AQ43">
        <v>6.859</v>
      </c>
      <c r="AR43">
        <v>6.8230000000000004</v>
      </c>
      <c r="AS43">
        <v>6.7709999999999999</v>
      </c>
      <c r="AT43">
        <v>6.94</v>
      </c>
      <c r="AU43">
        <v>7.1</v>
      </c>
      <c r="AV43">
        <v>7.1710000000000003</v>
      </c>
      <c r="AW43">
        <v>6.9210000000000003</v>
      </c>
      <c r="AX43">
        <v>6.7359999999999998</v>
      </c>
      <c r="AY43">
        <v>6.7279999999999998</v>
      </c>
      <c r="AZ43">
        <v>6.7489999999999997</v>
      </c>
      <c r="BA43">
        <v>6.7160000000000002</v>
      </c>
      <c r="BB43">
        <v>6.3680000000000003</v>
      </c>
      <c r="BC43">
        <v>6.3390000000000004</v>
      </c>
      <c r="BD43">
        <v>6.3540000000000001</v>
      </c>
      <c r="BE43">
        <v>6.3579999999999997</v>
      </c>
      <c r="BF43">
        <v>6.3860000000000001</v>
      </c>
      <c r="BG43">
        <v>6.3949999999999996</v>
      </c>
      <c r="BH43">
        <v>6.4660000000000002</v>
      </c>
      <c r="BI43">
        <v>6.468</v>
      </c>
      <c r="BJ43">
        <v>6.4580000000000002</v>
      </c>
      <c r="BK43">
        <v>6.4569999999999999</v>
      </c>
      <c r="BL43">
        <v>6.383</v>
      </c>
      <c r="BM43">
        <v>6.4740000000000002</v>
      </c>
      <c r="BN43">
        <v>6.5730000000000004</v>
      </c>
      <c r="BO43">
        <v>6.4530000000000003</v>
      </c>
      <c r="BP43">
        <v>6.4509999999999996</v>
      </c>
      <c r="BQ43">
        <v>6.53</v>
      </c>
    </row>
    <row r="44" spans="1:69" x14ac:dyDescent="0.25">
      <c r="A44" t="s">
        <v>94</v>
      </c>
      <c r="B44">
        <v>3142.95</v>
      </c>
      <c r="C44">
        <v>3241.18</v>
      </c>
      <c r="D44">
        <v>3551.2</v>
      </c>
      <c r="E44">
        <v>3794.06</v>
      </c>
      <c r="F44">
        <v>3621.04</v>
      </c>
      <c r="G44">
        <v>3720.48</v>
      </c>
      <c r="H44">
        <v>3662.85</v>
      </c>
      <c r="I44">
        <v>3667.6</v>
      </c>
      <c r="J44">
        <v>3805</v>
      </c>
      <c r="K44">
        <v>3725.96</v>
      </c>
      <c r="L44">
        <v>3923.53</v>
      </c>
      <c r="M44">
        <v>3911</v>
      </c>
      <c r="N44">
        <v>4018</v>
      </c>
      <c r="O44">
        <v>4012</v>
      </c>
      <c r="P44">
        <v>4196</v>
      </c>
      <c r="Q44">
        <v>4194</v>
      </c>
      <c r="R44">
        <v>4332</v>
      </c>
      <c r="S44">
        <v>4108</v>
      </c>
      <c r="T44">
        <v>4159</v>
      </c>
      <c r="U44">
        <v>4343</v>
      </c>
      <c r="V44">
        <v>4374</v>
      </c>
      <c r="W44">
        <v>4477</v>
      </c>
      <c r="X44">
        <v>4182</v>
      </c>
      <c r="Y44">
        <v>4260</v>
      </c>
      <c r="Z44">
        <v>4042</v>
      </c>
      <c r="AA44">
        <v>3962</v>
      </c>
      <c r="AB44">
        <v>4002</v>
      </c>
      <c r="AC44">
        <v>3888</v>
      </c>
      <c r="AD44">
        <v>3800</v>
      </c>
      <c r="AE44">
        <v>3912</v>
      </c>
      <c r="AF44">
        <v>3920</v>
      </c>
      <c r="AG44">
        <v>3926</v>
      </c>
      <c r="AH44">
        <v>4005</v>
      </c>
      <c r="AI44">
        <v>4032</v>
      </c>
      <c r="AJ44">
        <v>4185</v>
      </c>
      <c r="AK44">
        <v>3943</v>
      </c>
      <c r="AL44">
        <v>3940</v>
      </c>
      <c r="AM44">
        <v>4124</v>
      </c>
      <c r="AN44">
        <v>4189</v>
      </c>
      <c r="AO44">
        <v>4605</v>
      </c>
      <c r="AP44">
        <v>4466</v>
      </c>
      <c r="AQ44">
        <v>4774</v>
      </c>
      <c r="AR44">
        <v>4822</v>
      </c>
      <c r="AS44">
        <v>4758</v>
      </c>
      <c r="AT44">
        <v>4795</v>
      </c>
      <c r="AU44">
        <v>4794</v>
      </c>
      <c r="AV44">
        <v>4615</v>
      </c>
      <c r="AW44">
        <v>4413</v>
      </c>
      <c r="AX44">
        <v>4232</v>
      </c>
      <c r="AY44">
        <v>4566</v>
      </c>
      <c r="AZ44">
        <v>3956</v>
      </c>
      <c r="BA44">
        <v>4072</v>
      </c>
      <c r="BB44">
        <v>3712</v>
      </c>
      <c r="BC44">
        <v>3828</v>
      </c>
      <c r="BD44">
        <v>3911</v>
      </c>
      <c r="BE44">
        <v>3965</v>
      </c>
      <c r="BF44">
        <v>3995</v>
      </c>
      <c r="BG44">
        <v>3754</v>
      </c>
      <c r="BH44">
        <v>3834</v>
      </c>
      <c r="BI44">
        <v>3809</v>
      </c>
      <c r="BJ44">
        <v>3834</v>
      </c>
      <c r="BK44">
        <v>3714</v>
      </c>
      <c r="BL44">
        <v>3728</v>
      </c>
      <c r="BM44">
        <v>3725</v>
      </c>
      <c r="BN44">
        <v>3726</v>
      </c>
      <c r="BO44">
        <v>3576</v>
      </c>
      <c r="BP44">
        <v>3582</v>
      </c>
      <c r="BQ44">
        <v>3472</v>
      </c>
    </row>
    <row r="45" spans="1:69" x14ac:dyDescent="0.25">
      <c r="A45" t="s">
        <v>104</v>
      </c>
      <c r="B45">
        <v>426.38900000000001</v>
      </c>
      <c r="C45">
        <v>430.53100000000001</v>
      </c>
      <c r="D45">
        <v>426.98099999999999</v>
      </c>
      <c r="E45">
        <v>420.12599999999998</v>
      </c>
      <c r="F45">
        <v>420.12599999999998</v>
      </c>
      <c r="G45">
        <v>426.61099999999999</v>
      </c>
      <c r="H45">
        <v>413.90499999999997</v>
      </c>
      <c r="I45">
        <v>422.29</v>
      </c>
      <c r="J45">
        <v>418.94600000000003</v>
      </c>
      <c r="K45">
        <v>425.43</v>
      </c>
      <c r="L45">
        <v>425.43</v>
      </c>
      <c r="M45">
        <v>419.48099999999999</v>
      </c>
      <c r="N45">
        <v>420.41300000000001</v>
      </c>
      <c r="O45">
        <v>420.88099999999997</v>
      </c>
      <c r="P45">
        <v>428.99200000000002</v>
      </c>
      <c r="Q45">
        <v>441.34500000000003</v>
      </c>
      <c r="R45">
        <v>432.99400000000003</v>
      </c>
      <c r="S45">
        <v>451.803</v>
      </c>
      <c r="T45">
        <v>475.56099999999998</v>
      </c>
      <c r="U45">
        <v>481.99099999999999</v>
      </c>
      <c r="V45">
        <v>468.63</v>
      </c>
      <c r="W45">
        <v>463.94499999999999</v>
      </c>
      <c r="X45">
        <v>449.73700000000002</v>
      </c>
      <c r="Y45">
        <v>446.51299999999998</v>
      </c>
      <c r="Z45">
        <v>449.04</v>
      </c>
      <c r="AA45">
        <v>451.84399999999999</v>
      </c>
      <c r="AB45">
        <v>454.096</v>
      </c>
      <c r="AC45">
        <v>455.35700000000003</v>
      </c>
      <c r="AD45">
        <v>458.36900000000003</v>
      </c>
      <c r="AE45">
        <v>449.73700000000002</v>
      </c>
      <c r="AF45">
        <v>458.79700000000003</v>
      </c>
      <c r="AG45">
        <v>449.16300000000001</v>
      </c>
      <c r="AH45">
        <v>455.99</v>
      </c>
      <c r="AI45">
        <v>461.03199999999998</v>
      </c>
      <c r="AJ45">
        <v>462.85399999999998</v>
      </c>
      <c r="AK45">
        <v>457.98500000000001</v>
      </c>
      <c r="AL45">
        <v>448.95800000000003</v>
      </c>
      <c r="AM45">
        <v>443.57400000000001</v>
      </c>
      <c r="AN45">
        <v>456.202</v>
      </c>
      <c r="AO45">
        <v>450.93299999999999</v>
      </c>
      <c r="AP45">
        <v>448.09899999999999</v>
      </c>
      <c r="AQ45">
        <v>459.35399999999998</v>
      </c>
      <c r="AR45">
        <v>459.096</v>
      </c>
      <c r="AS45">
        <v>456.964</v>
      </c>
      <c r="AT45">
        <v>461.55200000000002</v>
      </c>
      <c r="AU45">
        <v>478.24200000000002</v>
      </c>
      <c r="AV45">
        <v>507.55</v>
      </c>
      <c r="AW45">
        <v>490.35</v>
      </c>
      <c r="AX45">
        <v>474.91800000000001</v>
      </c>
      <c r="AY45">
        <v>490.05700000000002</v>
      </c>
      <c r="AZ45">
        <v>471.09800000000001</v>
      </c>
      <c r="BA45">
        <v>466.01100000000002</v>
      </c>
      <c r="BB45">
        <v>452.50900000000001</v>
      </c>
      <c r="BC45">
        <v>448.95800000000003</v>
      </c>
      <c r="BD45">
        <v>431.77800000000002</v>
      </c>
      <c r="BE45">
        <v>430.87</v>
      </c>
      <c r="BF45">
        <v>436.64499999999998</v>
      </c>
      <c r="BG45">
        <v>429.06700000000001</v>
      </c>
      <c r="BH45">
        <v>422.98</v>
      </c>
      <c r="BI45">
        <v>416.92200000000003</v>
      </c>
      <c r="BJ45">
        <v>413.80099999999999</v>
      </c>
      <c r="BK45">
        <v>412.41300000000001</v>
      </c>
      <c r="BL45">
        <v>403.28500000000003</v>
      </c>
      <c r="BM45">
        <v>406.38299999999998</v>
      </c>
      <c r="BN45">
        <v>419.76799999999997</v>
      </c>
      <c r="BO45">
        <v>411.93</v>
      </c>
      <c r="BP45">
        <v>405.34500000000003</v>
      </c>
      <c r="BQ45">
        <v>404.44600000000003</v>
      </c>
    </row>
    <row r="46" spans="1:69" x14ac:dyDescent="0.25">
      <c r="A46" t="s">
        <v>85</v>
      </c>
      <c r="B46">
        <v>568.51900000000001</v>
      </c>
      <c r="C46">
        <v>574.04100000000005</v>
      </c>
      <c r="D46">
        <v>569.30799999999999</v>
      </c>
      <c r="E46">
        <v>560.16800000000001</v>
      </c>
      <c r="F46">
        <v>560.16800000000001</v>
      </c>
      <c r="G46">
        <v>568.81500000000005</v>
      </c>
      <c r="H46">
        <v>551.87400000000002</v>
      </c>
      <c r="I46">
        <v>563.053</v>
      </c>
      <c r="J46">
        <v>558.59400000000005</v>
      </c>
      <c r="K46">
        <v>567.24099999999999</v>
      </c>
      <c r="L46">
        <v>567.24099999999999</v>
      </c>
      <c r="M46">
        <v>559.30799999999999</v>
      </c>
      <c r="N46">
        <v>560.55100000000004</v>
      </c>
      <c r="O46">
        <v>561.17499999999995</v>
      </c>
      <c r="P46">
        <v>571.98900000000003</v>
      </c>
      <c r="Q46">
        <v>588.46100000000001</v>
      </c>
      <c r="R46">
        <v>577.32500000000005</v>
      </c>
      <c r="S46">
        <v>602.40300000000002</v>
      </c>
      <c r="T46">
        <v>634.08100000000002</v>
      </c>
      <c r="U46">
        <v>642.654</v>
      </c>
      <c r="V46">
        <v>624.84</v>
      </c>
      <c r="W46">
        <v>618.59400000000005</v>
      </c>
      <c r="X46">
        <v>599.65</v>
      </c>
      <c r="Y46">
        <v>595.35</v>
      </c>
      <c r="Z46">
        <v>598.71900000000005</v>
      </c>
      <c r="AA46">
        <v>602.45899999999995</v>
      </c>
      <c r="AB46">
        <v>605.46199999999999</v>
      </c>
      <c r="AC46">
        <v>607.14300000000003</v>
      </c>
      <c r="AD46">
        <v>611.15899999999999</v>
      </c>
      <c r="AE46">
        <v>599.65</v>
      </c>
      <c r="AF46">
        <v>611.72900000000004</v>
      </c>
      <c r="AG46">
        <v>598.88300000000004</v>
      </c>
      <c r="AH46">
        <v>607.98699999999997</v>
      </c>
      <c r="AI46">
        <v>614.71</v>
      </c>
      <c r="AJ46">
        <v>617.13900000000001</v>
      </c>
      <c r="AK46">
        <v>610.64700000000005</v>
      </c>
      <c r="AL46">
        <v>598.61</v>
      </c>
      <c r="AM46">
        <v>591.43200000000002</v>
      </c>
      <c r="AN46">
        <v>608.26900000000001</v>
      </c>
      <c r="AO46">
        <v>601.24400000000003</v>
      </c>
      <c r="AP46">
        <v>597.46500000000003</v>
      </c>
      <c r="AQ46">
        <v>612.47199999999998</v>
      </c>
      <c r="AR46">
        <v>612.12900000000002</v>
      </c>
      <c r="AS46">
        <v>609.28599999999994</v>
      </c>
      <c r="AT46">
        <v>615.40200000000004</v>
      </c>
      <c r="AU46">
        <v>637.65599999999995</v>
      </c>
      <c r="AV46">
        <v>676.73299999999995</v>
      </c>
      <c r="AW46">
        <v>653.79899999999998</v>
      </c>
      <c r="AX46">
        <v>633.22400000000005</v>
      </c>
      <c r="AY46">
        <v>653.40899999999999</v>
      </c>
      <c r="AZ46">
        <v>628.13099999999997</v>
      </c>
      <c r="BA46">
        <v>621.34799999999996</v>
      </c>
      <c r="BB46">
        <v>603.34500000000003</v>
      </c>
      <c r="BC46">
        <v>598.61</v>
      </c>
      <c r="BD46">
        <v>575.70399999999995</v>
      </c>
      <c r="BE46">
        <v>574.49400000000003</v>
      </c>
      <c r="BF46">
        <v>582.19299999999998</v>
      </c>
      <c r="BG46">
        <v>572.08900000000006</v>
      </c>
      <c r="BH46">
        <v>563.97299999999996</v>
      </c>
      <c r="BI46">
        <v>555.89599999999996</v>
      </c>
      <c r="BJ46">
        <v>551.73400000000004</v>
      </c>
      <c r="BK46">
        <v>549.88400000000001</v>
      </c>
      <c r="BL46">
        <v>537.71400000000006</v>
      </c>
      <c r="BM46">
        <v>541.84500000000003</v>
      </c>
      <c r="BN46">
        <v>559.69000000000005</v>
      </c>
      <c r="BO46">
        <v>549.24</v>
      </c>
      <c r="BP46">
        <v>540.46100000000001</v>
      </c>
      <c r="BQ46">
        <v>539.26099999999997</v>
      </c>
    </row>
    <row r="47" spans="1:69" x14ac:dyDescent="0.25">
      <c r="A47" t="s">
        <v>86</v>
      </c>
      <c r="B47">
        <v>2286.96</v>
      </c>
      <c r="C47">
        <v>2251.6370000000002</v>
      </c>
      <c r="D47">
        <v>2274.3490000000002</v>
      </c>
      <c r="E47">
        <v>2210.4299999999998</v>
      </c>
      <c r="F47">
        <v>2253.1880000000001</v>
      </c>
      <c r="G47">
        <v>2164.509</v>
      </c>
      <c r="H47">
        <v>2223.79</v>
      </c>
      <c r="I47">
        <v>2200.1379999999999</v>
      </c>
      <c r="J47">
        <v>2231.14</v>
      </c>
      <c r="K47">
        <v>2140.953</v>
      </c>
      <c r="L47">
        <v>2357.64</v>
      </c>
      <c r="M47">
        <v>2857.9540000000002</v>
      </c>
      <c r="N47">
        <v>2876.2080000000001</v>
      </c>
      <c r="O47">
        <v>2870.875</v>
      </c>
      <c r="P47">
        <v>2862.18</v>
      </c>
      <c r="Q47">
        <v>2860.4639999999999</v>
      </c>
      <c r="R47">
        <v>2881.8040000000001</v>
      </c>
      <c r="S47">
        <v>2856.6460000000002</v>
      </c>
      <c r="T47">
        <v>2844.0120000000002</v>
      </c>
      <c r="U47">
        <v>2840.5920000000001</v>
      </c>
      <c r="V47">
        <v>2845.152</v>
      </c>
      <c r="W47">
        <v>2843.4960000000001</v>
      </c>
      <c r="X47">
        <v>2846.1509999999998</v>
      </c>
      <c r="Y47">
        <v>2836.7109999999998</v>
      </c>
      <c r="Z47">
        <v>2837.0430000000001</v>
      </c>
      <c r="AA47">
        <v>2834.0720000000001</v>
      </c>
      <c r="AB47">
        <v>2787.4650000000001</v>
      </c>
      <c r="AC47">
        <v>2739.7890000000002</v>
      </c>
      <c r="AD47">
        <v>2728.72</v>
      </c>
      <c r="AE47">
        <v>2698.732</v>
      </c>
      <c r="AF47">
        <v>2689.4110000000001</v>
      </c>
      <c r="AG47">
        <v>2626.9229999999998</v>
      </c>
      <c r="AH47">
        <v>2619.8090000000002</v>
      </c>
      <c r="AI47">
        <v>2475.0680000000002</v>
      </c>
      <c r="AJ47">
        <v>2451.25</v>
      </c>
      <c r="AK47">
        <v>2421.491</v>
      </c>
      <c r="AL47">
        <v>2400.9009999999998</v>
      </c>
      <c r="AM47">
        <v>2396.7550000000001</v>
      </c>
      <c r="AN47">
        <v>2192.873</v>
      </c>
      <c r="AO47">
        <v>2192.873</v>
      </c>
      <c r="AP47">
        <v>2035.3630000000001</v>
      </c>
      <c r="AQ47">
        <v>2039.7249999999999</v>
      </c>
      <c r="AR47">
        <v>2020.163</v>
      </c>
      <c r="AS47">
        <v>1995.8679999999999</v>
      </c>
      <c r="AT47">
        <v>1987.069</v>
      </c>
      <c r="AU47">
        <v>1999.0350000000001</v>
      </c>
      <c r="AV47">
        <v>2000.8979999999999</v>
      </c>
      <c r="AW47">
        <v>1996.346</v>
      </c>
      <c r="AX47">
        <v>1991.777</v>
      </c>
      <c r="AY47">
        <v>1992.9849999999999</v>
      </c>
      <c r="AZ47">
        <v>1992.501</v>
      </c>
      <c r="BA47">
        <v>1994.193</v>
      </c>
      <c r="BB47">
        <v>1993.116</v>
      </c>
      <c r="BC47">
        <v>1993.826</v>
      </c>
      <c r="BD47">
        <v>1989.4829999999999</v>
      </c>
      <c r="BE47">
        <v>1985.4010000000001</v>
      </c>
      <c r="BF47">
        <v>1978.183</v>
      </c>
      <c r="BG47">
        <v>1971.7809999999999</v>
      </c>
      <c r="BH47">
        <v>1969.2739999999999</v>
      </c>
      <c r="BI47">
        <v>1968.345</v>
      </c>
      <c r="BJ47">
        <v>1969.4269999999999</v>
      </c>
      <c r="BK47">
        <v>1972.683</v>
      </c>
      <c r="BL47">
        <v>1975.163</v>
      </c>
      <c r="BM47">
        <v>1979.325</v>
      </c>
      <c r="BN47">
        <v>1964.001</v>
      </c>
      <c r="BO47">
        <v>1975.5450000000001</v>
      </c>
      <c r="BP47">
        <v>1932.2829999999999</v>
      </c>
      <c r="BQ47">
        <v>1952.885</v>
      </c>
    </row>
    <row r="48" spans="1:69" x14ac:dyDescent="0.25">
      <c r="A48" t="s">
        <v>218</v>
      </c>
      <c r="B48">
        <v>1.7110000000000001</v>
      </c>
      <c r="C48">
        <v>1.7290000000000001</v>
      </c>
      <c r="D48">
        <v>1.732</v>
      </c>
      <c r="E48">
        <v>1.6870000000000001</v>
      </c>
      <c r="F48">
        <v>1.7110000000000001</v>
      </c>
      <c r="G48">
        <v>1.7010000000000001</v>
      </c>
      <c r="H48">
        <v>1.649</v>
      </c>
      <c r="I48">
        <v>1.7410000000000001</v>
      </c>
      <c r="J48">
        <v>1.716</v>
      </c>
      <c r="K48">
        <v>1.7669999999999999</v>
      </c>
      <c r="L48">
        <v>1.7470000000000001</v>
      </c>
      <c r="M48">
        <v>1.6830000000000001</v>
      </c>
      <c r="N48">
        <v>1.6719999999999999</v>
      </c>
      <c r="O48">
        <v>1.6639999999999999</v>
      </c>
      <c r="P48">
        <v>1.6539999999999999</v>
      </c>
      <c r="Q48">
        <v>1.6910000000000001</v>
      </c>
      <c r="R48">
        <v>1.712</v>
      </c>
      <c r="S48">
        <v>1.752</v>
      </c>
      <c r="T48">
        <v>1.7809999999999999</v>
      </c>
      <c r="U48">
        <v>1.8</v>
      </c>
      <c r="V48">
        <v>1.7290000000000001</v>
      </c>
      <c r="W48">
        <v>1.6919999999999999</v>
      </c>
      <c r="X48">
        <v>1.641</v>
      </c>
      <c r="Y48">
        <v>1.6319999999999999</v>
      </c>
      <c r="Z48">
        <v>1.65</v>
      </c>
      <c r="AA48">
        <v>1.6319999999999999</v>
      </c>
      <c r="AB48">
        <v>1.609</v>
      </c>
      <c r="AC48">
        <v>1.66</v>
      </c>
      <c r="AD48">
        <v>1.6679999999999999</v>
      </c>
      <c r="AE48">
        <v>1.6240000000000001</v>
      </c>
      <c r="AF48">
        <v>1.6479999999999999</v>
      </c>
      <c r="AG48">
        <v>1.607</v>
      </c>
      <c r="AH48">
        <v>1.6359999999999999</v>
      </c>
      <c r="AI48">
        <v>1.7030000000000001</v>
      </c>
      <c r="AJ48">
        <v>1.659</v>
      </c>
      <c r="AK48">
        <v>1.6890000000000001</v>
      </c>
      <c r="AL48">
        <v>1.671</v>
      </c>
      <c r="AM48">
        <v>1.5960000000000001</v>
      </c>
      <c r="AN48">
        <v>1.6279999999999999</v>
      </c>
      <c r="AO48">
        <v>1.5860000000000001</v>
      </c>
      <c r="AP48">
        <v>1.607</v>
      </c>
      <c r="AQ48">
        <v>1.607</v>
      </c>
      <c r="AR48">
        <v>1.5720000000000001</v>
      </c>
      <c r="AS48">
        <v>1.573</v>
      </c>
      <c r="AT48">
        <v>1.5349999999999999</v>
      </c>
      <c r="AU48">
        <v>1.6439999999999999</v>
      </c>
      <c r="AV48">
        <v>1.788</v>
      </c>
      <c r="AW48">
        <v>1.655</v>
      </c>
      <c r="AX48">
        <v>1.5489999999999999</v>
      </c>
      <c r="AY48">
        <v>1.6359999999999999</v>
      </c>
      <c r="AZ48">
        <v>1.591</v>
      </c>
      <c r="BA48">
        <v>1.571</v>
      </c>
      <c r="BB48">
        <v>1.4570000000000001</v>
      </c>
      <c r="BC48">
        <v>1.462</v>
      </c>
      <c r="BD48">
        <v>1.4950000000000001</v>
      </c>
      <c r="BE48">
        <v>1.4630000000000001</v>
      </c>
      <c r="BF48">
        <v>1.47</v>
      </c>
      <c r="BG48">
        <v>1.421</v>
      </c>
      <c r="BH48">
        <v>1.452</v>
      </c>
      <c r="BI48">
        <v>1.4059999999999999</v>
      </c>
      <c r="BJ48">
        <v>1.429</v>
      </c>
      <c r="BK48">
        <v>1.42</v>
      </c>
      <c r="BL48">
        <v>1.37</v>
      </c>
      <c r="BM48">
        <v>1.3819999999999999</v>
      </c>
      <c r="BN48">
        <v>1.4330000000000001</v>
      </c>
      <c r="BO48">
        <v>1.3859999999999999</v>
      </c>
      <c r="BP48">
        <v>1.381</v>
      </c>
      <c r="BQ48">
        <v>1.3939999999999999</v>
      </c>
    </row>
    <row r="49" spans="1:69" x14ac:dyDescent="0.25">
      <c r="A49" t="s">
        <v>96</v>
      </c>
      <c r="B49">
        <v>447</v>
      </c>
      <c r="C49">
        <v>452</v>
      </c>
      <c r="D49">
        <v>456</v>
      </c>
      <c r="E49">
        <v>452.3</v>
      </c>
      <c r="F49">
        <v>462.81</v>
      </c>
      <c r="G49">
        <v>468.98</v>
      </c>
      <c r="H49">
        <v>484</v>
      </c>
      <c r="I49">
        <v>494.13</v>
      </c>
      <c r="J49">
        <v>492.39</v>
      </c>
      <c r="K49">
        <v>499.66</v>
      </c>
      <c r="L49">
        <v>502.51</v>
      </c>
      <c r="M49">
        <v>501.41</v>
      </c>
      <c r="N49">
        <v>503.06</v>
      </c>
      <c r="O49">
        <v>502.93</v>
      </c>
      <c r="P49">
        <v>506.16</v>
      </c>
      <c r="Q49">
        <v>505.95</v>
      </c>
      <c r="R49">
        <v>509.03</v>
      </c>
      <c r="S49">
        <v>499.29</v>
      </c>
      <c r="T49">
        <v>506.42</v>
      </c>
      <c r="U49">
        <v>503.54</v>
      </c>
      <c r="V49">
        <v>500.86</v>
      </c>
      <c r="W49">
        <v>509.05</v>
      </c>
      <c r="X49">
        <v>515.64</v>
      </c>
      <c r="Y49">
        <v>515.48</v>
      </c>
      <c r="Z49">
        <v>527.1</v>
      </c>
      <c r="AA49">
        <v>524.08000000000004</v>
      </c>
      <c r="AB49">
        <v>527.24</v>
      </c>
      <c r="AC49">
        <v>510.86</v>
      </c>
      <c r="AD49">
        <v>502.58</v>
      </c>
      <c r="AE49">
        <v>508.29</v>
      </c>
      <c r="AF49">
        <v>517.79999999999995</v>
      </c>
      <c r="AG49">
        <v>519.39</v>
      </c>
      <c r="AH49">
        <v>526.92999999999995</v>
      </c>
      <c r="AI49">
        <v>531.23</v>
      </c>
      <c r="AJ49">
        <v>534.47</v>
      </c>
      <c r="AK49">
        <v>534.5</v>
      </c>
      <c r="AL49">
        <v>534.54999999999995</v>
      </c>
      <c r="AM49">
        <v>548.98</v>
      </c>
      <c r="AN49">
        <v>543.79999999999995</v>
      </c>
      <c r="AO49">
        <v>535.79</v>
      </c>
      <c r="AP49">
        <v>536.66999999999996</v>
      </c>
      <c r="AQ49">
        <v>546.30999999999995</v>
      </c>
      <c r="AR49">
        <v>572.91999999999996</v>
      </c>
      <c r="AS49">
        <v>581.41999999999996</v>
      </c>
      <c r="AT49">
        <v>580.88</v>
      </c>
      <c r="AU49">
        <v>609.17999999999995</v>
      </c>
      <c r="AV49">
        <v>625.30999999999995</v>
      </c>
      <c r="AW49">
        <v>634.16999999999996</v>
      </c>
      <c r="AX49">
        <v>667.62</v>
      </c>
      <c r="AY49">
        <v>686.83</v>
      </c>
      <c r="AZ49">
        <v>682.43</v>
      </c>
      <c r="BA49">
        <v>664.96</v>
      </c>
      <c r="BB49">
        <v>653.57000000000005</v>
      </c>
      <c r="BC49">
        <v>648.24</v>
      </c>
      <c r="BD49">
        <v>640.99</v>
      </c>
      <c r="BE49">
        <v>634.73</v>
      </c>
      <c r="BF49">
        <v>626.71</v>
      </c>
      <c r="BG49">
        <v>631.67999999999995</v>
      </c>
      <c r="BH49">
        <v>622.02</v>
      </c>
      <c r="BI49">
        <v>618.51</v>
      </c>
      <c r="BJ49">
        <v>615.20000000000005</v>
      </c>
      <c r="BK49">
        <v>616.13</v>
      </c>
      <c r="BL49">
        <v>614.42999999999995</v>
      </c>
      <c r="BM49">
        <v>614.73</v>
      </c>
      <c r="BN49">
        <v>610.66</v>
      </c>
      <c r="BO49">
        <v>608.1</v>
      </c>
      <c r="BP49">
        <v>610.48</v>
      </c>
      <c r="BQ49">
        <v>607.69000000000005</v>
      </c>
    </row>
    <row r="50" spans="1:69" x14ac:dyDescent="0.25">
      <c r="A50" t="s">
        <v>66</v>
      </c>
      <c r="B50">
        <v>568.51900000000001</v>
      </c>
      <c r="C50">
        <v>574.04100000000005</v>
      </c>
      <c r="D50">
        <v>569.30799999999999</v>
      </c>
      <c r="E50">
        <v>560.16800000000001</v>
      </c>
      <c r="F50">
        <v>560.16800000000001</v>
      </c>
      <c r="G50">
        <v>568.81500000000005</v>
      </c>
      <c r="H50">
        <v>551.87400000000002</v>
      </c>
      <c r="I50">
        <v>563.053</v>
      </c>
      <c r="J50">
        <v>558.59400000000005</v>
      </c>
      <c r="K50">
        <v>567.24099999999999</v>
      </c>
      <c r="L50">
        <v>567.24099999999999</v>
      </c>
      <c r="M50">
        <v>559.30799999999999</v>
      </c>
      <c r="N50">
        <v>560.55100000000004</v>
      </c>
      <c r="O50">
        <v>561.17499999999995</v>
      </c>
      <c r="P50">
        <v>571.98900000000003</v>
      </c>
      <c r="Q50">
        <v>588.46100000000001</v>
      </c>
      <c r="R50">
        <v>577.32500000000005</v>
      </c>
      <c r="S50">
        <v>602.40300000000002</v>
      </c>
      <c r="T50">
        <v>634.08100000000002</v>
      </c>
      <c r="U50">
        <v>642.654</v>
      </c>
      <c r="V50">
        <v>624.84</v>
      </c>
      <c r="W50">
        <v>618.59400000000005</v>
      </c>
      <c r="X50">
        <v>599.65</v>
      </c>
      <c r="Y50">
        <v>595.35</v>
      </c>
      <c r="Z50">
        <v>598.71900000000005</v>
      </c>
      <c r="AA50">
        <v>602.45899999999995</v>
      </c>
      <c r="AB50">
        <v>605.46199999999999</v>
      </c>
      <c r="AC50">
        <v>607.14300000000003</v>
      </c>
      <c r="AD50">
        <v>611.15899999999999</v>
      </c>
      <c r="AE50">
        <v>599.65</v>
      </c>
      <c r="AF50">
        <v>611.72900000000004</v>
      </c>
      <c r="AG50">
        <v>598.88300000000004</v>
      </c>
      <c r="AH50">
        <v>607.98699999999997</v>
      </c>
      <c r="AI50">
        <v>614.71</v>
      </c>
      <c r="AJ50">
        <v>617.13900000000001</v>
      </c>
      <c r="AK50">
        <v>610.64700000000005</v>
      </c>
      <c r="AL50">
        <v>598.61</v>
      </c>
      <c r="AM50">
        <v>591.43200000000002</v>
      </c>
      <c r="AN50">
        <v>608.26900000000001</v>
      </c>
      <c r="AO50">
        <v>601.24400000000003</v>
      </c>
      <c r="AP50">
        <v>597.46500000000003</v>
      </c>
      <c r="AQ50">
        <v>612.47199999999998</v>
      </c>
      <c r="AR50">
        <v>612.12900000000002</v>
      </c>
      <c r="AS50">
        <v>609.28599999999994</v>
      </c>
      <c r="AT50">
        <v>615.40200000000004</v>
      </c>
      <c r="AU50">
        <v>637.65599999999995</v>
      </c>
      <c r="AV50">
        <v>676.73299999999995</v>
      </c>
      <c r="AW50">
        <v>653.79899999999998</v>
      </c>
      <c r="AX50">
        <v>633.22400000000005</v>
      </c>
      <c r="AY50">
        <v>653.40899999999999</v>
      </c>
      <c r="AZ50">
        <v>628.13099999999997</v>
      </c>
      <c r="BA50">
        <v>621.34799999999996</v>
      </c>
      <c r="BB50">
        <v>603.34500000000003</v>
      </c>
      <c r="BC50">
        <v>598.61</v>
      </c>
      <c r="BD50">
        <v>575.70399999999995</v>
      </c>
      <c r="BE50">
        <v>574.49400000000003</v>
      </c>
      <c r="BF50">
        <v>582.19299999999998</v>
      </c>
      <c r="BG50">
        <v>572.08900000000006</v>
      </c>
      <c r="BH50">
        <v>563.97299999999996</v>
      </c>
      <c r="BI50">
        <v>555.89599999999996</v>
      </c>
      <c r="BJ50">
        <v>551.73400000000004</v>
      </c>
      <c r="BK50">
        <v>549.88400000000001</v>
      </c>
      <c r="BL50">
        <v>537.71400000000006</v>
      </c>
      <c r="BM50">
        <v>541.84500000000003</v>
      </c>
      <c r="BN50">
        <v>559.69000000000005</v>
      </c>
      <c r="BO50">
        <v>549.24</v>
      </c>
      <c r="BP50">
        <v>540.46100000000001</v>
      </c>
      <c r="BQ50">
        <v>539.26099999999997</v>
      </c>
    </row>
    <row r="51" spans="1:69" x14ac:dyDescent="0.25">
      <c r="A51" t="s">
        <v>45</v>
      </c>
      <c r="B51">
        <v>0.86699999999999999</v>
      </c>
      <c r="C51">
        <v>0.875</v>
      </c>
      <c r="D51">
        <v>0.86799999999999999</v>
      </c>
      <c r="E51">
        <v>0.85399999999999998</v>
      </c>
      <c r="F51">
        <v>0.85399999999999998</v>
      </c>
      <c r="G51">
        <v>0.86699999999999999</v>
      </c>
      <c r="H51">
        <v>0.84099999999999997</v>
      </c>
      <c r="I51">
        <v>0.85799999999999998</v>
      </c>
      <c r="J51">
        <v>0.85199999999999998</v>
      </c>
      <c r="K51">
        <v>0.86499999999999999</v>
      </c>
      <c r="L51">
        <v>0.86499999999999999</v>
      </c>
      <c r="M51">
        <v>0.85299999999999998</v>
      </c>
      <c r="N51">
        <v>0.85499999999999998</v>
      </c>
      <c r="O51">
        <v>0.85599999999999998</v>
      </c>
      <c r="P51">
        <v>0.872</v>
      </c>
      <c r="Q51">
        <v>0.89700000000000002</v>
      </c>
      <c r="R51">
        <v>0.88</v>
      </c>
      <c r="S51">
        <v>0.91800000000000004</v>
      </c>
      <c r="T51">
        <v>0.96699999999999997</v>
      </c>
      <c r="U51">
        <v>0.98</v>
      </c>
      <c r="V51">
        <v>0.95299999999999996</v>
      </c>
      <c r="W51">
        <v>0.94299999999999995</v>
      </c>
      <c r="X51">
        <v>0.91400000000000003</v>
      </c>
      <c r="Y51">
        <v>0.90800000000000003</v>
      </c>
      <c r="Z51">
        <v>0.91300000000000003</v>
      </c>
      <c r="AA51">
        <v>0.91800000000000004</v>
      </c>
      <c r="AB51">
        <v>0.92300000000000004</v>
      </c>
      <c r="AC51">
        <v>0.92600000000000005</v>
      </c>
      <c r="AD51">
        <v>0.93200000000000005</v>
      </c>
      <c r="AE51">
        <v>0.91400000000000003</v>
      </c>
      <c r="AF51">
        <v>0.93300000000000005</v>
      </c>
      <c r="AG51">
        <v>0.91300000000000003</v>
      </c>
      <c r="AH51">
        <v>0.92700000000000005</v>
      </c>
      <c r="AI51">
        <v>0.93700000000000006</v>
      </c>
      <c r="AJ51">
        <v>0.94099999999999995</v>
      </c>
      <c r="AK51">
        <v>0.93100000000000005</v>
      </c>
      <c r="AL51">
        <v>0.91300000000000003</v>
      </c>
      <c r="AM51">
        <v>0.90200000000000002</v>
      </c>
      <c r="AN51">
        <v>6.9870000000000001</v>
      </c>
      <c r="AO51">
        <v>0.91700000000000004</v>
      </c>
      <c r="AP51">
        <v>0.91100000000000003</v>
      </c>
      <c r="AQ51">
        <v>0.93400000000000005</v>
      </c>
      <c r="AR51">
        <v>0.93300000000000005</v>
      </c>
      <c r="AS51">
        <v>0.92900000000000005</v>
      </c>
      <c r="AT51">
        <v>7.0730000000000004</v>
      </c>
      <c r="AU51">
        <v>7.3310000000000004</v>
      </c>
      <c r="AV51">
        <v>7.7640000000000002</v>
      </c>
      <c r="AW51">
        <v>7.4960000000000004</v>
      </c>
      <c r="AX51">
        <v>7.2519999999999998</v>
      </c>
      <c r="AY51">
        <v>7.4790000000000001</v>
      </c>
      <c r="AZ51">
        <v>7.1980000000000004</v>
      </c>
      <c r="BA51">
        <v>7.1360000000000001</v>
      </c>
      <c r="BB51">
        <v>6.9420000000000002</v>
      </c>
      <c r="BC51">
        <v>6.9029999999999996</v>
      </c>
      <c r="BD51">
        <v>6.6050000000000004</v>
      </c>
      <c r="BE51">
        <v>6.5869999999999997</v>
      </c>
      <c r="BF51">
        <v>6.681</v>
      </c>
      <c r="BG51">
        <v>6.444</v>
      </c>
      <c r="BH51">
        <v>6.4390000000000001</v>
      </c>
      <c r="BI51">
        <v>6.3520000000000003</v>
      </c>
      <c r="BJ51">
        <v>6.3109999999999999</v>
      </c>
      <c r="BK51">
        <v>6.282</v>
      </c>
      <c r="BL51">
        <v>6.1609999999999996</v>
      </c>
      <c r="BM51">
        <v>6.2380000000000004</v>
      </c>
      <c r="BN51">
        <v>6.4550000000000001</v>
      </c>
      <c r="BO51">
        <v>6.19</v>
      </c>
      <c r="BP51">
        <v>6.2329999999999997</v>
      </c>
      <c r="BQ51">
        <v>6.1449999999999996</v>
      </c>
    </row>
    <row r="52" spans="1:69" x14ac:dyDescent="0.25">
      <c r="A52" t="s">
        <v>97</v>
      </c>
      <c r="B52">
        <v>24</v>
      </c>
      <c r="C52">
        <v>24</v>
      </c>
      <c r="D52">
        <v>24</v>
      </c>
      <c r="E52">
        <v>24</v>
      </c>
      <c r="F52">
        <v>24</v>
      </c>
      <c r="G52">
        <v>24</v>
      </c>
      <c r="H52">
        <v>24</v>
      </c>
      <c r="I52">
        <v>24</v>
      </c>
      <c r="J52">
        <v>24</v>
      </c>
      <c r="K52">
        <v>24</v>
      </c>
      <c r="L52">
        <v>24</v>
      </c>
      <c r="M52">
        <v>24</v>
      </c>
      <c r="N52">
        <v>24</v>
      </c>
      <c r="O52">
        <v>24</v>
      </c>
      <c r="P52">
        <v>24</v>
      </c>
      <c r="Q52">
        <v>24</v>
      </c>
      <c r="R52">
        <v>24</v>
      </c>
      <c r="S52">
        <v>24</v>
      </c>
      <c r="T52">
        <v>24</v>
      </c>
      <c r="U52">
        <v>24</v>
      </c>
      <c r="V52">
        <v>24</v>
      </c>
      <c r="W52">
        <v>24</v>
      </c>
      <c r="X52">
        <v>24</v>
      </c>
      <c r="Y52">
        <v>24</v>
      </c>
      <c r="Z52">
        <v>24</v>
      </c>
      <c r="AA52">
        <v>24</v>
      </c>
      <c r="AB52">
        <v>24</v>
      </c>
      <c r="AC52">
        <v>24</v>
      </c>
      <c r="AD52">
        <v>24</v>
      </c>
      <c r="AE52">
        <v>24</v>
      </c>
      <c r="AF52">
        <v>24</v>
      </c>
      <c r="AG52">
        <v>24</v>
      </c>
      <c r="AH52">
        <v>24</v>
      </c>
      <c r="AI52">
        <v>24</v>
      </c>
      <c r="AJ52">
        <v>24</v>
      </c>
      <c r="AK52">
        <v>24</v>
      </c>
      <c r="AL52">
        <v>24</v>
      </c>
      <c r="AM52">
        <v>24</v>
      </c>
      <c r="AN52">
        <v>24</v>
      </c>
      <c r="AO52">
        <v>24</v>
      </c>
      <c r="AP52">
        <v>24</v>
      </c>
      <c r="AQ52">
        <v>24</v>
      </c>
      <c r="AR52">
        <v>24</v>
      </c>
      <c r="AS52">
        <v>24</v>
      </c>
      <c r="AT52">
        <v>24</v>
      </c>
      <c r="AU52">
        <v>24</v>
      </c>
      <c r="AV52">
        <v>24</v>
      </c>
      <c r="AW52">
        <v>24</v>
      </c>
      <c r="AX52">
        <v>24</v>
      </c>
      <c r="AY52">
        <v>24</v>
      </c>
      <c r="AZ52">
        <v>24</v>
      </c>
      <c r="BA52">
        <v>24</v>
      </c>
      <c r="BB52">
        <v>24</v>
      </c>
      <c r="BC52">
        <v>24</v>
      </c>
      <c r="BD52">
        <v>24</v>
      </c>
      <c r="BE52">
        <v>24</v>
      </c>
      <c r="BF52">
        <v>24</v>
      </c>
      <c r="BG52">
        <v>24</v>
      </c>
      <c r="BH52">
        <v>24</v>
      </c>
      <c r="BI52">
        <v>24</v>
      </c>
      <c r="BJ52">
        <v>24</v>
      </c>
      <c r="BK52">
        <v>24</v>
      </c>
      <c r="BL52">
        <v>24</v>
      </c>
      <c r="BM52">
        <v>24</v>
      </c>
      <c r="BN52">
        <v>24</v>
      </c>
      <c r="BO52">
        <v>24</v>
      </c>
      <c r="BP52">
        <v>24</v>
      </c>
      <c r="BQ52" s="3">
        <v>1</v>
      </c>
    </row>
    <row r="53" spans="1:69" x14ac:dyDescent="0.25">
      <c r="A53" s="3" t="s">
        <v>337</v>
      </c>
      <c r="B53" s="3">
        <v>1.79</v>
      </c>
      <c r="C53" s="3">
        <v>1.79</v>
      </c>
      <c r="D53">
        <v>1.79</v>
      </c>
      <c r="E53">
        <v>1.79</v>
      </c>
      <c r="F53">
        <v>1.79</v>
      </c>
      <c r="G53">
        <v>1.79</v>
      </c>
      <c r="H53">
        <v>1.79</v>
      </c>
      <c r="I53">
        <v>1.79</v>
      </c>
      <c r="J53">
        <v>1.79</v>
      </c>
      <c r="K53">
        <v>1.79</v>
      </c>
      <c r="L53">
        <v>1.79</v>
      </c>
      <c r="M53">
        <v>1.79</v>
      </c>
      <c r="N53">
        <v>1.79</v>
      </c>
      <c r="O53">
        <v>1.79</v>
      </c>
      <c r="P53">
        <v>1.79</v>
      </c>
      <c r="Q53">
        <v>1.79</v>
      </c>
      <c r="R53">
        <v>1.79</v>
      </c>
    </row>
    <row r="54" spans="1:69" x14ac:dyDescent="0.25">
      <c r="A54" t="s">
        <v>45</v>
      </c>
      <c r="B54">
        <v>0.86699999999999999</v>
      </c>
      <c r="C54">
        <v>0.875</v>
      </c>
      <c r="D54">
        <v>0.86799999999999999</v>
      </c>
      <c r="E54">
        <v>0.85399999999999998</v>
      </c>
      <c r="F54">
        <v>0.85399999999999998</v>
      </c>
      <c r="G54">
        <v>0.86699999999999999</v>
      </c>
      <c r="H54">
        <v>0.84099999999999997</v>
      </c>
      <c r="I54">
        <v>0.85799999999999998</v>
      </c>
      <c r="J54">
        <v>0.85199999999999998</v>
      </c>
      <c r="K54">
        <v>0.86499999999999999</v>
      </c>
      <c r="L54">
        <v>0.86499999999999999</v>
      </c>
      <c r="M54">
        <v>0.85299999999999998</v>
      </c>
      <c r="N54">
        <v>0.85499999999999998</v>
      </c>
      <c r="O54">
        <v>0.85599999999999998</v>
      </c>
      <c r="P54">
        <v>0.872</v>
      </c>
      <c r="Q54">
        <v>0.89700000000000002</v>
      </c>
      <c r="R54">
        <v>0.88</v>
      </c>
      <c r="S54">
        <v>0.91800000000000004</v>
      </c>
      <c r="T54">
        <v>0.96699999999999997</v>
      </c>
      <c r="U54">
        <v>0.98</v>
      </c>
      <c r="V54">
        <v>0.95299999999999996</v>
      </c>
      <c r="W54">
        <v>0.94299999999999995</v>
      </c>
      <c r="X54">
        <v>0.91400000000000003</v>
      </c>
      <c r="Y54">
        <v>0.90800000000000003</v>
      </c>
      <c r="Z54">
        <v>0.91300000000000003</v>
      </c>
      <c r="AA54">
        <v>0.91800000000000004</v>
      </c>
      <c r="AB54">
        <v>0.92300000000000004</v>
      </c>
      <c r="AC54">
        <v>0.92600000000000005</v>
      </c>
      <c r="AD54">
        <v>0.93200000000000005</v>
      </c>
      <c r="AE54">
        <v>0.91400000000000003</v>
      </c>
      <c r="AF54">
        <v>0.93300000000000005</v>
      </c>
      <c r="AG54">
        <v>0.91300000000000003</v>
      </c>
      <c r="AH54">
        <v>0.92700000000000005</v>
      </c>
      <c r="AI54">
        <v>0.93700000000000006</v>
      </c>
      <c r="AJ54">
        <v>0.94099999999999995</v>
      </c>
      <c r="AK54">
        <v>0.93100000000000005</v>
      </c>
      <c r="AL54">
        <v>0.91300000000000003</v>
      </c>
      <c r="AM54">
        <v>0.90200000000000002</v>
      </c>
      <c r="AN54">
        <v>0.92700000000000005</v>
      </c>
      <c r="AO54">
        <v>0.91700000000000004</v>
      </c>
      <c r="AP54">
        <v>0.91100000000000003</v>
      </c>
      <c r="AQ54">
        <v>0.93400000000000005</v>
      </c>
      <c r="AR54">
        <v>0.93300000000000005</v>
      </c>
      <c r="AS54">
        <v>0.92900000000000005</v>
      </c>
      <c r="AT54">
        <v>0.93799999999999994</v>
      </c>
      <c r="AU54">
        <v>0.97199999999999998</v>
      </c>
      <c r="AV54">
        <v>1.032</v>
      </c>
      <c r="AW54">
        <v>0.997</v>
      </c>
      <c r="AX54">
        <v>0.96499999999999997</v>
      </c>
      <c r="AY54">
        <v>0.996</v>
      </c>
      <c r="AZ54">
        <v>0.95799999999999996</v>
      </c>
      <c r="BA54">
        <v>0.94699999999999995</v>
      </c>
      <c r="BB54">
        <v>0.92</v>
      </c>
      <c r="BC54">
        <v>0.91300000000000003</v>
      </c>
      <c r="BD54">
        <v>0.878</v>
      </c>
      <c r="BE54">
        <v>0.876</v>
      </c>
      <c r="BF54">
        <v>0.88800000000000001</v>
      </c>
      <c r="BG54">
        <v>0.872</v>
      </c>
      <c r="BH54">
        <v>0.86</v>
      </c>
      <c r="BI54">
        <v>0.84699999999999998</v>
      </c>
      <c r="BJ54">
        <v>0.84099999999999997</v>
      </c>
      <c r="BK54">
        <v>0.83799999999999997</v>
      </c>
      <c r="BL54">
        <v>0.82</v>
      </c>
      <c r="BM54">
        <v>0.82599999999999996</v>
      </c>
      <c r="BN54">
        <v>0.85299999999999998</v>
      </c>
      <c r="BO54">
        <v>0.83699999999999997</v>
      </c>
      <c r="BP54">
        <v>0.82399999999999995</v>
      </c>
      <c r="BQ54">
        <v>0.82199999999999995</v>
      </c>
    </row>
    <row r="55" spans="1:69" x14ac:dyDescent="0.25">
      <c r="A55" t="s">
        <v>100</v>
      </c>
      <c r="B55">
        <v>20.989000000000001</v>
      </c>
      <c r="C55">
        <v>21.225999999999999</v>
      </c>
      <c r="D55">
        <v>20.995999999999999</v>
      </c>
      <c r="E55">
        <v>20.788</v>
      </c>
      <c r="F55">
        <v>20.806000000000001</v>
      </c>
      <c r="G55">
        <v>21.178999999999998</v>
      </c>
      <c r="H55">
        <v>20.398</v>
      </c>
      <c r="I55">
        <v>20.795000000000002</v>
      </c>
      <c r="J55">
        <v>20.602</v>
      </c>
      <c r="K55">
        <v>20.957999999999998</v>
      </c>
      <c r="L55">
        <v>21.04</v>
      </c>
      <c r="M55">
        <v>20.79</v>
      </c>
      <c r="N55">
        <v>20.9</v>
      </c>
      <c r="O55">
        <v>21.11</v>
      </c>
      <c r="P55">
        <v>21.6</v>
      </c>
      <c r="Q55">
        <v>22.39</v>
      </c>
      <c r="R55">
        <v>22.13</v>
      </c>
      <c r="S55">
        <v>22.98</v>
      </c>
      <c r="T55">
        <v>24.23</v>
      </c>
      <c r="U55">
        <v>24.69</v>
      </c>
      <c r="V55">
        <v>23.91</v>
      </c>
      <c r="W55">
        <v>23.85</v>
      </c>
      <c r="X55">
        <v>23.11</v>
      </c>
      <c r="Y55">
        <v>22.76</v>
      </c>
      <c r="Z55">
        <v>22.99</v>
      </c>
      <c r="AA55">
        <v>23.3</v>
      </c>
      <c r="AB55">
        <v>22.75</v>
      </c>
      <c r="AC55">
        <v>22.96</v>
      </c>
      <c r="AD55">
        <v>23.63</v>
      </c>
      <c r="AE55">
        <v>23.08</v>
      </c>
      <c r="AF55">
        <v>23.65</v>
      </c>
      <c r="AG55">
        <v>22.51</v>
      </c>
      <c r="AH55">
        <v>22.72</v>
      </c>
      <c r="AI55">
        <v>23.03</v>
      </c>
      <c r="AJ55">
        <v>23.09</v>
      </c>
      <c r="AK55">
        <v>22.76</v>
      </c>
      <c r="AL55">
        <v>21.99</v>
      </c>
      <c r="AM55">
        <v>21.47</v>
      </c>
      <c r="AN55">
        <v>22.06</v>
      </c>
      <c r="AO55">
        <v>21.56</v>
      </c>
      <c r="AP55">
        <v>21.28</v>
      </c>
      <c r="AQ55">
        <v>22.15</v>
      </c>
      <c r="AR55">
        <v>22.17</v>
      </c>
      <c r="AS55">
        <v>22.32</v>
      </c>
      <c r="AT55">
        <v>22.8</v>
      </c>
      <c r="AU55">
        <v>23.6</v>
      </c>
      <c r="AV55">
        <v>25.35</v>
      </c>
      <c r="AW55">
        <v>24.47</v>
      </c>
      <c r="AX55">
        <v>23.5</v>
      </c>
      <c r="AY55">
        <v>24.24</v>
      </c>
      <c r="AZ55">
        <v>23.69</v>
      </c>
      <c r="BA55">
        <v>23.93</v>
      </c>
      <c r="BB55">
        <v>22.46</v>
      </c>
      <c r="BC55">
        <v>22.94</v>
      </c>
      <c r="BD55">
        <v>21.42</v>
      </c>
      <c r="BE55">
        <v>21.34</v>
      </c>
      <c r="BF55">
        <v>22.72</v>
      </c>
      <c r="BG55">
        <v>22.02</v>
      </c>
      <c r="BH55">
        <v>21.93</v>
      </c>
      <c r="BI55">
        <v>21.48</v>
      </c>
      <c r="BJ55">
        <v>21.46</v>
      </c>
      <c r="BK55">
        <v>21.32</v>
      </c>
      <c r="BL55">
        <v>20.85</v>
      </c>
      <c r="BM55">
        <v>21.37</v>
      </c>
      <c r="BN55">
        <v>22.29</v>
      </c>
      <c r="BO55">
        <v>21.9</v>
      </c>
      <c r="BP55">
        <v>21.22</v>
      </c>
      <c r="BQ55">
        <v>21.51</v>
      </c>
    </row>
    <row r="56" spans="1:69" x14ac:dyDescent="0.25">
      <c r="A56" t="s">
        <v>105</v>
      </c>
      <c r="B56">
        <v>6.4790000000000001</v>
      </c>
      <c r="C56">
        <v>6.5419999999999998</v>
      </c>
      <c r="D56">
        <v>6.4870000000000001</v>
      </c>
      <c r="E56">
        <v>6.3810000000000002</v>
      </c>
      <c r="F56">
        <v>6.3810000000000002</v>
      </c>
      <c r="G56">
        <v>6.48</v>
      </c>
      <c r="H56">
        <v>6.2859999999999996</v>
      </c>
      <c r="I56">
        <v>6.415</v>
      </c>
      <c r="J56">
        <v>6.36</v>
      </c>
      <c r="K56">
        <v>6.4569999999999999</v>
      </c>
      <c r="L56">
        <v>6.4580000000000002</v>
      </c>
      <c r="M56">
        <v>6.3639999999999999</v>
      </c>
      <c r="N56">
        <v>6.3769999999999998</v>
      </c>
      <c r="O56">
        <v>6.383</v>
      </c>
      <c r="P56">
        <v>6.5039999999999996</v>
      </c>
      <c r="Q56">
        <v>6.6920000000000002</v>
      </c>
      <c r="R56">
        <v>6.5709999999999997</v>
      </c>
      <c r="S56">
        <v>6.85</v>
      </c>
      <c r="T56">
        <v>7.21</v>
      </c>
      <c r="U56">
        <v>7.3090000000000002</v>
      </c>
      <c r="V56">
        <v>7.1040000000000001</v>
      </c>
      <c r="W56">
        <v>7.0350000000000001</v>
      </c>
      <c r="X56">
        <v>6.82</v>
      </c>
      <c r="Y56">
        <v>6.7729999999999997</v>
      </c>
      <c r="Z56">
        <v>6.8109999999999999</v>
      </c>
      <c r="AA56">
        <v>6.8540000000000001</v>
      </c>
      <c r="AB56">
        <v>6.8840000000000003</v>
      </c>
      <c r="AC56">
        <v>6.9059999999999997</v>
      </c>
      <c r="AD56">
        <v>6.95</v>
      </c>
      <c r="AE56">
        <v>6.8170000000000002</v>
      </c>
      <c r="AF56">
        <v>6.952</v>
      </c>
      <c r="AG56">
        <v>6.8079999999999998</v>
      </c>
      <c r="AH56">
        <v>6.91</v>
      </c>
      <c r="AI56">
        <v>6.99</v>
      </c>
      <c r="AJ56">
        <v>7.0149999999999997</v>
      </c>
      <c r="AK56">
        <v>6.9450000000000003</v>
      </c>
      <c r="AL56">
        <v>6.7990000000000004</v>
      </c>
      <c r="AM56">
        <v>6.7190000000000003</v>
      </c>
      <c r="AN56">
        <v>6.9109999999999996</v>
      </c>
      <c r="AO56">
        <v>6.827</v>
      </c>
      <c r="AP56">
        <v>6.7859999999999996</v>
      </c>
      <c r="AQ56">
        <v>6.9509999999999996</v>
      </c>
      <c r="AR56">
        <v>6.952</v>
      </c>
      <c r="AS56">
        <v>6.9080000000000004</v>
      </c>
      <c r="AT56">
        <v>6.9790000000000001</v>
      </c>
      <c r="AU56">
        <v>7.23</v>
      </c>
      <c r="AV56">
        <v>7.6749999999999998</v>
      </c>
      <c r="AW56">
        <v>7.4119999999999999</v>
      </c>
      <c r="AX56">
        <v>7.181</v>
      </c>
      <c r="AY56">
        <v>7.4130000000000003</v>
      </c>
      <c r="AZ56">
        <v>7.125</v>
      </c>
      <c r="BA56">
        <v>7.0460000000000003</v>
      </c>
      <c r="BB56">
        <v>6.84</v>
      </c>
      <c r="BC56">
        <v>6.7889999999999997</v>
      </c>
      <c r="BD56">
        <v>6.53</v>
      </c>
      <c r="BE56">
        <v>6.516</v>
      </c>
      <c r="BF56">
        <v>6.601</v>
      </c>
      <c r="BG56">
        <v>6.4859999999999998</v>
      </c>
      <c r="BH56">
        <v>6.3929999999999998</v>
      </c>
      <c r="BI56">
        <v>6.3019999999999996</v>
      </c>
      <c r="BJ56">
        <v>6.2560000000000002</v>
      </c>
      <c r="BK56">
        <v>6.234</v>
      </c>
      <c r="BL56">
        <v>6.0960000000000001</v>
      </c>
      <c r="BM56">
        <v>6.1420000000000003</v>
      </c>
      <c r="BN56">
        <v>6.3449999999999998</v>
      </c>
      <c r="BO56">
        <v>6.2270000000000003</v>
      </c>
      <c r="BP56">
        <v>6.1280000000000001</v>
      </c>
      <c r="BQ56">
        <v>6.1159999999999997</v>
      </c>
    </row>
    <row r="57" spans="1:69" x14ac:dyDescent="0.25">
      <c r="A57" t="s">
        <v>102</v>
      </c>
      <c r="B57">
        <v>177</v>
      </c>
      <c r="C57">
        <v>177</v>
      </c>
      <c r="D57">
        <v>177</v>
      </c>
      <c r="E57">
        <v>177</v>
      </c>
      <c r="F57">
        <v>177</v>
      </c>
      <c r="G57">
        <v>177</v>
      </c>
      <c r="H57">
        <v>177</v>
      </c>
      <c r="I57">
        <v>177</v>
      </c>
      <c r="J57">
        <v>177</v>
      </c>
      <c r="K57">
        <v>177</v>
      </c>
      <c r="L57">
        <v>177</v>
      </c>
      <c r="M57">
        <v>177</v>
      </c>
      <c r="N57">
        <v>177</v>
      </c>
      <c r="O57">
        <v>177</v>
      </c>
      <c r="P57">
        <v>177</v>
      </c>
      <c r="Q57">
        <v>177</v>
      </c>
      <c r="R57">
        <v>177</v>
      </c>
      <c r="S57">
        <v>177</v>
      </c>
      <c r="T57">
        <v>177</v>
      </c>
      <c r="U57">
        <v>177</v>
      </c>
      <c r="V57">
        <v>177</v>
      </c>
      <c r="W57">
        <v>177</v>
      </c>
      <c r="X57">
        <v>177</v>
      </c>
      <c r="Y57">
        <v>177</v>
      </c>
      <c r="Z57">
        <v>177</v>
      </c>
      <c r="AA57">
        <v>177</v>
      </c>
      <c r="AB57">
        <v>177</v>
      </c>
      <c r="AC57">
        <v>177</v>
      </c>
      <c r="AD57">
        <v>177</v>
      </c>
      <c r="AE57">
        <v>177</v>
      </c>
      <c r="AF57">
        <v>177</v>
      </c>
      <c r="AG57">
        <v>177</v>
      </c>
      <c r="AH57">
        <v>177</v>
      </c>
      <c r="AI57">
        <v>177</v>
      </c>
      <c r="AJ57">
        <v>177</v>
      </c>
      <c r="AK57">
        <v>177</v>
      </c>
      <c r="AL57">
        <v>177</v>
      </c>
      <c r="AM57">
        <v>177</v>
      </c>
      <c r="AN57">
        <v>177</v>
      </c>
      <c r="AO57">
        <v>177</v>
      </c>
      <c r="AP57">
        <v>177</v>
      </c>
      <c r="AQ57">
        <v>177</v>
      </c>
      <c r="AR57">
        <v>177</v>
      </c>
      <c r="AS57">
        <v>177</v>
      </c>
      <c r="AT57">
        <v>177</v>
      </c>
      <c r="AU57">
        <v>177</v>
      </c>
      <c r="AV57">
        <v>177</v>
      </c>
      <c r="AW57">
        <v>177</v>
      </c>
      <c r="AX57">
        <v>177</v>
      </c>
      <c r="AY57">
        <v>177</v>
      </c>
      <c r="AZ57">
        <v>177</v>
      </c>
      <c r="BA57">
        <v>177</v>
      </c>
      <c r="BB57">
        <v>177</v>
      </c>
      <c r="BC57">
        <v>177</v>
      </c>
      <c r="BD57">
        <v>177</v>
      </c>
      <c r="BE57">
        <v>177</v>
      </c>
      <c r="BF57">
        <v>177</v>
      </c>
      <c r="BG57">
        <v>177</v>
      </c>
      <c r="BH57">
        <v>177</v>
      </c>
      <c r="BI57">
        <v>177</v>
      </c>
      <c r="BJ57">
        <v>177</v>
      </c>
      <c r="BK57">
        <v>177</v>
      </c>
      <c r="BL57">
        <v>177</v>
      </c>
      <c r="BM57">
        <v>177</v>
      </c>
      <c r="BN57">
        <v>177</v>
      </c>
      <c r="BO57">
        <v>177</v>
      </c>
      <c r="BP57">
        <v>177</v>
      </c>
      <c r="BQ57">
        <v>177</v>
      </c>
    </row>
    <row r="58" spans="1:69" x14ac:dyDescent="0.25">
      <c r="A58" t="s">
        <v>286</v>
      </c>
      <c r="B58">
        <v>2.7</v>
      </c>
      <c r="C58">
        <v>2.7</v>
      </c>
      <c r="D58">
        <v>2.7</v>
      </c>
      <c r="E58">
        <v>2.7</v>
      </c>
      <c r="F58">
        <v>2.7</v>
      </c>
      <c r="G58">
        <v>2.7</v>
      </c>
      <c r="H58">
        <v>2.7</v>
      </c>
      <c r="I58">
        <v>2.7</v>
      </c>
      <c r="J58">
        <v>2.7</v>
      </c>
      <c r="K58">
        <v>2.7</v>
      </c>
      <c r="L58">
        <v>2.7</v>
      </c>
      <c r="M58">
        <v>2.7</v>
      </c>
      <c r="N58">
        <v>2.7</v>
      </c>
      <c r="O58">
        <v>2.7</v>
      </c>
      <c r="P58">
        <v>2.7</v>
      </c>
      <c r="Q58">
        <v>2.7</v>
      </c>
      <c r="R58">
        <v>2.7</v>
      </c>
      <c r="S58">
        <v>2.7</v>
      </c>
      <c r="T58">
        <v>2.7</v>
      </c>
      <c r="U58">
        <v>2.7</v>
      </c>
      <c r="V58">
        <v>2.7</v>
      </c>
      <c r="W58">
        <v>2.7</v>
      </c>
      <c r="X58">
        <v>2.7</v>
      </c>
      <c r="Y58">
        <v>2.7</v>
      </c>
      <c r="Z58">
        <v>2.7</v>
      </c>
      <c r="AA58">
        <v>2.7</v>
      </c>
      <c r="AB58">
        <v>2.7</v>
      </c>
      <c r="AC58">
        <v>2.7</v>
      </c>
      <c r="AD58">
        <v>2.7</v>
      </c>
      <c r="AE58">
        <v>2.7</v>
      </c>
      <c r="AF58">
        <v>2.7</v>
      </c>
      <c r="AG58">
        <v>2.7</v>
      </c>
      <c r="AH58">
        <v>2.7</v>
      </c>
      <c r="AI58">
        <v>2.7</v>
      </c>
      <c r="AJ58">
        <v>2.7</v>
      </c>
      <c r="AK58">
        <v>2.7</v>
      </c>
      <c r="AL58">
        <v>2.7</v>
      </c>
      <c r="AM58">
        <v>2.7</v>
      </c>
      <c r="AN58">
        <v>2.7</v>
      </c>
      <c r="AO58">
        <v>2.7</v>
      </c>
      <c r="AP58">
        <v>2.7</v>
      </c>
      <c r="AQ58">
        <v>2.7</v>
      </c>
      <c r="AR58">
        <v>2.7</v>
      </c>
      <c r="AS58">
        <v>2.7</v>
      </c>
      <c r="AT58">
        <v>2.7</v>
      </c>
      <c r="AU58">
        <v>2.7</v>
      </c>
      <c r="AV58">
        <v>2.7</v>
      </c>
      <c r="AW58">
        <v>2.7</v>
      </c>
      <c r="AX58">
        <v>2.7</v>
      </c>
      <c r="AY58">
        <v>2.7</v>
      </c>
      <c r="AZ58">
        <v>2.7</v>
      </c>
      <c r="BA58">
        <v>2.7</v>
      </c>
      <c r="BB58">
        <v>2.7</v>
      </c>
      <c r="BC58">
        <v>2.7</v>
      </c>
      <c r="BD58">
        <v>2.7</v>
      </c>
      <c r="BE58">
        <v>2.7</v>
      </c>
      <c r="BF58">
        <v>2.7</v>
      </c>
      <c r="BG58">
        <v>2.7</v>
      </c>
      <c r="BH58">
        <v>2.7</v>
      </c>
      <c r="BI58">
        <v>2.7</v>
      </c>
      <c r="BJ58">
        <v>2.7</v>
      </c>
      <c r="BK58">
        <v>2.7</v>
      </c>
      <c r="BL58">
        <v>2.7</v>
      </c>
      <c r="BM58">
        <v>2.7</v>
      </c>
      <c r="BN58">
        <v>2.7</v>
      </c>
      <c r="BO58">
        <v>2.7</v>
      </c>
      <c r="BP58">
        <v>2.7</v>
      </c>
      <c r="BQ58">
        <v>2.7</v>
      </c>
    </row>
    <row r="59" spans="1:69" x14ac:dyDescent="0.25">
      <c r="A59" t="s">
        <v>107</v>
      </c>
      <c r="B59">
        <v>58.088999999999999</v>
      </c>
      <c r="C59">
        <v>58.481000000000002</v>
      </c>
      <c r="D59">
        <v>58.45</v>
      </c>
      <c r="E59">
        <v>59.216000000000001</v>
      </c>
      <c r="F59">
        <v>59.433</v>
      </c>
      <c r="G59">
        <v>60.853000000000002</v>
      </c>
      <c r="H59">
        <v>62.396999999999998</v>
      </c>
      <c r="I59">
        <v>63.4</v>
      </c>
      <c r="J59">
        <v>63.36</v>
      </c>
      <c r="K59">
        <v>64.02</v>
      </c>
      <c r="L59">
        <v>62.850999999999999</v>
      </c>
      <c r="M59">
        <v>63.323</v>
      </c>
      <c r="N59">
        <v>61.493000000000002</v>
      </c>
      <c r="O59">
        <v>59.890999999999998</v>
      </c>
      <c r="P59">
        <v>58.819000000000003</v>
      </c>
      <c r="Q59">
        <v>58.542999999999999</v>
      </c>
      <c r="R59">
        <v>61.124000000000002</v>
      </c>
      <c r="S59">
        <v>62.247999999999998</v>
      </c>
      <c r="T59">
        <v>61.658000000000001</v>
      </c>
      <c r="U59">
        <v>61.043999999999997</v>
      </c>
      <c r="V59">
        <v>60.34</v>
      </c>
      <c r="W59">
        <v>60.034999999999997</v>
      </c>
      <c r="X59">
        <v>59.87</v>
      </c>
      <c r="Y59">
        <v>59.55</v>
      </c>
      <c r="Z59">
        <v>59.442999999999998</v>
      </c>
      <c r="AA59">
        <v>59</v>
      </c>
      <c r="AB59">
        <v>59.119</v>
      </c>
      <c r="AC59">
        <v>58.277999999999999</v>
      </c>
      <c r="AD59">
        <v>58.966999999999999</v>
      </c>
      <c r="AE59">
        <v>58.576999999999998</v>
      </c>
      <c r="AF59">
        <v>58.451000000000001</v>
      </c>
      <c r="AG59">
        <v>58.445999999999998</v>
      </c>
      <c r="AH59">
        <v>56.65</v>
      </c>
      <c r="AI59">
        <v>56.542000000000002</v>
      </c>
      <c r="AJ59">
        <v>56.484999999999999</v>
      </c>
      <c r="AK59">
        <v>56.447000000000003</v>
      </c>
      <c r="AL59">
        <v>56.31</v>
      </c>
      <c r="AM59">
        <v>55.433</v>
      </c>
      <c r="AN59">
        <v>54.314</v>
      </c>
      <c r="AO59">
        <v>54.286000000000001</v>
      </c>
      <c r="AP59">
        <v>54.537999999999997</v>
      </c>
      <c r="AQ59">
        <v>54.506</v>
      </c>
      <c r="AR59">
        <v>55.871000000000002</v>
      </c>
      <c r="AS59">
        <v>56.042000000000002</v>
      </c>
      <c r="AT59">
        <v>54.716000000000001</v>
      </c>
      <c r="AU59">
        <v>53.942999999999998</v>
      </c>
      <c r="AV59">
        <v>53.506999999999998</v>
      </c>
      <c r="AW59">
        <v>53.216999999999999</v>
      </c>
      <c r="AX59">
        <v>53.784999999999997</v>
      </c>
      <c r="AY59">
        <v>54.353999999999999</v>
      </c>
      <c r="AZ59">
        <v>54.8</v>
      </c>
      <c r="BA59">
        <v>54.962000000000003</v>
      </c>
      <c r="BB59">
        <v>54.804000000000002</v>
      </c>
      <c r="BC59">
        <v>54.7</v>
      </c>
      <c r="BD59">
        <v>56.945999999999998</v>
      </c>
      <c r="BE59">
        <v>57.402000000000001</v>
      </c>
      <c r="BF59">
        <v>56.48</v>
      </c>
      <c r="BG59">
        <v>56.271000000000001</v>
      </c>
      <c r="BH59">
        <v>55.975999999999999</v>
      </c>
      <c r="BI59">
        <v>56.777999999999999</v>
      </c>
      <c r="BJ59">
        <v>56.662999999999997</v>
      </c>
      <c r="BK59">
        <v>56.835000000000001</v>
      </c>
      <c r="BL59">
        <v>56.68</v>
      </c>
      <c r="BM59">
        <v>56.6</v>
      </c>
      <c r="BN59">
        <v>56.76</v>
      </c>
      <c r="BO59">
        <v>57.689</v>
      </c>
      <c r="BP59">
        <v>57.598999999999997</v>
      </c>
      <c r="BQ59">
        <v>57.603999999999999</v>
      </c>
    </row>
    <row r="60" spans="1:69" x14ac:dyDescent="0.25">
      <c r="A60" t="s">
        <v>124</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row>
    <row r="61" spans="1:69" x14ac:dyDescent="0.25">
      <c r="A61" t="s">
        <v>124</v>
      </c>
      <c r="B61">
        <v>1</v>
      </c>
      <c r="C61">
        <v>1</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row>
    <row r="62" spans="1:69" x14ac:dyDescent="0.25">
      <c r="A62" t="s">
        <v>109</v>
      </c>
      <c r="B62">
        <v>50.23</v>
      </c>
      <c r="C62">
        <v>50.17</v>
      </c>
      <c r="D62">
        <v>51.93</v>
      </c>
      <c r="E62">
        <v>52.866</v>
      </c>
      <c r="F62">
        <v>53.11</v>
      </c>
      <c r="G62">
        <v>52.402000000000001</v>
      </c>
      <c r="H62">
        <v>46.79</v>
      </c>
      <c r="I62">
        <v>47.095999999999997</v>
      </c>
      <c r="J62">
        <v>47.485999999999997</v>
      </c>
      <c r="K62">
        <v>47.167999999999999</v>
      </c>
      <c r="L62">
        <v>47.652999999999999</v>
      </c>
      <c r="M62">
        <v>48.15</v>
      </c>
      <c r="N62">
        <v>48.3</v>
      </c>
      <c r="O62">
        <v>49.475000000000001</v>
      </c>
      <c r="P62">
        <v>49.457000000000001</v>
      </c>
      <c r="Q62">
        <v>50.4</v>
      </c>
      <c r="R62">
        <v>51.287999999999997</v>
      </c>
      <c r="S62">
        <v>50.628999999999998</v>
      </c>
      <c r="T62">
        <v>50.57</v>
      </c>
      <c r="U62">
        <v>50.46</v>
      </c>
      <c r="V62">
        <v>50.6</v>
      </c>
      <c r="W62">
        <v>49.26</v>
      </c>
      <c r="X62">
        <v>48.533000000000001</v>
      </c>
      <c r="Y62">
        <v>48.33</v>
      </c>
      <c r="Z62">
        <v>49.305</v>
      </c>
      <c r="AA62">
        <v>47.95</v>
      </c>
      <c r="AB62">
        <v>47.643999999999998</v>
      </c>
      <c r="AC62">
        <v>47</v>
      </c>
      <c r="AD62">
        <v>47.512</v>
      </c>
      <c r="AE62">
        <v>48.4</v>
      </c>
      <c r="AF62">
        <v>30.789000000000001</v>
      </c>
      <c r="AG62">
        <v>30.85</v>
      </c>
      <c r="AH62">
        <v>30.85</v>
      </c>
      <c r="AI62">
        <v>30.85</v>
      </c>
      <c r="AJ62">
        <v>30.85</v>
      </c>
      <c r="AK62">
        <v>30.843</v>
      </c>
      <c r="AL62">
        <v>30.863</v>
      </c>
      <c r="AM62">
        <v>30.899000000000001</v>
      </c>
      <c r="AN62">
        <v>30.861000000000001</v>
      </c>
      <c r="AO62">
        <v>30.875</v>
      </c>
      <c r="AP62">
        <v>30.861999999999998</v>
      </c>
      <c r="AQ62">
        <v>30.86</v>
      </c>
      <c r="AR62">
        <v>30.4</v>
      </c>
      <c r="AS62">
        <v>29.75</v>
      </c>
      <c r="AT62">
        <v>24.591999999999999</v>
      </c>
      <c r="AU62">
        <v>24.347999999999999</v>
      </c>
      <c r="AV62">
        <v>19.640999999999998</v>
      </c>
      <c r="AW62">
        <v>19.306000000000001</v>
      </c>
      <c r="AX62">
        <v>19.09</v>
      </c>
      <c r="AY62">
        <v>18.844999999999999</v>
      </c>
      <c r="AZ62">
        <v>18.672999999999998</v>
      </c>
      <c r="BA62">
        <v>18.361000000000001</v>
      </c>
      <c r="BB62">
        <v>18.457999999999998</v>
      </c>
      <c r="BC62">
        <v>15.657999999999999</v>
      </c>
      <c r="BD62">
        <v>15.67</v>
      </c>
      <c r="BE62">
        <v>15.688000000000001</v>
      </c>
      <c r="BF62">
        <v>15.669</v>
      </c>
      <c r="BG62">
        <v>15.664999999999999</v>
      </c>
      <c r="BH62">
        <v>15.664</v>
      </c>
      <c r="BI62">
        <v>15.651999999999999</v>
      </c>
      <c r="BJ62">
        <v>15.702999999999999</v>
      </c>
      <c r="BK62">
        <v>15.628</v>
      </c>
      <c r="BL62">
        <v>15.629</v>
      </c>
      <c r="BM62">
        <v>15.625</v>
      </c>
      <c r="BN62">
        <v>15.696999999999999</v>
      </c>
      <c r="BO62">
        <v>15.648999999999999</v>
      </c>
      <c r="BP62">
        <v>15.675000000000001</v>
      </c>
      <c r="BQ62">
        <v>15.72</v>
      </c>
    </row>
    <row r="63" spans="1:69" x14ac:dyDescent="0.25">
      <c r="A63" t="s">
        <v>124</v>
      </c>
      <c r="B63">
        <v>1</v>
      </c>
      <c r="C63">
        <v>1</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row>
    <row r="64" spans="1:69" x14ac:dyDescent="0.25">
      <c r="A64" t="s">
        <v>85</v>
      </c>
      <c r="B64">
        <v>568.51900000000001</v>
      </c>
      <c r="C64">
        <v>574.04100000000005</v>
      </c>
      <c r="D64">
        <v>569.30799999999999</v>
      </c>
      <c r="E64">
        <v>560.16800000000001</v>
      </c>
      <c r="F64">
        <v>560.16800000000001</v>
      </c>
      <c r="G64">
        <v>568.81500000000005</v>
      </c>
      <c r="H64">
        <v>551.87400000000002</v>
      </c>
      <c r="I64">
        <v>563.053</v>
      </c>
      <c r="J64">
        <v>558.59400000000005</v>
      </c>
      <c r="K64">
        <v>567.24099999999999</v>
      </c>
      <c r="L64">
        <v>567.24099999999999</v>
      </c>
      <c r="M64">
        <v>559.30799999999999</v>
      </c>
      <c r="N64">
        <v>560.55100000000004</v>
      </c>
      <c r="O64">
        <v>561.17499999999995</v>
      </c>
      <c r="P64">
        <v>571.98900000000003</v>
      </c>
      <c r="Q64">
        <v>588.46100000000001</v>
      </c>
      <c r="R64">
        <v>577.32500000000005</v>
      </c>
      <c r="S64">
        <v>602.40300000000002</v>
      </c>
      <c r="T64">
        <v>634.08100000000002</v>
      </c>
      <c r="U64">
        <v>642.654</v>
      </c>
      <c r="V64">
        <v>624.84</v>
      </c>
      <c r="W64">
        <v>618.59400000000005</v>
      </c>
      <c r="X64">
        <v>599.65</v>
      </c>
      <c r="Y64">
        <v>595.35</v>
      </c>
      <c r="Z64">
        <v>598.71900000000005</v>
      </c>
      <c r="AA64">
        <v>602.45899999999995</v>
      </c>
      <c r="AB64">
        <v>605.46199999999999</v>
      </c>
      <c r="AC64">
        <v>607.14300000000003</v>
      </c>
      <c r="AD64">
        <v>611.15899999999999</v>
      </c>
      <c r="AE64">
        <v>599.65</v>
      </c>
      <c r="AF64">
        <v>611.72900000000004</v>
      </c>
      <c r="AG64">
        <v>598.88300000000004</v>
      </c>
      <c r="AH64">
        <v>607.98699999999997</v>
      </c>
      <c r="AI64">
        <v>614.71</v>
      </c>
      <c r="AJ64">
        <v>617.13900000000001</v>
      </c>
      <c r="AK64">
        <v>610.64700000000005</v>
      </c>
      <c r="AL64">
        <v>598.61</v>
      </c>
      <c r="AM64">
        <v>591.43200000000002</v>
      </c>
      <c r="AN64">
        <v>608.26900000000001</v>
      </c>
      <c r="AO64">
        <v>601.24400000000003</v>
      </c>
      <c r="AP64">
        <v>597.46500000000003</v>
      </c>
      <c r="AQ64">
        <v>612.47199999999998</v>
      </c>
      <c r="AR64">
        <v>612.12900000000002</v>
      </c>
      <c r="AS64">
        <v>609.28599999999994</v>
      </c>
      <c r="AT64">
        <v>615.40200000000004</v>
      </c>
      <c r="AU64">
        <v>637.65599999999995</v>
      </c>
      <c r="AV64">
        <v>676.73299999999995</v>
      </c>
      <c r="AW64">
        <v>653.79899999999998</v>
      </c>
      <c r="AX64">
        <v>633.22400000000005</v>
      </c>
      <c r="AY64">
        <v>653.40899999999999</v>
      </c>
      <c r="AZ64">
        <v>628.13099999999997</v>
      </c>
      <c r="BA64">
        <v>621.34799999999996</v>
      </c>
      <c r="BB64">
        <v>603.34500000000003</v>
      </c>
      <c r="BC64">
        <v>598.61</v>
      </c>
      <c r="BD64">
        <v>575.70399999999995</v>
      </c>
      <c r="BE64">
        <v>574.49400000000003</v>
      </c>
      <c r="BF64">
        <v>582.19299999999998</v>
      </c>
      <c r="BG64">
        <v>572.08900000000006</v>
      </c>
      <c r="BH64">
        <v>563.97299999999996</v>
      </c>
      <c r="BI64">
        <v>555.89599999999996</v>
      </c>
      <c r="BJ64">
        <v>551.73400000000004</v>
      </c>
      <c r="BK64">
        <v>549.88400000000001</v>
      </c>
      <c r="BL64">
        <v>537.71400000000006</v>
      </c>
      <c r="BM64">
        <v>541.84500000000003</v>
      </c>
      <c r="BN64">
        <v>559.69000000000005</v>
      </c>
      <c r="BO64">
        <v>549.24</v>
      </c>
      <c r="BP64">
        <v>540.46100000000001</v>
      </c>
      <c r="BQ64">
        <v>539.26099999999997</v>
      </c>
    </row>
    <row r="65" spans="1:69" x14ac:dyDescent="0.25">
      <c r="A65" t="s">
        <v>110</v>
      </c>
      <c r="B65">
        <v>15</v>
      </c>
      <c r="C65">
        <v>15</v>
      </c>
      <c r="D65">
        <v>15</v>
      </c>
      <c r="E65">
        <v>15</v>
      </c>
      <c r="F65">
        <v>15</v>
      </c>
      <c r="G65">
        <v>15</v>
      </c>
      <c r="H65">
        <v>15</v>
      </c>
      <c r="I65">
        <v>15</v>
      </c>
      <c r="J65">
        <v>15</v>
      </c>
      <c r="K65">
        <v>15</v>
      </c>
      <c r="L65">
        <v>15</v>
      </c>
      <c r="M65">
        <v>15</v>
      </c>
      <c r="N65">
        <v>15</v>
      </c>
      <c r="O65">
        <v>15</v>
      </c>
      <c r="P65">
        <v>15</v>
      </c>
      <c r="Q65">
        <v>15</v>
      </c>
      <c r="R65">
        <v>15</v>
      </c>
      <c r="S65">
        <v>15</v>
      </c>
      <c r="T65">
        <v>15</v>
      </c>
      <c r="U65">
        <v>15</v>
      </c>
      <c r="V65">
        <v>15</v>
      </c>
      <c r="W65">
        <v>15</v>
      </c>
      <c r="X65">
        <v>15</v>
      </c>
      <c r="Y65">
        <v>15</v>
      </c>
      <c r="Z65">
        <v>15</v>
      </c>
      <c r="AA65">
        <v>15</v>
      </c>
      <c r="AB65">
        <v>15</v>
      </c>
      <c r="AC65">
        <v>15</v>
      </c>
      <c r="AD65">
        <v>15</v>
      </c>
      <c r="AE65">
        <v>15</v>
      </c>
      <c r="AF65">
        <v>15</v>
      </c>
      <c r="AG65">
        <v>15</v>
      </c>
      <c r="AH65">
        <v>15</v>
      </c>
      <c r="AI65">
        <v>15</v>
      </c>
      <c r="AJ65">
        <v>15</v>
      </c>
      <c r="AK65">
        <v>15</v>
      </c>
      <c r="AL65">
        <v>15</v>
      </c>
      <c r="AM65">
        <v>15</v>
      </c>
      <c r="AN65">
        <v>15</v>
      </c>
      <c r="AO65">
        <v>15</v>
      </c>
      <c r="AP65">
        <v>15</v>
      </c>
      <c r="AQ65">
        <v>15</v>
      </c>
      <c r="AR65">
        <v>15</v>
      </c>
      <c r="AS65">
        <v>15</v>
      </c>
      <c r="AT65">
        <v>15</v>
      </c>
      <c r="AU65">
        <v>15</v>
      </c>
      <c r="AV65">
        <v>15</v>
      </c>
      <c r="AW65">
        <v>15</v>
      </c>
      <c r="AX65">
        <v>15</v>
      </c>
      <c r="AY65">
        <v>15</v>
      </c>
      <c r="AZ65">
        <v>15</v>
      </c>
      <c r="BA65">
        <v>15</v>
      </c>
      <c r="BB65">
        <v>15</v>
      </c>
      <c r="BC65">
        <v>15</v>
      </c>
      <c r="BD65">
        <v>15</v>
      </c>
      <c r="BE65">
        <v>15</v>
      </c>
      <c r="BF65">
        <v>15</v>
      </c>
      <c r="BG65">
        <v>15</v>
      </c>
      <c r="BH65">
        <v>15</v>
      </c>
      <c r="BI65">
        <v>15</v>
      </c>
      <c r="BJ65">
        <v>15</v>
      </c>
      <c r="BK65">
        <v>15</v>
      </c>
      <c r="BL65">
        <v>15</v>
      </c>
      <c r="BM65">
        <v>15</v>
      </c>
      <c r="BN65">
        <v>15</v>
      </c>
      <c r="BO65">
        <v>15</v>
      </c>
      <c r="BP65">
        <v>15</v>
      </c>
      <c r="BQ65">
        <v>15</v>
      </c>
    </row>
    <row r="66" spans="1:69" x14ac:dyDescent="0.25">
      <c r="A66" t="s">
        <v>45</v>
      </c>
      <c r="B66">
        <v>0.86699999999999999</v>
      </c>
      <c r="C66">
        <v>0.875</v>
      </c>
      <c r="D66">
        <v>0.86799999999999999</v>
      </c>
      <c r="E66">
        <v>0.85399999999999998</v>
      </c>
      <c r="F66">
        <v>0.85399999999999998</v>
      </c>
      <c r="G66">
        <v>0.86699999999999999</v>
      </c>
      <c r="H66">
        <v>0.84099999999999997</v>
      </c>
      <c r="I66">
        <v>0.85799999999999998</v>
      </c>
      <c r="J66">
        <v>0.85199999999999998</v>
      </c>
      <c r="K66">
        <v>0.86499999999999999</v>
      </c>
      <c r="L66">
        <v>0.86499999999999999</v>
      </c>
      <c r="M66">
        <v>0.85299999999999998</v>
      </c>
      <c r="N66">
        <v>0.85499999999999998</v>
      </c>
      <c r="O66">
        <v>0.85599999999999998</v>
      </c>
      <c r="P66">
        <v>0.872</v>
      </c>
      <c r="Q66">
        <v>0.89700000000000002</v>
      </c>
      <c r="R66">
        <v>0.88</v>
      </c>
      <c r="S66">
        <v>0.91800000000000004</v>
      </c>
      <c r="T66">
        <v>0.96699999999999997</v>
      </c>
      <c r="U66">
        <v>0.98</v>
      </c>
      <c r="V66">
        <v>0.95299999999999996</v>
      </c>
      <c r="W66">
        <v>0.94299999999999995</v>
      </c>
      <c r="X66">
        <v>0.91400000000000003</v>
      </c>
      <c r="Y66">
        <v>0.90800000000000003</v>
      </c>
      <c r="Z66">
        <v>0.91300000000000003</v>
      </c>
      <c r="AA66">
        <v>0.91800000000000004</v>
      </c>
      <c r="AB66">
        <v>0.92300000000000004</v>
      </c>
      <c r="AC66">
        <v>0.92600000000000005</v>
      </c>
      <c r="AD66">
        <v>0.93200000000000005</v>
      </c>
      <c r="AE66">
        <v>0.91400000000000003</v>
      </c>
      <c r="AF66">
        <v>0.93300000000000005</v>
      </c>
      <c r="AG66">
        <v>0.91300000000000003</v>
      </c>
      <c r="AH66">
        <v>0.92700000000000005</v>
      </c>
      <c r="AI66">
        <v>0.93700000000000006</v>
      </c>
      <c r="AJ66">
        <v>0.94099999999999995</v>
      </c>
      <c r="AK66">
        <v>0.93100000000000005</v>
      </c>
      <c r="AL66">
        <v>0.91300000000000003</v>
      </c>
      <c r="AM66">
        <v>0.90200000000000002</v>
      </c>
      <c r="AN66">
        <v>0.92700000000000005</v>
      </c>
      <c r="AO66">
        <v>0.91700000000000004</v>
      </c>
      <c r="AP66">
        <v>0.91100000000000003</v>
      </c>
      <c r="AQ66">
        <v>0.93400000000000005</v>
      </c>
      <c r="AR66">
        <v>0.93300000000000005</v>
      </c>
      <c r="AS66">
        <v>0.92900000000000005</v>
      </c>
      <c r="AT66">
        <v>0.93799999999999994</v>
      </c>
      <c r="AU66">
        <v>0.97199999999999998</v>
      </c>
      <c r="AV66">
        <v>1.032</v>
      </c>
      <c r="AW66">
        <v>0.997</v>
      </c>
      <c r="AX66">
        <v>0.96499999999999997</v>
      </c>
      <c r="AY66">
        <v>0.996</v>
      </c>
      <c r="AZ66">
        <v>0.95799999999999996</v>
      </c>
      <c r="BA66">
        <v>0.94699999999999995</v>
      </c>
      <c r="BB66">
        <v>0.92</v>
      </c>
      <c r="BC66">
        <v>0.91300000000000003</v>
      </c>
      <c r="BD66">
        <v>0.878</v>
      </c>
      <c r="BE66">
        <v>0.876</v>
      </c>
      <c r="BF66">
        <v>0.88800000000000001</v>
      </c>
      <c r="BG66">
        <v>0.872</v>
      </c>
      <c r="BH66">
        <v>0.86</v>
      </c>
      <c r="BI66">
        <v>0.84699999999999998</v>
      </c>
      <c r="BJ66">
        <v>0.84099999999999997</v>
      </c>
      <c r="BK66">
        <v>0.83799999999999997</v>
      </c>
      <c r="BL66">
        <v>0.82</v>
      </c>
      <c r="BM66">
        <v>0.82599999999999996</v>
      </c>
      <c r="BN66">
        <v>0.85299999999999998</v>
      </c>
      <c r="BO66">
        <v>0.83699999999999997</v>
      </c>
      <c r="BP66">
        <v>0.82399999999999995</v>
      </c>
      <c r="BQ66">
        <v>0.82199999999999995</v>
      </c>
    </row>
    <row r="67" spans="1:69" x14ac:dyDescent="0.25">
      <c r="A67" t="s">
        <v>134</v>
      </c>
      <c r="B67">
        <v>16.131</v>
      </c>
      <c r="C67">
        <v>16.356000000000002</v>
      </c>
      <c r="D67">
        <v>16.521999999999998</v>
      </c>
      <c r="E67">
        <v>16.457000000000001</v>
      </c>
      <c r="F67">
        <v>16.501000000000001</v>
      </c>
      <c r="G67">
        <v>16.675000000000001</v>
      </c>
      <c r="H67">
        <v>15.827</v>
      </c>
      <c r="I67">
        <v>16.433</v>
      </c>
      <c r="J67">
        <v>16.890999999999998</v>
      </c>
      <c r="K67">
        <v>17.085999999999999</v>
      </c>
      <c r="L67">
        <v>17.312000000000001</v>
      </c>
      <c r="M67">
        <v>17.445</v>
      </c>
      <c r="N67">
        <v>17.523</v>
      </c>
      <c r="O67">
        <v>17.911999999999999</v>
      </c>
      <c r="P67">
        <v>17.712</v>
      </c>
      <c r="Q67">
        <v>18.420999999999999</v>
      </c>
      <c r="R67">
        <v>19.183</v>
      </c>
      <c r="S67">
        <v>18.373999999999999</v>
      </c>
      <c r="T67">
        <v>18.533000000000001</v>
      </c>
      <c r="U67">
        <v>19.071999999999999</v>
      </c>
      <c r="V67">
        <v>17.757000000000001</v>
      </c>
      <c r="W67">
        <v>18.071000000000002</v>
      </c>
      <c r="X67">
        <v>17.463000000000001</v>
      </c>
      <c r="Y67">
        <v>17.931999999999999</v>
      </c>
      <c r="Z67">
        <v>18.149999999999999</v>
      </c>
      <c r="AA67">
        <v>17.96</v>
      </c>
      <c r="AB67">
        <v>18.466999999999999</v>
      </c>
      <c r="AC67">
        <v>18.298999999999999</v>
      </c>
      <c r="AD67">
        <v>18.733000000000001</v>
      </c>
      <c r="AE67">
        <v>18.64</v>
      </c>
      <c r="AF67">
        <v>19.055</v>
      </c>
      <c r="AG67">
        <v>18.649999999999999</v>
      </c>
      <c r="AH67">
        <v>19.035</v>
      </c>
      <c r="AI67">
        <v>18.785</v>
      </c>
      <c r="AJ67">
        <v>18.826000000000001</v>
      </c>
      <c r="AK67">
        <v>18.824000000000002</v>
      </c>
      <c r="AL67">
        <v>18.925999999999998</v>
      </c>
      <c r="AM67">
        <v>18.244</v>
      </c>
      <c r="AN67">
        <v>18.591999999999999</v>
      </c>
      <c r="AO67">
        <v>19.242000000000001</v>
      </c>
      <c r="AP67">
        <v>18.363</v>
      </c>
      <c r="AQ67">
        <v>18.198</v>
      </c>
      <c r="AR67">
        <v>17.84</v>
      </c>
      <c r="AS67">
        <v>16.960999999999999</v>
      </c>
      <c r="AT67">
        <v>17.350999999999999</v>
      </c>
      <c r="AU67">
        <v>17.285</v>
      </c>
      <c r="AV67">
        <v>18.266999999999999</v>
      </c>
      <c r="AW67">
        <v>17.346</v>
      </c>
      <c r="AX67">
        <v>16.141999999999999</v>
      </c>
      <c r="AY67">
        <v>16.997</v>
      </c>
      <c r="AZ67">
        <v>16.134</v>
      </c>
      <c r="BA67">
        <v>16.058</v>
      </c>
      <c r="BB67">
        <v>14.504</v>
      </c>
      <c r="BC67">
        <v>15.023</v>
      </c>
      <c r="BD67">
        <v>15.112</v>
      </c>
      <c r="BE67">
        <v>15.377000000000001</v>
      </c>
      <c r="BF67">
        <v>16.152999999999999</v>
      </c>
      <c r="BG67">
        <v>15.255000000000001</v>
      </c>
      <c r="BH67">
        <v>15.146000000000001</v>
      </c>
      <c r="BI67">
        <v>14.137</v>
      </c>
      <c r="BJ67">
        <v>14.606</v>
      </c>
      <c r="BK67">
        <v>14.24</v>
      </c>
      <c r="BL67">
        <v>13.733000000000001</v>
      </c>
      <c r="BM67">
        <v>14.356</v>
      </c>
      <c r="BN67">
        <v>14.935</v>
      </c>
      <c r="BO67">
        <v>14.93</v>
      </c>
      <c r="BP67">
        <v>14.628</v>
      </c>
      <c r="BQ67">
        <v>15.241</v>
      </c>
    </row>
    <row r="68" spans="1:69" x14ac:dyDescent="0.25">
      <c r="A68" t="s">
        <v>112</v>
      </c>
      <c r="B68">
        <v>159.98400000000001</v>
      </c>
      <c r="C68">
        <v>158.91200000000001</v>
      </c>
      <c r="D68">
        <v>158.44800000000001</v>
      </c>
      <c r="E68">
        <v>156.62</v>
      </c>
      <c r="F68">
        <v>156.476</v>
      </c>
      <c r="G68">
        <v>155.66499999999999</v>
      </c>
      <c r="H68">
        <v>155.15799999999999</v>
      </c>
      <c r="I68">
        <v>154.83799999999999</v>
      </c>
      <c r="J68">
        <v>153.767</v>
      </c>
      <c r="K68">
        <v>151.92400000000001</v>
      </c>
      <c r="L68">
        <v>146.41999999999999</v>
      </c>
      <c r="M68">
        <v>141.95099999999999</v>
      </c>
      <c r="N68">
        <v>138.58699999999999</v>
      </c>
      <c r="O68">
        <v>135.935</v>
      </c>
      <c r="P68">
        <v>134.42400000000001</v>
      </c>
      <c r="Q68">
        <v>131.25299999999999</v>
      </c>
      <c r="R68">
        <v>129.43600000000001</v>
      </c>
      <c r="S68">
        <v>128.15199999999999</v>
      </c>
      <c r="T68">
        <v>126.491</v>
      </c>
      <c r="U68">
        <v>126.23</v>
      </c>
      <c r="V68">
        <v>125.002</v>
      </c>
      <c r="W68">
        <v>121.1</v>
      </c>
      <c r="X68">
        <v>116.723</v>
      </c>
      <c r="Y68">
        <v>109.749</v>
      </c>
      <c r="Z68">
        <v>101.20099999999999</v>
      </c>
      <c r="AA68">
        <v>57.402000000000001</v>
      </c>
      <c r="AB68">
        <v>57.164999999999999</v>
      </c>
      <c r="AC68">
        <v>56.963000000000001</v>
      </c>
      <c r="AD68">
        <v>56.823</v>
      </c>
      <c r="AE68">
        <v>56.531999999999996</v>
      </c>
      <c r="AF68">
        <v>56.292000000000002</v>
      </c>
      <c r="AG68">
        <v>56.008000000000003</v>
      </c>
      <c r="AH68">
        <v>55.777000000000001</v>
      </c>
      <c r="AI68">
        <v>55.606999999999999</v>
      </c>
      <c r="AJ68">
        <v>55.293999999999997</v>
      </c>
      <c r="AK68">
        <v>55.088000000000001</v>
      </c>
      <c r="AL68">
        <v>54.877000000000002</v>
      </c>
      <c r="AM68">
        <v>54.66</v>
      </c>
      <c r="AN68">
        <v>54.457999999999998</v>
      </c>
      <c r="AO68">
        <v>54.134</v>
      </c>
      <c r="AP68">
        <v>53.96</v>
      </c>
      <c r="AQ68">
        <v>53.726999999999997</v>
      </c>
      <c r="AR68">
        <v>53.514000000000003</v>
      </c>
      <c r="AS68">
        <v>53.335000000000001</v>
      </c>
      <c r="AT68">
        <v>53.173999999999999</v>
      </c>
      <c r="AU68">
        <v>52.917000000000002</v>
      </c>
      <c r="AV68">
        <v>52.673999999999999</v>
      </c>
      <c r="AW68">
        <v>52.517000000000003</v>
      </c>
      <c r="AX68">
        <v>52.216000000000001</v>
      </c>
      <c r="AY68">
        <v>51.999000000000002</v>
      </c>
      <c r="AZ68">
        <v>51.694000000000003</v>
      </c>
      <c r="BA68">
        <v>51.457000000000001</v>
      </c>
      <c r="BB68">
        <v>51.095999999999997</v>
      </c>
      <c r="BC68">
        <v>50.828000000000003</v>
      </c>
      <c r="BD68">
        <v>50.262</v>
      </c>
      <c r="BE68">
        <v>49.359000000000002</v>
      </c>
      <c r="BF68">
        <v>47.478999999999999</v>
      </c>
      <c r="BG68">
        <v>46.505000000000003</v>
      </c>
      <c r="BH68">
        <v>45.981999999999999</v>
      </c>
      <c r="BI68">
        <v>45.332000000000001</v>
      </c>
      <c r="BJ68">
        <v>44.183999999999997</v>
      </c>
      <c r="BK68">
        <v>43.597000000000001</v>
      </c>
      <c r="BL68">
        <v>43.173999999999999</v>
      </c>
      <c r="BM68">
        <v>41.914999999999999</v>
      </c>
      <c r="BN68">
        <v>40.832999999999998</v>
      </c>
      <c r="BO68">
        <v>39.950000000000003</v>
      </c>
      <c r="BP68">
        <v>39.347000000000001</v>
      </c>
      <c r="BQ68">
        <v>39.091999999999999</v>
      </c>
    </row>
    <row r="69" spans="1:69" x14ac:dyDescent="0.25">
      <c r="A69" t="s">
        <v>115</v>
      </c>
      <c r="B69">
        <v>2.2160000000000002</v>
      </c>
      <c r="C69">
        <v>2.2330000000000001</v>
      </c>
      <c r="D69">
        <v>2.2080000000000002</v>
      </c>
      <c r="E69">
        <v>2.1840000000000002</v>
      </c>
      <c r="F69">
        <v>2.2120000000000002</v>
      </c>
      <c r="G69">
        <v>2.1949999999999998</v>
      </c>
      <c r="H69">
        <v>2.1949999999999998</v>
      </c>
      <c r="I69">
        <v>2.2570000000000001</v>
      </c>
      <c r="J69">
        <v>2.2589999999999999</v>
      </c>
      <c r="K69">
        <v>2.27</v>
      </c>
      <c r="L69">
        <v>2.25</v>
      </c>
      <c r="M69">
        <v>2.2400000000000002</v>
      </c>
      <c r="N69">
        <v>2.2400000000000002</v>
      </c>
      <c r="O69">
        <v>2.23</v>
      </c>
      <c r="P69">
        <v>2.2400000000000002</v>
      </c>
      <c r="Q69">
        <v>2.2599999999999998</v>
      </c>
      <c r="R69">
        <v>2.31</v>
      </c>
      <c r="S69">
        <v>2.29</v>
      </c>
      <c r="T69">
        <v>2.3199999999999998</v>
      </c>
      <c r="U69">
        <v>2.33</v>
      </c>
      <c r="V69">
        <v>2.25</v>
      </c>
      <c r="W69">
        <v>2.23</v>
      </c>
      <c r="X69">
        <v>2.2000000000000002</v>
      </c>
      <c r="Y69">
        <v>2.2200000000000002</v>
      </c>
      <c r="Z69">
        <v>2.2599999999999998</v>
      </c>
      <c r="AA69">
        <v>2.2400000000000002</v>
      </c>
      <c r="AB69">
        <v>2.2400000000000002</v>
      </c>
      <c r="AC69">
        <v>2.2599999999999998</v>
      </c>
      <c r="AD69">
        <v>2.2599999999999998</v>
      </c>
      <c r="AE69">
        <v>2.2400000000000002</v>
      </c>
      <c r="AF69">
        <v>2.2599999999999998</v>
      </c>
      <c r="AG69">
        <v>2.2000000000000002</v>
      </c>
      <c r="AH69">
        <v>2.2400000000000002</v>
      </c>
      <c r="AI69">
        <v>2.27</v>
      </c>
      <c r="AJ69">
        <v>2.2799999999999998</v>
      </c>
      <c r="AK69">
        <v>2.27</v>
      </c>
      <c r="AL69">
        <v>2.23</v>
      </c>
      <c r="AM69">
        <v>2.2200000000000002</v>
      </c>
      <c r="AN69">
        <v>2.2400000000000002</v>
      </c>
      <c r="AO69">
        <v>2.19</v>
      </c>
      <c r="AP69">
        <v>2.19</v>
      </c>
      <c r="AQ69">
        <v>2.2200000000000002</v>
      </c>
      <c r="AR69">
        <v>2.13</v>
      </c>
      <c r="AS69">
        <v>2.16</v>
      </c>
      <c r="AT69">
        <v>2.2000000000000002</v>
      </c>
      <c r="AU69">
        <v>2.2999999999999998</v>
      </c>
      <c r="AV69">
        <v>2.2999999999999998</v>
      </c>
      <c r="AW69">
        <v>2.23</v>
      </c>
      <c r="AX69">
        <v>2.1800000000000002</v>
      </c>
      <c r="AY69">
        <v>2.1800000000000002</v>
      </c>
      <c r="AZ69">
        <v>2.14</v>
      </c>
      <c r="BA69">
        <v>2.16</v>
      </c>
      <c r="BB69">
        <v>2.1</v>
      </c>
      <c r="BC69">
        <v>2.1</v>
      </c>
      <c r="BD69">
        <v>2.13</v>
      </c>
      <c r="BE69">
        <v>2.1</v>
      </c>
      <c r="BF69">
        <v>2.08</v>
      </c>
      <c r="BG69">
        <v>2.06</v>
      </c>
      <c r="BH69">
        <v>2.09</v>
      </c>
      <c r="BI69">
        <v>2.1</v>
      </c>
      <c r="BJ69">
        <v>2.06</v>
      </c>
      <c r="BK69">
        <v>2.0299999999999998</v>
      </c>
      <c r="BL69">
        <v>2.0299999999999998</v>
      </c>
      <c r="BM69">
        <v>2.0299999999999998</v>
      </c>
      <c r="BN69">
        <v>2.0499999999999998</v>
      </c>
      <c r="BO69">
        <v>2.02</v>
      </c>
      <c r="BP69">
        <v>2.04</v>
      </c>
      <c r="BQ69">
        <v>2.04</v>
      </c>
    </row>
    <row r="70" spans="1:69" x14ac:dyDescent="0.25">
      <c r="A70" t="s">
        <v>45</v>
      </c>
      <c r="B70">
        <v>0.86699999999999999</v>
      </c>
      <c r="C70">
        <v>0.875</v>
      </c>
      <c r="D70">
        <v>0.86799999999999999</v>
      </c>
      <c r="E70">
        <v>0.85399999999999998</v>
      </c>
      <c r="F70">
        <v>0.85399999999999998</v>
      </c>
      <c r="G70">
        <v>0.86699999999999999</v>
      </c>
      <c r="H70">
        <v>0.84099999999999997</v>
      </c>
      <c r="I70">
        <v>0.85799999999999998</v>
      </c>
      <c r="J70">
        <v>0.85199999999999998</v>
      </c>
      <c r="K70">
        <v>0.86499999999999999</v>
      </c>
      <c r="L70">
        <v>0.86499999999999999</v>
      </c>
      <c r="M70">
        <v>0.85299999999999998</v>
      </c>
      <c r="N70">
        <v>0.85499999999999998</v>
      </c>
      <c r="O70">
        <v>0.85599999999999998</v>
      </c>
      <c r="P70">
        <v>0.872</v>
      </c>
      <c r="Q70">
        <v>0.89700000000000002</v>
      </c>
      <c r="R70">
        <v>0.88</v>
      </c>
      <c r="S70">
        <v>0.91800000000000004</v>
      </c>
      <c r="T70">
        <v>0.96699999999999997</v>
      </c>
      <c r="U70">
        <v>0.98</v>
      </c>
      <c r="V70">
        <v>0.95299999999999996</v>
      </c>
      <c r="W70">
        <v>0.94299999999999995</v>
      </c>
      <c r="X70">
        <v>0.91400000000000003</v>
      </c>
      <c r="Y70">
        <v>0.90800000000000003</v>
      </c>
      <c r="Z70">
        <v>0.91300000000000003</v>
      </c>
      <c r="AA70">
        <v>0.91800000000000004</v>
      </c>
      <c r="AB70">
        <v>0.92300000000000004</v>
      </c>
      <c r="AC70">
        <v>0.92600000000000005</v>
      </c>
      <c r="AD70">
        <v>0.93200000000000005</v>
      </c>
      <c r="AE70">
        <v>0.91400000000000003</v>
      </c>
      <c r="AF70">
        <v>0.93300000000000005</v>
      </c>
      <c r="AG70">
        <v>0.91300000000000003</v>
      </c>
      <c r="AH70">
        <v>0.92700000000000005</v>
      </c>
      <c r="AI70">
        <v>0.93700000000000006</v>
      </c>
      <c r="AJ70">
        <v>0.94099999999999995</v>
      </c>
      <c r="AK70">
        <v>0.93100000000000005</v>
      </c>
      <c r="AL70">
        <v>0.91300000000000003</v>
      </c>
      <c r="AM70">
        <v>0.90200000000000002</v>
      </c>
      <c r="AN70">
        <v>0.92700000000000005</v>
      </c>
      <c r="AO70">
        <v>0.91700000000000004</v>
      </c>
      <c r="AP70">
        <v>0.91100000000000003</v>
      </c>
      <c r="AQ70">
        <v>0.93400000000000005</v>
      </c>
      <c r="AR70">
        <v>0.93300000000000005</v>
      </c>
      <c r="AS70">
        <v>0.92900000000000005</v>
      </c>
      <c r="AT70">
        <v>0.93799999999999994</v>
      </c>
      <c r="AU70">
        <v>0.97199999999999998</v>
      </c>
      <c r="AV70">
        <v>1.032</v>
      </c>
      <c r="AW70">
        <v>0.997</v>
      </c>
      <c r="AX70">
        <v>0.96499999999999997</v>
      </c>
      <c r="AY70">
        <v>0.996</v>
      </c>
      <c r="AZ70">
        <v>0.95799999999999996</v>
      </c>
      <c r="BA70">
        <v>0.94699999999999995</v>
      </c>
      <c r="BB70">
        <v>0.92</v>
      </c>
      <c r="BC70">
        <v>0.91300000000000003</v>
      </c>
      <c r="BD70">
        <v>0.878</v>
      </c>
      <c r="BE70">
        <v>0.876</v>
      </c>
      <c r="BF70">
        <v>0.88800000000000001</v>
      </c>
      <c r="BG70">
        <v>0.872</v>
      </c>
      <c r="BH70">
        <v>0.86</v>
      </c>
      <c r="BI70">
        <v>0.84699999999999998</v>
      </c>
      <c r="BJ70">
        <v>0.84099999999999997</v>
      </c>
      <c r="BK70">
        <v>0.83799999999999997</v>
      </c>
      <c r="BL70">
        <v>0.82</v>
      </c>
      <c r="BM70">
        <v>0.82599999999999996</v>
      </c>
      <c r="BN70">
        <v>0.85299999999999998</v>
      </c>
      <c r="BO70">
        <v>0.83699999999999997</v>
      </c>
      <c r="BP70">
        <v>0.82399999999999995</v>
      </c>
      <c r="BQ70">
        <v>0.82199999999999995</v>
      </c>
    </row>
    <row r="71" spans="1:69" x14ac:dyDescent="0.25">
      <c r="A71" t="s">
        <v>45</v>
      </c>
      <c r="B71">
        <v>0.86699999999999999</v>
      </c>
      <c r="C71">
        <v>0.875</v>
      </c>
      <c r="D71">
        <v>0.86799999999999999</v>
      </c>
      <c r="E71">
        <v>0.85399999999999998</v>
      </c>
      <c r="F71">
        <v>0.85399999999999998</v>
      </c>
      <c r="G71">
        <v>0.86699999999999999</v>
      </c>
      <c r="H71">
        <v>0.84099999999999997</v>
      </c>
      <c r="I71">
        <v>0.85799999999999998</v>
      </c>
      <c r="J71">
        <v>0.85199999999999998</v>
      </c>
      <c r="K71">
        <v>0.86499999999999999</v>
      </c>
      <c r="L71">
        <v>0.86499999999999999</v>
      </c>
      <c r="M71">
        <v>0.85299999999999998</v>
      </c>
      <c r="N71">
        <v>0.85499999999999998</v>
      </c>
      <c r="O71">
        <v>0.85599999999999998</v>
      </c>
      <c r="P71">
        <v>0.872</v>
      </c>
      <c r="Q71">
        <v>0.89700000000000002</v>
      </c>
      <c r="R71">
        <v>0.88</v>
      </c>
      <c r="S71">
        <v>0.91800000000000004</v>
      </c>
      <c r="T71">
        <v>0.96699999999999997</v>
      </c>
      <c r="U71">
        <v>0.98</v>
      </c>
      <c r="V71">
        <v>0.95299999999999996</v>
      </c>
      <c r="W71">
        <v>0.94299999999999995</v>
      </c>
      <c r="X71">
        <v>0.91400000000000003</v>
      </c>
      <c r="Y71">
        <v>0.90800000000000003</v>
      </c>
      <c r="Z71">
        <v>0.91300000000000003</v>
      </c>
      <c r="AA71">
        <v>0.91800000000000004</v>
      </c>
      <c r="AB71">
        <v>0.92300000000000004</v>
      </c>
      <c r="AC71">
        <v>0.92600000000000005</v>
      </c>
      <c r="AD71">
        <v>0.93200000000000005</v>
      </c>
      <c r="AE71">
        <v>0.91400000000000003</v>
      </c>
      <c r="AF71">
        <v>0.93300000000000005</v>
      </c>
      <c r="AG71">
        <v>0.91300000000000003</v>
      </c>
      <c r="AH71">
        <v>0.92700000000000005</v>
      </c>
      <c r="AI71">
        <v>0.93700000000000006</v>
      </c>
      <c r="AJ71">
        <v>0.94099999999999995</v>
      </c>
      <c r="AK71">
        <v>0.93100000000000005</v>
      </c>
      <c r="AL71">
        <v>0.91300000000000003</v>
      </c>
      <c r="AM71">
        <v>0.90200000000000002</v>
      </c>
      <c r="AN71">
        <v>0.92700000000000005</v>
      </c>
      <c r="AO71">
        <v>0.91700000000000004</v>
      </c>
      <c r="AP71">
        <v>0.91100000000000003</v>
      </c>
      <c r="AQ71">
        <v>0.93400000000000005</v>
      </c>
      <c r="AR71">
        <v>0.93300000000000005</v>
      </c>
      <c r="AS71">
        <v>0.92900000000000005</v>
      </c>
      <c r="AT71">
        <v>0.93799999999999994</v>
      </c>
      <c r="AU71">
        <v>0.97199999999999998</v>
      </c>
      <c r="AV71">
        <v>1.032</v>
      </c>
      <c r="AW71">
        <v>0.997</v>
      </c>
      <c r="AX71">
        <v>0.96499999999999997</v>
      </c>
      <c r="AY71">
        <v>0.996</v>
      </c>
      <c r="AZ71">
        <v>0.95799999999999996</v>
      </c>
      <c r="BA71">
        <v>0.94699999999999995</v>
      </c>
      <c r="BB71">
        <v>0.92</v>
      </c>
      <c r="BC71">
        <v>0.91300000000000003</v>
      </c>
      <c r="BD71">
        <v>0.878</v>
      </c>
      <c r="BE71">
        <v>0.876</v>
      </c>
      <c r="BF71">
        <v>0.88800000000000001</v>
      </c>
      <c r="BG71">
        <v>0.872</v>
      </c>
      <c r="BH71">
        <v>0.86</v>
      </c>
      <c r="BI71">
        <v>0.84699999999999998</v>
      </c>
      <c r="BJ71">
        <v>0.84099999999999997</v>
      </c>
      <c r="BK71">
        <v>0.83799999999999997</v>
      </c>
      <c r="BL71">
        <v>0.82</v>
      </c>
      <c r="BM71">
        <v>0.82599999999999996</v>
      </c>
      <c r="BN71">
        <v>0.85299999999999998</v>
      </c>
      <c r="BO71">
        <v>0.83699999999999997</v>
      </c>
      <c r="BP71">
        <v>0.82399999999999995</v>
      </c>
      <c r="BQ71">
        <v>0.82199999999999995</v>
      </c>
    </row>
    <row r="72" spans="1:69" x14ac:dyDescent="0.25">
      <c r="A72" t="s">
        <v>45</v>
      </c>
      <c r="B72">
        <v>0.86699999999999999</v>
      </c>
      <c r="C72">
        <v>0.875</v>
      </c>
      <c r="D72">
        <v>0.86799999999999999</v>
      </c>
      <c r="E72">
        <v>0.85399999999999998</v>
      </c>
      <c r="F72">
        <v>0.85399999999999998</v>
      </c>
      <c r="G72">
        <v>0.86699999999999999</v>
      </c>
      <c r="H72">
        <v>0.84099999999999997</v>
      </c>
      <c r="I72">
        <v>0.85799999999999998</v>
      </c>
      <c r="J72">
        <v>0.85199999999999998</v>
      </c>
      <c r="K72">
        <v>0.86499999999999999</v>
      </c>
      <c r="L72">
        <v>0.86499999999999999</v>
      </c>
      <c r="M72">
        <v>0.85299999999999998</v>
      </c>
      <c r="N72">
        <v>0.85499999999999998</v>
      </c>
      <c r="O72">
        <v>0.85599999999999998</v>
      </c>
      <c r="P72">
        <v>0.872</v>
      </c>
      <c r="Q72">
        <v>0.89700000000000002</v>
      </c>
      <c r="R72">
        <v>0.88</v>
      </c>
      <c r="S72">
        <v>0.91800000000000004</v>
      </c>
      <c r="T72">
        <v>0.96699999999999997</v>
      </c>
      <c r="U72">
        <v>0.98</v>
      </c>
      <c r="V72">
        <v>0.95299999999999996</v>
      </c>
      <c r="W72">
        <v>0.94299999999999995</v>
      </c>
      <c r="X72">
        <v>0.91400000000000003</v>
      </c>
      <c r="Y72">
        <v>0.90800000000000003</v>
      </c>
      <c r="Z72">
        <v>0.91300000000000003</v>
      </c>
      <c r="AA72">
        <v>0.91800000000000004</v>
      </c>
      <c r="AB72">
        <v>0.92300000000000004</v>
      </c>
      <c r="AC72">
        <v>0.92600000000000005</v>
      </c>
      <c r="AD72">
        <v>0.93200000000000005</v>
      </c>
      <c r="AE72">
        <v>0.91400000000000003</v>
      </c>
      <c r="AF72">
        <v>0.93300000000000005</v>
      </c>
      <c r="AG72">
        <v>0.91300000000000003</v>
      </c>
      <c r="AH72">
        <v>0.92700000000000005</v>
      </c>
      <c r="AI72">
        <v>0.93700000000000006</v>
      </c>
      <c r="AJ72">
        <v>0.94099999999999995</v>
      </c>
      <c r="AK72">
        <v>0.93100000000000005</v>
      </c>
      <c r="AL72">
        <v>0.91300000000000003</v>
      </c>
      <c r="AM72">
        <v>0.90200000000000002</v>
      </c>
      <c r="AN72">
        <v>0.92700000000000005</v>
      </c>
      <c r="AO72">
        <v>0.91700000000000004</v>
      </c>
      <c r="AP72">
        <v>0.91100000000000003</v>
      </c>
      <c r="AQ72">
        <v>0.93400000000000005</v>
      </c>
      <c r="AR72">
        <v>0.93300000000000005</v>
      </c>
      <c r="AS72">
        <v>0.92900000000000005</v>
      </c>
      <c r="AT72">
        <v>0.93799999999999994</v>
      </c>
      <c r="AU72">
        <v>0.97199999999999998</v>
      </c>
      <c r="AV72">
        <v>1.032</v>
      </c>
      <c r="AW72">
        <v>0.997</v>
      </c>
      <c r="AX72">
        <v>0.96499999999999997</v>
      </c>
      <c r="AY72">
        <v>0.996</v>
      </c>
      <c r="AZ72">
        <v>0.95799999999999996</v>
      </c>
      <c r="BA72">
        <v>0.94699999999999995</v>
      </c>
      <c r="BB72">
        <v>0.92</v>
      </c>
      <c r="BC72">
        <v>0.91300000000000003</v>
      </c>
      <c r="BD72">
        <v>0.878</v>
      </c>
      <c r="BE72">
        <v>0.876</v>
      </c>
      <c r="BF72">
        <v>0.88800000000000001</v>
      </c>
      <c r="BG72">
        <v>0.872</v>
      </c>
      <c r="BH72">
        <v>0.86</v>
      </c>
      <c r="BI72">
        <v>0.84699999999999998</v>
      </c>
      <c r="BJ72">
        <v>0.84099999999999997</v>
      </c>
      <c r="BK72">
        <v>0.83799999999999997</v>
      </c>
      <c r="BL72">
        <v>0.82</v>
      </c>
      <c r="BM72">
        <v>0.82599999999999996</v>
      </c>
      <c r="BN72">
        <v>0.85299999999999998</v>
      </c>
      <c r="BO72">
        <v>0.83699999999999997</v>
      </c>
      <c r="BP72">
        <v>0.82399999999999995</v>
      </c>
      <c r="BQ72">
        <v>0.82199999999999995</v>
      </c>
    </row>
    <row r="73" spans="1:69" x14ac:dyDescent="0.25">
      <c r="A73" t="s">
        <v>247</v>
      </c>
      <c r="B73">
        <v>103.425</v>
      </c>
      <c r="C73">
        <v>104.43</v>
      </c>
      <c r="D73">
        <v>103.569</v>
      </c>
      <c r="E73">
        <v>101.90600000000001</v>
      </c>
      <c r="F73">
        <v>101.90600000000001</v>
      </c>
      <c r="G73">
        <v>103.479</v>
      </c>
      <c r="H73">
        <v>100.39700000000001</v>
      </c>
      <c r="I73">
        <v>102.431</v>
      </c>
      <c r="J73">
        <v>101.62</v>
      </c>
      <c r="K73">
        <v>103.193</v>
      </c>
      <c r="L73">
        <v>103.193</v>
      </c>
      <c r="M73">
        <v>101.75</v>
      </c>
      <c r="N73">
        <v>101.976</v>
      </c>
      <c r="O73">
        <v>102.089</v>
      </c>
      <c r="P73">
        <v>104.057</v>
      </c>
      <c r="Q73">
        <v>107.053</v>
      </c>
      <c r="R73">
        <v>105.027</v>
      </c>
      <c r="S73">
        <v>109.589</v>
      </c>
      <c r="T73">
        <v>115.352</v>
      </c>
      <c r="U73">
        <v>116.91200000000001</v>
      </c>
      <c r="V73">
        <v>113.67100000000001</v>
      </c>
      <c r="W73">
        <v>112.535</v>
      </c>
      <c r="X73">
        <v>109.089</v>
      </c>
      <c r="Y73">
        <v>108.306</v>
      </c>
      <c r="Z73">
        <v>108.919</v>
      </c>
      <c r="AA73">
        <v>109.6</v>
      </c>
      <c r="AB73">
        <v>110.146</v>
      </c>
      <c r="AC73">
        <v>110.452</v>
      </c>
      <c r="AD73">
        <v>111.182</v>
      </c>
      <c r="AE73">
        <v>109.089</v>
      </c>
      <c r="AF73">
        <v>111.286</v>
      </c>
      <c r="AG73">
        <v>108.949</v>
      </c>
      <c r="AH73">
        <v>110.605</v>
      </c>
      <c r="AI73">
        <v>111.828</v>
      </c>
      <c r="AJ73">
        <v>112.27</v>
      </c>
      <c r="AK73">
        <v>111.089</v>
      </c>
      <c r="AL73">
        <v>108.899</v>
      </c>
      <c r="AM73">
        <v>107.59399999999999</v>
      </c>
      <c r="AN73">
        <v>110.657</v>
      </c>
      <c r="AO73">
        <v>109.379</v>
      </c>
      <c r="AP73">
        <v>108.691</v>
      </c>
      <c r="AQ73">
        <v>111.42100000000001</v>
      </c>
      <c r="AR73">
        <v>111.35899999999999</v>
      </c>
      <c r="AS73">
        <v>110.842</v>
      </c>
      <c r="AT73">
        <v>111.95399999999999</v>
      </c>
      <c r="AU73">
        <v>116.003</v>
      </c>
      <c r="AV73">
        <v>123.11199999999999</v>
      </c>
      <c r="AW73">
        <v>118.93899999999999</v>
      </c>
      <c r="AX73">
        <v>115.196</v>
      </c>
      <c r="AY73">
        <v>118.86799999999999</v>
      </c>
      <c r="AZ73">
        <v>114.27</v>
      </c>
      <c r="BA73">
        <v>113.036</v>
      </c>
      <c r="BB73">
        <v>109.761</v>
      </c>
      <c r="BC73">
        <v>108.899</v>
      </c>
      <c r="BD73">
        <v>104.732</v>
      </c>
      <c r="BE73">
        <v>104.512</v>
      </c>
      <c r="BF73">
        <v>105.913</v>
      </c>
      <c r="BG73">
        <v>104.075</v>
      </c>
      <c r="BH73">
        <v>102.598</v>
      </c>
      <c r="BI73">
        <v>101.129</v>
      </c>
      <c r="BJ73">
        <v>100.372</v>
      </c>
      <c r="BK73">
        <v>100.035</v>
      </c>
      <c r="BL73">
        <v>97.820999999999998</v>
      </c>
      <c r="BM73">
        <v>98.572999999999993</v>
      </c>
      <c r="BN73">
        <v>101.819</v>
      </c>
      <c r="BO73">
        <v>99.918000000000006</v>
      </c>
      <c r="BP73">
        <v>98.320999999999998</v>
      </c>
      <c r="BQ73">
        <v>98.102999999999994</v>
      </c>
    </row>
    <row r="74" spans="1:69" x14ac:dyDescent="0.25">
      <c r="A74" t="s">
        <v>85</v>
      </c>
      <c r="B74">
        <v>568.51900000000001</v>
      </c>
      <c r="C74">
        <v>574.04100000000005</v>
      </c>
      <c r="D74">
        <v>569.30799999999999</v>
      </c>
      <c r="E74">
        <v>560.16800000000001</v>
      </c>
      <c r="F74">
        <v>560.16800000000001</v>
      </c>
      <c r="G74">
        <v>568.81500000000005</v>
      </c>
      <c r="H74">
        <v>551.87400000000002</v>
      </c>
      <c r="I74">
        <v>563.053</v>
      </c>
      <c r="J74">
        <v>558.59400000000005</v>
      </c>
      <c r="K74">
        <v>567.24099999999999</v>
      </c>
      <c r="L74">
        <v>567.24099999999999</v>
      </c>
      <c r="M74">
        <v>559.30799999999999</v>
      </c>
      <c r="N74">
        <v>560.55100000000004</v>
      </c>
      <c r="O74">
        <v>561.17499999999995</v>
      </c>
      <c r="P74">
        <v>571.98900000000003</v>
      </c>
      <c r="Q74">
        <v>588.46100000000001</v>
      </c>
      <c r="R74">
        <v>577.32500000000005</v>
      </c>
      <c r="S74">
        <v>602.40300000000002</v>
      </c>
      <c r="T74">
        <v>634.08100000000002</v>
      </c>
      <c r="U74">
        <v>642.654</v>
      </c>
      <c r="V74">
        <v>624.84</v>
      </c>
      <c r="W74">
        <v>618.59400000000005</v>
      </c>
      <c r="X74">
        <v>599.65</v>
      </c>
      <c r="Y74">
        <v>595.35</v>
      </c>
      <c r="Z74">
        <v>598.71900000000005</v>
      </c>
      <c r="AA74">
        <v>602.45899999999995</v>
      </c>
      <c r="AB74">
        <v>605.46199999999999</v>
      </c>
      <c r="AC74">
        <v>607.14300000000003</v>
      </c>
      <c r="AD74">
        <v>611.15899999999999</v>
      </c>
      <c r="AE74">
        <v>599.65</v>
      </c>
      <c r="AF74">
        <v>611.72900000000004</v>
      </c>
      <c r="AG74">
        <v>598.88300000000004</v>
      </c>
      <c r="AH74">
        <v>607.98699999999997</v>
      </c>
      <c r="AI74">
        <v>614.71</v>
      </c>
      <c r="AJ74">
        <v>617.13900000000001</v>
      </c>
      <c r="AK74">
        <v>610.64700000000005</v>
      </c>
      <c r="AL74">
        <v>598.61</v>
      </c>
      <c r="AM74">
        <v>591.43200000000002</v>
      </c>
      <c r="AN74">
        <v>608.26900000000001</v>
      </c>
      <c r="AO74">
        <v>601.24400000000003</v>
      </c>
      <c r="AP74">
        <v>597.46500000000003</v>
      </c>
      <c r="AQ74">
        <v>612.47199999999998</v>
      </c>
      <c r="AR74">
        <v>612.12900000000002</v>
      </c>
      <c r="AS74">
        <v>609.28599999999994</v>
      </c>
      <c r="AT74">
        <v>615.40200000000004</v>
      </c>
      <c r="AU74">
        <v>637.65599999999995</v>
      </c>
      <c r="AV74">
        <v>676.73299999999995</v>
      </c>
      <c r="AW74">
        <v>653.79899999999998</v>
      </c>
      <c r="AX74">
        <v>633.22400000000005</v>
      </c>
      <c r="AY74">
        <v>653.40899999999999</v>
      </c>
      <c r="AZ74">
        <v>628.13099999999997</v>
      </c>
      <c r="BA74">
        <v>621.34799999999996</v>
      </c>
      <c r="BB74">
        <v>603.34500000000003</v>
      </c>
      <c r="BC74">
        <v>598.61</v>
      </c>
      <c r="BD74">
        <v>575.70399999999995</v>
      </c>
      <c r="BE74">
        <v>574.49400000000003</v>
      </c>
      <c r="BF74">
        <v>582.19299999999998</v>
      </c>
      <c r="BG74">
        <v>572.08900000000006</v>
      </c>
      <c r="BH74">
        <v>563.97299999999996</v>
      </c>
      <c r="BI74">
        <v>555.89599999999996</v>
      </c>
      <c r="BJ74">
        <v>551.73400000000004</v>
      </c>
      <c r="BK74">
        <v>549.88400000000001</v>
      </c>
      <c r="BL74">
        <v>537.71400000000006</v>
      </c>
      <c r="BM74">
        <v>541.84500000000003</v>
      </c>
      <c r="BN74">
        <v>559.69000000000005</v>
      </c>
      <c r="BO74">
        <v>549.24</v>
      </c>
      <c r="BP74">
        <v>540.46100000000001</v>
      </c>
      <c r="BQ74">
        <v>539.26099999999997</v>
      </c>
    </row>
    <row r="75" spans="1:69" x14ac:dyDescent="0.25">
      <c r="A75" t="s">
        <v>122</v>
      </c>
      <c r="B75">
        <v>73.652000000000001</v>
      </c>
      <c r="C75">
        <v>72.736000000000004</v>
      </c>
      <c r="D75">
        <v>72.436999999999998</v>
      </c>
      <c r="E75">
        <v>72.924999999999997</v>
      </c>
      <c r="F75">
        <v>72.924999999999997</v>
      </c>
      <c r="G75">
        <v>72.375</v>
      </c>
      <c r="H75">
        <v>72.375</v>
      </c>
      <c r="I75">
        <v>72.7</v>
      </c>
      <c r="J75">
        <v>72.77</v>
      </c>
      <c r="K75">
        <v>72.819999999999993</v>
      </c>
      <c r="L75">
        <v>72.63</v>
      </c>
      <c r="M75">
        <v>72.05</v>
      </c>
      <c r="N75">
        <v>72</v>
      </c>
      <c r="O75">
        <v>72.11</v>
      </c>
      <c r="P75">
        <v>71.84</v>
      </c>
      <c r="Q75">
        <v>71.14</v>
      </c>
      <c r="R75">
        <v>71.11</v>
      </c>
      <c r="S75">
        <v>70.87</v>
      </c>
      <c r="T75">
        <v>70.959999999999994</v>
      </c>
      <c r="U75">
        <v>71.260000000000005</v>
      </c>
      <c r="V75">
        <v>71.19</v>
      </c>
      <c r="W75">
        <v>70.316000000000003</v>
      </c>
      <c r="X75">
        <v>69.849999999999994</v>
      </c>
      <c r="Y75">
        <v>69.86</v>
      </c>
      <c r="Z75">
        <v>68.39</v>
      </c>
      <c r="AA75">
        <v>67.75</v>
      </c>
      <c r="AB75">
        <v>67.8</v>
      </c>
      <c r="AC75">
        <v>67.7</v>
      </c>
      <c r="AD75">
        <v>67.650000000000006</v>
      </c>
      <c r="AE75">
        <v>67.97</v>
      </c>
      <c r="AF75">
        <v>67.400000000000006</v>
      </c>
      <c r="AG75">
        <v>65.2</v>
      </c>
      <c r="AH75">
        <v>63.54</v>
      </c>
      <c r="AI75">
        <v>62.28</v>
      </c>
      <c r="AJ75">
        <v>61.7</v>
      </c>
      <c r="AK75">
        <v>60.43</v>
      </c>
      <c r="AL75">
        <v>60.35</v>
      </c>
      <c r="AM75">
        <v>61.15</v>
      </c>
      <c r="AN75">
        <v>59.24</v>
      </c>
      <c r="AO75">
        <v>59.61</v>
      </c>
      <c r="AP75">
        <v>61.9</v>
      </c>
      <c r="AQ75">
        <v>61.11</v>
      </c>
      <c r="AR75">
        <v>60.87</v>
      </c>
      <c r="AS75">
        <v>61</v>
      </c>
      <c r="AT75">
        <v>61.14</v>
      </c>
      <c r="AU75">
        <v>58.97</v>
      </c>
      <c r="AV75">
        <v>56.787999999999997</v>
      </c>
      <c r="AW75">
        <v>54.49</v>
      </c>
      <c r="AX75">
        <v>53.86</v>
      </c>
      <c r="AY75">
        <v>53.85</v>
      </c>
      <c r="AZ75">
        <v>53.6</v>
      </c>
      <c r="BA75">
        <v>53.08</v>
      </c>
      <c r="BB75">
        <v>53.18</v>
      </c>
      <c r="BC75">
        <v>53.93</v>
      </c>
      <c r="BD75">
        <v>53.55</v>
      </c>
      <c r="BE75">
        <v>53.05</v>
      </c>
      <c r="BF75">
        <v>52.88</v>
      </c>
      <c r="BG75">
        <v>52.28</v>
      </c>
      <c r="BH75">
        <v>51.84</v>
      </c>
      <c r="BI75">
        <v>51.46</v>
      </c>
      <c r="BJ75">
        <v>51.16</v>
      </c>
      <c r="BK75">
        <v>51.15</v>
      </c>
      <c r="BL75">
        <v>51.16</v>
      </c>
      <c r="BM75">
        <v>51.07</v>
      </c>
      <c r="BN75">
        <v>51.07</v>
      </c>
      <c r="BO75">
        <v>51.21</v>
      </c>
      <c r="BP75">
        <v>51.35</v>
      </c>
      <c r="BQ75">
        <v>51</v>
      </c>
    </row>
    <row r="76" spans="1:69" x14ac:dyDescent="0.25">
      <c r="A76" t="s">
        <v>118</v>
      </c>
      <c r="B76">
        <v>2.5939999999999999</v>
      </c>
      <c r="C76">
        <v>2.6150000000000002</v>
      </c>
      <c r="D76">
        <v>2.63</v>
      </c>
      <c r="E76">
        <v>2.66</v>
      </c>
      <c r="F76">
        <v>2.677</v>
      </c>
      <c r="G76">
        <v>2.7010000000000001</v>
      </c>
      <c r="H76">
        <v>2.66</v>
      </c>
      <c r="I76">
        <v>2.6749999999999998</v>
      </c>
      <c r="J76">
        <v>2.6749999999999998</v>
      </c>
      <c r="K76">
        <v>2.7069999999999999</v>
      </c>
      <c r="L76">
        <v>2.7130000000000001</v>
      </c>
      <c r="M76">
        <v>2.6930000000000001</v>
      </c>
      <c r="N76">
        <v>2.6970000000000001</v>
      </c>
      <c r="O76">
        <v>2.7189999999999999</v>
      </c>
      <c r="P76">
        <v>2.7320000000000002</v>
      </c>
      <c r="Q76">
        <v>2.746</v>
      </c>
      <c r="R76">
        <v>2.758</v>
      </c>
      <c r="S76">
        <v>2.7829999999999999</v>
      </c>
      <c r="T76">
        <v>2.81</v>
      </c>
      <c r="U76">
        <v>2.84</v>
      </c>
      <c r="V76">
        <v>2.827</v>
      </c>
      <c r="W76">
        <v>2.7330000000000001</v>
      </c>
      <c r="X76">
        <v>2.7450000000000001</v>
      </c>
      <c r="Y76">
        <v>2.6469999999999998</v>
      </c>
      <c r="Z76">
        <v>2.7010000000000001</v>
      </c>
      <c r="AA76">
        <v>2.7610000000000001</v>
      </c>
      <c r="AB76">
        <v>2.8490000000000002</v>
      </c>
      <c r="AC76">
        <v>2.68</v>
      </c>
      <c r="AD76">
        <v>2.6829999999999998</v>
      </c>
      <c r="AE76">
        <v>2.657</v>
      </c>
      <c r="AF76">
        <v>2.657</v>
      </c>
      <c r="AG76">
        <v>2.6880000000000002</v>
      </c>
      <c r="AH76">
        <v>2.67</v>
      </c>
      <c r="AI76">
        <v>2.7029999999999998</v>
      </c>
      <c r="AJ76">
        <v>2.6720000000000002</v>
      </c>
      <c r="AK76">
        <v>2.625</v>
      </c>
      <c r="AL76">
        <v>2.6139999999999999</v>
      </c>
      <c r="AM76">
        <v>2.589</v>
      </c>
      <c r="AN76">
        <v>2.61</v>
      </c>
      <c r="AO76">
        <v>2.4830000000000001</v>
      </c>
      <c r="AP76">
        <v>2.5329999999999999</v>
      </c>
      <c r="AQ76">
        <v>2.597</v>
      </c>
      <c r="AR76">
        <v>2.6560000000000001</v>
      </c>
      <c r="AS76">
        <v>2.6739999999999999</v>
      </c>
      <c r="AT76">
        <v>2.6850000000000001</v>
      </c>
      <c r="AU76">
        <v>2.734</v>
      </c>
      <c r="AV76">
        <v>2.8</v>
      </c>
      <c r="AW76">
        <v>2.8540000000000001</v>
      </c>
      <c r="AX76">
        <v>2.714</v>
      </c>
      <c r="AY76">
        <v>2.8650000000000002</v>
      </c>
      <c r="AZ76">
        <v>2.9420000000000002</v>
      </c>
      <c r="BA76">
        <v>3.0369999999999999</v>
      </c>
      <c r="BB76">
        <v>3.0790000000000002</v>
      </c>
      <c r="BC76">
        <v>3.4</v>
      </c>
      <c r="BD76">
        <v>3.0720000000000001</v>
      </c>
      <c r="BE76">
        <v>3.077</v>
      </c>
      <c r="BF76">
        <v>3.113</v>
      </c>
      <c r="BG76">
        <v>3.14</v>
      </c>
      <c r="BH76">
        <v>3.1179999999999999</v>
      </c>
      <c r="BI76">
        <v>3.1190000000000002</v>
      </c>
      <c r="BJ76">
        <v>3.1</v>
      </c>
      <c r="BK76">
        <v>3.165</v>
      </c>
      <c r="BL76">
        <v>3.306</v>
      </c>
      <c r="BM76">
        <v>3.4460000000000002</v>
      </c>
      <c r="BN76">
        <v>3.3330000000000002</v>
      </c>
      <c r="BO76">
        <v>3.3079999999999998</v>
      </c>
      <c r="BP76">
        <v>3.3039999999999998</v>
      </c>
      <c r="BQ76">
        <v>3.2679999999999998</v>
      </c>
    </row>
    <row r="77" spans="1:69" x14ac:dyDescent="0.25">
      <c r="A77" t="s">
        <v>45</v>
      </c>
      <c r="B77">
        <v>0.86699999999999999</v>
      </c>
      <c r="C77">
        <v>0.875</v>
      </c>
      <c r="D77">
        <v>0.86799999999999999</v>
      </c>
      <c r="E77">
        <v>0.85399999999999998</v>
      </c>
      <c r="F77">
        <v>0.85399999999999998</v>
      </c>
      <c r="G77">
        <v>0.86699999999999999</v>
      </c>
      <c r="H77">
        <v>0.84099999999999997</v>
      </c>
      <c r="I77">
        <v>0.85799999999999998</v>
      </c>
      <c r="J77">
        <v>0.85199999999999998</v>
      </c>
      <c r="K77">
        <v>0.86499999999999999</v>
      </c>
      <c r="L77">
        <v>0.86499999999999999</v>
      </c>
      <c r="M77">
        <v>0.85299999999999998</v>
      </c>
      <c r="N77">
        <v>0.85499999999999998</v>
      </c>
      <c r="O77">
        <v>0.85599999999999998</v>
      </c>
      <c r="P77">
        <v>0.872</v>
      </c>
      <c r="Q77">
        <v>0.89700000000000002</v>
      </c>
      <c r="R77">
        <v>0.88</v>
      </c>
      <c r="S77">
        <v>0.91800000000000004</v>
      </c>
      <c r="T77">
        <v>0.96699999999999997</v>
      </c>
      <c r="U77">
        <v>0.98</v>
      </c>
      <c r="V77">
        <v>0.95299999999999996</v>
      </c>
      <c r="W77">
        <v>0.94299999999999995</v>
      </c>
      <c r="X77">
        <v>0.91400000000000003</v>
      </c>
      <c r="Y77">
        <v>0.90800000000000003</v>
      </c>
      <c r="Z77">
        <v>0.91300000000000003</v>
      </c>
      <c r="AA77">
        <v>0.91800000000000004</v>
      </c>
      <c r="AB77">
        <v>0.92300000000000004</v>
      </c>
      <c r="AC77">
        <v>0.92600000000000005</v>
      </c>
      <c r="AD77">
        <v>0.93200000000000005</v>
      </c>
      <c r="AE77">
        <v>0.91400000000000003</v>
      </c>
      <c r="AF77">
        <v>0.93300000000000005</v>
      </c>
      <c r="AG77">
        <v>0.91300000000000003</v>
      </c>
      <c r="AH77">
        <v>0.92700000000000005</v>
      </c>
      <c r="AI77">
        <v>0.93700000000000006</v>
      </c>
      <c r="AJ77">
        <v>0.94099999999999995</v>
      </c>
      <c r="AK77">
        <v>0.93100000000000005</v>
      </c>
      <c r="AL77">
        <v>0.91300000000000003</v>
      </c>
      <c r="AM77">
        <v>0.90200000000000002</v>
      </c>
      <c r="AN77">
        <v>0.92700000000000005</v>
      </c>
      <c r="AO77">
        <v>0.91700000000000004</v>
      </c>
      <c r="AP77">
        <v>0.91100000000000003</v>
      </c>
      <c r="AQ77">
        <v>0.93400000000000005</v>
      </c>
      <c r="AR77">
        <v>0.93300000000000005</v>
      </c>
      <c r="AS77">
        <v>0.92900000000000005</v>
      </c>
      <c r="AT77">
        <v>0.93799999999999994</v>
      </c>
      <c r="AU77">
        <v>0.97199999999999998</v>
      </c>
      <c r="AV77">
        <v>1.032</v>
      </c>
      <c r="AW77">
        <v>0.997</v>
      </c>
      <c r="AX77">
        <v>0.96499999999999997</v>
      </c>
      <c r="AY77">
        <v>0.996</v>
      </c>
      <c r="AZ77">
        <v>0.95799999999999996</v>
      </c>
      <c r="BA77">
        <v>0.94699999999999995</v>
      </c>
      <c r="BB77">
        <v>0.92</v>
      </c>
      <c r="BC77">
        <v>0.91300000000000003</v>
      </c>
      <c r="BD77">
        <v>0.878</v>
      </c>
      <c r="BE77">
        <v>0.876</v>
      </c>
      <c r="BF77">
        <v>0.88800000000000001</v>
      </c>
      <c r="BG77">
        <v>0.872</v>
      </c>
      <c r="BH77">
        <v>0.86</v>
      </c>
      <c r="BI77">
        <v>0.84699999999999998</v>
      </c>
      <c r="BJ77">
        <v>0.84099999999999997</v>
      </c>
      <c r="BK77">
        <v>0.83799999999999997</v>
      </c>
      <c r="BL77">
        <v>0.82</v>
      </c>
      <c r="BM77">
        <v>0.82599999999999996</v>
      </c>
      <c r="BN77">
        <v>0.85299999999999998</v>
      </c>
      <c r="BO77">
        <v>0.83699999999999997</v>
      </c>
      <c r="BP77">
        <v>0.82399999999999995</v>
      </c>
      <c r="BQ77">
        <v>0.82199999999999995</v>
      </c>
    </row>
    <row r="78" spans="1:69" x14ac:dyDescent="0.25">
      <c r="A78" t="s">
        <v>120</v>
      </c>
      <c r="B78">
        <v>11.15</v>
      </c>
      <c r="C78">
        <v>11.475</v>
      </c>
      <c r="D78">
        <v>11.1</v>
      </c>
      <c r="E78">
        <v>11.32</v>
      </c>
      <c r="F78">
        <v>11.02</v>
      </c>
      <c r="G78">
        <v>10.82</v>
      </c>
      <c r="H78">
        <v>10.98</v>
      </c>
      <c r="I78">
        <v>10.7</v>
      </c>
      <c r="J78">
        <v>11.45</v>
      </c>
      <c r="K78">
        <v>10.929</v>
      </c>
      <c r="L78">
        <v>11.8</v>
      </c>
      <c r="M78">
        <v>12.1</v>
      </c>
      <c r="N78">
        <v>10.6</v>
      </c>
      <c r="O78">
        <v>10.35</v>
      </c>
      <c r="P78">
        <v>10.199999999999999</v>
      </c>
      <c r="Q78">
        <v>12.5</v>
      </c>
      <c r="R78">
        <v>15.45</v>
      </c>
      <c r="S78">
        <v>15.45</v>
      </c>
      <c r="T78">
        <v>15.4</v>
      </c>
      <c r="U78">
        <v>14.75</v>
      </c>
      <c r="V78">
        <v>14.65</v>
      </c>
      <c r="W78">
        <v>16.058</v>
      </c>
      <c r="X78">
        <v>15.9</v>
      </c>
      <c r="Y78">
        <v>15.62</v>
      </c>
      <c r="Z78">
        <v>15.592000000000001</v>
      </c>
      <c r="AA78">
        <v>15.35</v>
      </c>
      <c r="AB78">
        <v>14.95</v>
      </c>
      <c r="AC78">
        <v>14</v>
      </c>
      <c r="AD78">
        <v>13.414</v>
      </c>
      <c r="AE78">
        <v>12.85</v>
      </c>
      <c r="AF78">
        <v>12.4</v>
      </c>
      <c r="AG78">
        <v>11.92</v>
      </c>
      <c r="AH78">
        <v>11.972</v>
      </c>
      <c r="AI78">
        <v>11.894</v>
      </c>
      <c r="AJ78">
        <v>11.73</v>
      </c>
      <c r="AK78">
        <v>11.4</v>
      </c>
      <c r="AL78">
        <v>11</v>
      </c>
      <c r="AM78">
        <v>11</v>
      </c>
      <c r="AN78">
        <v>11</v>
      </c>
      <c r="AO78">
        <v>11.56</v>
      </c>
      <c r="AP78">
        <v>10.85</v>
      </c>
      <c r="AQ78">
        <v>12</v>
      </c>
      <c r="AR78">
        <v>11.85</v>
      </c>
      <c r="AS78">
        <v>11</v>
      </c>
      <c r="AT78">
        <v>11</v>
      </c>
      <c r="AU78">
        <v>13.913</v>
      </c>
      <c r="AV78">
        <v>10.4</v>
      </c>
      <c r="AW78">
        <v>9.91</v>
      </c>
      <c r="AX78">
        <v>8.8420000000000005</v>
      </c>
      <c r="AY78">
        <v>7.96</v>
      </c>
      <c r="AZ78">
        <v>7.7930000000000001</v>
      </c>
      <c r="BA78">
        <v>7.3840000000000003</v>
      </c>
      <c r="BB78">
        <v>7.3860000000000001</v>
      </c>
      <c r="BC78">
        <v>6.97</v>
      </c>
      <c r="BD78">
        <v>6.2539999999999996</v>
      </c>
      <c r="BE78">
        <v>6.05</v>
      </c>
      <c r="BF78">
        <v>6.0209999999999999</v>
      </c>
      <c r="BG78">
        <v>6</v>
      </c>
      <c r="BH78">
        <v>5.9550000000000001</v>
      </c>
      <c r="BI78">
        <v>5.976</v>
      </c>
      <c r="BJ78">
        <v>5.9279999999999999</v>
      </c>
      <c r="BK78">
        <v>5.8179999999999996</v>
      </c>
      <c r="BL78">
        <v>5.766</v>
      </c>
      <c r="BM78">
        <v>5.76</v>
      </c>
      <c r="BN78">
        <v>5.75</v>
      </c>
      <c r="BO78">
        <v>5.7629999999999999</v>
      </c>
      <c r="BP78">
        <v>5.8070000000000004</v>
      </c>
      <c r="BQ78">
        <v>5.8239999999999998</v>
      </c>
    </row>
    <row r="79" spans="1:69" x14ac:dyDescent="0.25">
      <c r="A79" t="s">
        <v>338</v>
      </c>
      <c r="B79">
        <v>0.74099999999999999</v>
      </c>
      <c r="C79">
        <v>0.747</v>
      </c>
      <c r="D79">
        <v>0.749</v>
      </c>
      <c r="E79">
        <v>0.74</v>
      </c>
      <c r="F79">
        <v>0.74299999999999999</v>
      </c>
      <c r="G79">
        <v>0.748</v>
      </c>
      <c r="H79">
        <v>0.73199999999999998</v>
      </c>
      <c r="I79">
        <v>0.74399999999999999</v>
      </c>
      <c r="J79">
        <v>0.745</v>
      </c>
      <c r="K79">
        <v>0.76400000000000001</v>
      </c>
      <c r="L79">
        <v>0.75</v>
      </c>
      <c r="M79">
        <v>0.73799999999999999</v>
      </c>
      <c r="N79">
        <v>0.73699999999999999</v>
      </c>
      <c r="O79">
        <v>0.74</v>
      </c>
      <c r="P79">
        <v>0.74</v>
      </c>
      <c r="Q79">
        <v>0.755</v>
      </c>
      <c r="R79">
        <v>0.76400000000000001</v>
      </c>
      <c r="S79">
        <v>0.77300000000000002</v>
      </c>
      <c r="T79">
        <v>0.80700000000000005</v>
      </c>
      <c r="U79">
        <v>0.82299999999999995</v>
      </c>
      <c r="V79">
        <v>0.78400000000000003</v>
      </c>
      <c r="W79">
        <v>0.78600000000000003</v>
      </c>
      <c r="X79">
        <v>0.76500000000000001</v>
      </c>
      <c r="Y79">
        <v>0.76600000000000001</v>
      </c>
      <c r="Z79">
        <v>0.78</v>
      </c>
      <c r="AA79">
        <v>0.77300000000000002</v>
      </c>
      <c r="AB79">
        <v>0.77900000000000003</v>
      </c>
      <c r="AC79">
        <v>0.79600000000000004</v>
      </c>
      <c r="AD79">
        <v>0.79700000000000004</v>
      </c>
      <c r="AE79">
        <v>0.78100000000000003</v>
      </c>
      <c r="AF79">
        <v>0.79300000000000004</v>
      </c>
      <c r="AG79">
        <v>0.78600000000000003</v>
      </c>
      <c r="AH79">
        <v>0.79900000000000004</v>
      </c>
      <c r="AI79">
        <v>0.81699999999999995</v>
      </c>
      <c r="AJ79">
        <v>0.81100000000000005</v>
      </c>
      <c r="AK79">
        <v>0.8</v>
      </c>
      <c r="AL79">
        <v>0.78800000000000003</v>
      </c>
      <c r="AM79">
        <v>0.77</v>
      </c>
      <c r="AN79">
        <v>0.79500000000000004</v>
      </c>
      <c r="AO79">
        <v>0.79900000000000004</v>
      </c>
      <c r="AP79">
        <v>0.80300000000000005</v>
      </c>
      <c r="AQ79">
        <v>0.82599999999999996</v>
      </c>
      <c r="AR79">
        <v>0.82399999999999995</v>
      </c>
      <c r="AS79">
        <v>0.82399999999999995</v>
      </c>
      <c r="AT79">
        <v>0.80400000000000005</v>
      </c>
      <c r="AU79">
        <v>0.85199999999999998</v>
      </c>
      <c r="AV79">
        <v>0.90600000000000003</v>
      </c>
      <c r="AW79">
        <v>0.86599999999999999</v>
      </c>
      <c r="AX79">
        <v>0.81699999999999995</v>
      </c>
      <c r="AY79">
        <v>0.84199999999999997</v>
      </c>
      <c r="AZ79">
        <v>0.82099999999999995</v>
      </c>
      <c r="BA79">
        <v>0.80800000000000005</v>
      </c>
      <c r="BB79">
        <v>0.76700000000000002</v>
      </c>
      <c r="BC79">
        <v>0.76400000000000001</v>
      </c>
      <c r="BD79">
        <v>0.73599999999999999</v>
      </c>
      <c r="BE79">
        <v>0.73099999999999998</v>
      </c>
      <c r="BF79">
        <v>0.752</v>
      </c>
      <c r="BG79">
        <v>0.747</v>
      </c>
      <c r="BH79">
        <v>0.74399999999999999</v>
      </c>
      <c r="BI79">
        <v>0.72299999999999998</v>
      </c>
      <c r="BJ79">
        <v>0.71499999999999997</v>
      </c>
      <c r="BK79">
        <v>0.71899999999999997</v>
      </c>
      <c r="BL79">
        <v>0.70599999999999996</v>
      </c>
      <c r="BM79">
        <v>0.71699999999999997</v>
      </c>
      <c r="BN79">
        <v>0.72899999999999998</v>
      </c>
      <c r="BO79">
        <v>0.71599999999999997</v>
      </c>
      <c r="BP79">
        <v>0.72399999999999998</v>
      </c>
      <c r="BQ79">
        <v>0.73299999999999998</v>
      </c>
    </row>
    <row r="80" spans="1:69" x14ac:dyDescent="0.25">
      <c r="A80" t="s">
        <v>45</v>
      </c>
      <c r="B80">
        <v>0.86699999999999999</v>
      </c>
      <c r="C80">
        <v>0.875</v>
      </c>
      <c r="D80">
        <v>0.86799999999999999</v>
      </c>
      <c r="E80">
        <v>0.85399999999999998</v>
      </c>
      <c r="F80">
        <v>0.85399999999999998</v>
      </c>
      <c r="G80">
        <v>0.86699999999999999</v>
      </c>
      <c r="H80">
        <v>0.84099999999999997</v>
      </c>
      <c r="I80">
        <v>0.85799999999999998</v>
      </c>
      <c r="J80">
        <v>0.85199999999999998</v>
      </c>
      <c r="K80">
        <v>0.86499999999999999</v>
      </c>
      <c r="L80">
        <v>0.86499999999999999</v>
      </c>
      <c r="M80">
        <v>0.85299999999999998</v>
      </c>
      <c r="N80">
        <v>0.85499999999999998</v>
      </c>
      <c r="O80">
        <v>0.85599999999999998</v>
      </c>
      <c r="P80">
        <v>0.872</v>
      </c>
      <c r="Q80">
        <v>0.89700000000000002</v>
      </c>
      <c r="R80">
        <v>0.88</v>
      </c>
      <c r="S80">
        <v>0.91800000000000004</v>
      </c>
      <c r="T80">
        <v>0.96699999999999997</v>
      </c>
      <c r="U80">
        <v>0.98</v>
      </c>
      <c r="V80">
        <v>0.95299999999999996</v>
      </c>
      <c r="W80">
        <v>0.94299999999999995</v>
      </c>
      <c r="X80">
        <v>0.91400000000000003</v>
      </c>
      <c r="Y80">
        <v>0.90800000000000003</v>
      </c>
      <c r="Z80">
        <v>0.91300000000000003</v>
      </c>
      <c r="AA80">
        <v>0.91800000000000004</v>
      </c>
      <c r="AB80">
        <v>0.92300000000000004</v>
      </c>
      <c r="AC80">
        <v>0.92600000000000005</v>
      </c>
      <c r="AD80">
        <v>0.93200000000000005</v>
      </c>
      <c r="AE80">
        <v>0.91400000000000003</v>
      </c>
      <c r="AF80">
        <v>0.93300000000000005</v>
      </c>
      <c r="AG80">
        <v>0.91300000000000003</v>
      </c>
      <c r="AH80">
        <v>0.92700000000000005</v>
      </c>
      <c r="AI80">
        <v>0.93700000000000006</v>
      </c>
      <c r="AJ80">
        <v>0.94099999999999995</v>
      </c>
      <c r="AK80">
        <v>0.93100000000000005</v>
      </c>
      <c r="AL80">
        <v>0.91300000000000003</v>
      </c>
      <c r="AM80">
        <v>0.90200000000000002</v>
      </c>
      <c r="AN80">
        <v>0.92700000000000005</v>
      </c>
      <c r="AO80">
        <v>0.91700000000000004</v>
      </c>
      <c r="AP80">
        <v>0.91100000000000003</v>
      </c>
      <c r="AQ80">
        <v>0.93400000000000005</v>
      </c>
      <c r="AR80">
        <v>0.93300000000000005</v>
      </c>
      <c r="AS80">
        <v>0.92900000000000005</v>
      </c>
      <c r="AT80">
        <v>0.93799999999999994</v>
      </c>
      <c r="AU80">
        <v>0.97199999999999998</v>
      </c>
      <c r="AV80">
        <v>1.032</v>
      </c>
      <c r="AW80">
        <v>0.997</v>
      </c>
      <c r="AX80">
        <v>0.96499999999999997</v>
      </c>
      <c r="AY80">
        <v>0.996</v>
      </c>
      <c r="AZ80">
        <v>0.95799999999999996</v>
      </c>
      <c r="BA80">
        <v>0.94699999999999995</v>
      </c>
      <c r="BB80">
        <v>0.92</v>
      </c>
      <c r="BC80">
        <v>0.91300000000000003</v>
      </c>
      <c r="BD80">
        <v>0.878</v>
      </c>
      <c r="BE80">
        <v>0.876</v>
      </c>
      <c r="BF80">
        <v>0.88800000000000001</v>
      </c>
      <c r="BG80">
        <v>0.872</v>
      </c>
      <c r="BH80">
        <v>0.86</v>
      </c>
      <c r="BI80">
        <v>0.84699999999999998</v>
      </c>
      <c r="BJ80">
        <v>0.84099999999999997</v>
      </c>
      <c r="BK80">
        <v>0.83799999999999997</v>
      </c>
      <c r="BL80">
        <v>0.82</v>
      </c>
      <c r="BM80">
        <v>0.82599999999999996</v>
      </c>
      <c r="BN80">
        <v>0.85299999999999998</v>
      </c>
      <c r="BO80">
        <v>0.83699999999999997</v>
      </c>
      <c r="BP80">
        <v>0.82399999999999995</v>
      </c>
      <c r="BQ80">
        <v>0.82199999999999995</v>
      </c>
    </row>
    <row r="81" spans="1:69" x14ac:dyDescent="0.25">
      <c r="A81" t="s">
        <v>105</v>
      </c>
      <c r="B81">
        <v>6.4790000000000001</v>
      </c>
      <c r="C81">
        <v>6.5419999999999998</v>
      </c>
      <c r="D81">
        <v>6.4870000000000001</v>
      </c>
      <c r="E81">
        <v>6.3810000000000002</v>
      </c>
      <c r="F81">
        <v>6.3810000000000002</v>
      </c>
      <c r="G81">
        <v>6.48</v>
      </c>
      <c r="H81">
        <v>6.2859999999999996</v>
      </c>
      <c r="I81">
        <v>6.415</v>
      </c>
      <c r="J81">
        <v>6.36</v>
      </c>
      <c r="K81">
        <v>6.4569999999999999</v>
      </c>
      <c r="L81">
        <v>6.4580000000000002</v>
      </c>
      <c r="M81">
        <v>6.3639999999999999</v>
      </c>
      <c r="N81">
        <v>6.3769999999999998</v>
      </c>
      <c r="O81">
        <v>6.383</v>
      </c>
      <c r="P81">
        <v>6.5039999999999996</v>
      </c>
      <c r="Q81">
        <v>6.6920000000000002</v>
      </c>
      <c r="R81">
        <v>6.5709999999999997</v>
      </c>
      <c r="S81">
        <v>6.85</v>
      </c>
      <c r="T81">
        <v>7.21</v>
      </c>
      <c r="U81">
        <v>7.3090000000000002</v>
      </c>
      <c r="V81">
        <v>7.1040000000000001</v>
      </c>
      <c r="W81">
        <v>7.0350000000000001</v>
      </c>
      <c r="X81">
        <v>6.82</v>
      </c>
      <c r="Y81">
        <v>6.7729999999999997</v>
      </c>
      <c r="Z81">
        <v>6.8109999999999999</v>
      </c>
      <c r="AA81">
        <v>6.8540000000000001</v>
      </c>
      <c r="AB81">
        <v>6.8840000000000003</v>
      </c>
      <c r="AC81">
        <v>6.9059999999999997</v>
      </c>
      <c r="AD81">
        <v>6.95</v>
      </c>
      <c r="AE81">
        <v>6.8170000000000002</v>
      </c>
      <c r="AF81">
        <v>6.952</v>
      </c>
      <c r="AG81">
        <v>6.8079999999999998</v>
      </c>
      <c r="AH81">
        <v>6.91</v>
      </c>
      <c r="AI81">
        <v>6.99</v>
      </c>
      <c r="AJ81">
        <v>7.0149999999999997</v>
      </c>
      <c r="AK81">
        <v>6.9450000000000003</v>
      </c>
      <c r="AL81">
        <v>6.7990000000000004</v>
      </c>
      <c r="AM81">
        <v>6.7190000000000003</v>
      </c>
      <c r="AN81">
        <v>6.9109999999999996</v>
      </c>
      <c r="AO81">
        <v>6.827</v>
      </c>
      <c r="AP81">
        <v>6.7859999999999996</v>
      </c>
      <c r="AQ81">
        <v>6.9509999999999996</v>
      </c>
      <c r="AR81">
        <v>6.952</v>
      </c>
      <c r="AS81">
        <v>6.9080000000000004</v>
      </c>
      <c r="AT81">
        <v>6.9790000000000001</v>
      </c>
      <c r="AU81">
        <v>7.23</v>
      </c>
      <c r="AV81">
        <v>7.6749999999999998</v>
      </c>
      <c r="AW81">
        <v>7.4119999999999999</v>
      </c>
      <c r="AX81">
        <v>7.181</v>
      </c>
      <c r="AY81">
        <v>7.4130000000000003</v>
      </c>
      <c r="AZ81">
        <v>7.125</v>
      </c>
      <c r="BA81">
        <v>7.0460000000000003</v>
      </c>
      <c r="BB81">
        <v>6.84</v>
      </c>
      <c r="BC81">
        <v>6.7889999999999997</v>
      </c>
      <c r="BD81">
        <v>6.53</v>
      </c>
      <c r="BE81">
        <v>6.516</v>
      </c>
      <c r="BF81">
        <v>6.601</v>
      </c>
      <c r="BG81">
        <v>6.4859999999999998</v>
      </c>
      <c r="BH81">
        <v>6.3929999999999998</v>
      </c>
      <c r="BI81">
        <v>6.3019999999999996</v>
      </c>
      <c r="BJ81">
        <v>6.2560000000000002</v>
      </c>
      <c r="BK81">
        <v>6.234</v>
      </c>
      <c r="BL81">
        <v>6.0960000000000001</v>
      </c>
      <c r="BM81">
        <v>6.1420000000000003</v>
      </c>
      <c r="BN81">
        <v>6.3449999999999998</v>
      </c>
      <c r="BO81">
        <v>6.2270000000000003</v>
      </c>
      <c r="BP81">
        <v>6.1280000000000001</v>
      </c>
      <c r="BQ81">
        <v>6.1159999999999997</v>
      </c>
    </row>
    <row r="82" spans="1:69" x14ac:dyDescent="0.25">
      <c r="A82" t="s">
        <v>286</v>
      </c>
      <c r="B82">
        <v>2.7</v>
      </c>
      <c r="C82">
        <v>2.7</v>
      </c>
      <c r="D82">
        <v>2.7</v>
      </c>
      <c r="E82">
        <v>2.7</v>
      </c>
      <c r="F82">
        <v>2.7</v>
      </c>
      <c r="G82">
        <v>2.7</v>
      </c>
      <c r="H82">
        <v>2.7</v>
      </c>
      <c r="I82">
        <v>2.7</v>
      </c>
      <c r="J82">
        <v>2.7</v>
      </c>
      <c r="K82">
        <v>2.7</v>
      </c>
      <c r="L82">
        <v>2.7</v>
      </c>
      <c r="M82">
        <v>2.7</v>
      </c>
      <c r="N82">
        <v>2.7</v>
      </c>
      <c r="O82">
        <v>2.7</v>
      </c>
      <c r="P82">
        <v>2.7</v>
      </c>
      <c r="Q82">
        <v>2.7</v>
      </c>
      <c r="R82">
        <v>2.7</v>
      </c>
      <c r="S82">
        <v>2.7</v>
      </c>
      <c r="T82">
        <v>2.7</v>
      </c>
      <c r="U82">
        <v>2.7</v>
      </c>
      <c r="V82">
        <v>2.7</v>
      </c>
      <c r="W82">
        <v>2.7</v>
      </c>
      <c r="X82">
        <v>2.7</v>
      </c>
      <c r="Y82">
        <v>2.7</v>
      </c>
      <c r="Z82">
        <v>2.7</v>
      </c>
      <c r="AA82">
        <v>2.7</v>
      </c>
      <c r="AB82">
        <v>2.7</v>
      </c>
      <c r="AC82">
        <v>2.7</v>
      </c>
      <c r="AD82">
        <v>2.7</v>
      </c>
      <c r="AE82">
        <v>2.7</v>
      </c>
      <c r="AF82">
        <v>2.7</v>
      </c>
      <c r="AG82">
        <v>2.7</v>
      </c>
      <c r="AH82">
        <v>2.7</v>
      </c>
      <c r="AI82">
        <v>2.7</v>
      </c>
      <c r="AJ82">
        <v>2.7</v>
      </c>
      <c r="AK82">
        <v>2.7</v>
      </c>
      <c r="AL82">
        <v>2.7</v>
      </c>
      <c r="AM82">
        <v>2.7</v>
      </c>
      <c r="AN82">
        <v>2.7</v>
      </c>
      <c r="AO82">
        <v>2.7</v>
      </c>
      <c r="AP82">
        <v>2.7</v>
      </c>
      <c r="AQ82">
        <v>2.7</v>
      </c>
      <c r="AR82">
        <v>2.7</v>
      </c>
      <c r="AS82">
        <v>2.7</v>
      </c>
      <c r="AT82">
        <v>2.7</v>
      </c>
      <c r="AU82">
        <v>2.7</v>
      </c>
      <c r="AV82">
        <v>2.7</v>
      </c>
      <c r="AW82">
        <v>2.7</v>
      </c>
      <c r="AX82">
        <v>2.7</v>
      </c>
      <c r="AY82">
        <v>2.7</v>
      </c>
      <c r="AZ82">
        <v>2.7</v>
      </c>
      <c r="BA82">
        <v>2.7</v>
      </c>
      <c r="BB82">
        <v>2.7</v>
      </c>
      <c r="BC82">
        <v>2.7</v>
      </c>
      <c r="BD82">
        <v>2.7</v>
      </c>
      <c r="BE82">
        <v>2.7</v>
      </c>
      <c r="BF82">
        <v>2.7</v>
      </c>
      <c r="BG82">
        <v>2.7</v>
      </c>
      <c r="BH82">
        <v>2.7</v>
      </c>
      <c r="BI82">
        <v>2.7</v>
      </c>
      <c r="BJ82">
        <v>2.7</v>
      </c>
      <c r="BK82">
        <v>2.7</v>
      </c>
      <c r="BL82">
        <v>2.7</v>
      </c>
      <c r="BM82">
        <v>2.7</v>
      </c>
      <c r="BN82">
        <v>2.7</v>
      </c>
      <c r="BO82">
        <v>2.7</v>
      </c>
      <c r="BP82">
        <v>2.7</v>
      </c>
      <c r="BQ82">
        <v>2.7</v>
      </c>
    </row>
    <row r="83" spans="1:69" x14ac:dyDescent="0.25">
      <c r="A83" t="s">
        <v>45</v>
      </c>
      <c r="B83">
        <v>0.86699999999999999</v>
      </c>
      <c r="C83">
        <v>0.875</v>
      </c>
      <c r="D83">
        <v>0.86799999999999999</v>
      </c>
      <c r="E83">
        <v>0.85399999999999998</v>
      </c>
      <c r="F83">
        <v>0.85399999999999998</v>
      </c>
      <c r="G83">
        <v>0.86699999999999999</v>
      </c>
      <c r="H83">
        <v>0.84099999999999997</v>
      </c>
      <c r="I83">
        <v>0.85799999999999998</v>
      </c>
      <c r="J83">
        <v>0.85199999999999998</v>
      </c>
      <c r="K83">
        <v>0.86499999999999999</v>
      </c>
      <c r="L83">
        <v>0.86499999999999999</v>
      </c>
      <c r="M83">
        <v>0.85299999999999998</v>
      </c>
      <c r="N83">
        <v>0.85499999999999998</v>
      </c>
      <c r="O83">
        <v>0.85599999999999998</v>
      </c>
      <c r="P83">
        <v>0.872</v>
      </c>
      <c r="Q83">
        <v>0.89700000000000002</v>
      </c>
      <c r="R83">
        <v>0.88</v>
      </c>
      <c r="S83">
        <v>0.91800000000000004</v>
      </c>
      <c r="T83">
        <v>0.96699999999999997</v>
      </c>
      <c r="U83">
        <v>0.98</v>
      </c>
      <c r="V83">
        <v>0.95299999999999996</v>
      </c>
      <c r="W83">
        <v>0.94299999999999995</v>
      </c>
      <c r="X83">
        <v>0.91400000000000003</v>
      </c>
      <c r="Y83">
        <v>0.90800000000000003</v>
      </c>
      <c r="Z83">
        <v>0.91300000000000003</v>
      </c>
      <c r="AA83">
        <v>0.91800000000000004</v>
      </c>
      <c r="AB83">
        <v>0.92300000000000004</v>
      </c>
      <c r="AC83">
        <v>0.92600000000000005</v>
      </c>
      <c r="AD83">
        <v>0.93200000000000005</v>
      </c>
      <c r="AE83">
        <v>0.91400000000000003</v>
      </c>
      <c r="AF83">
        <v>0.93300000000000005</v>
      </c>
      <c r="AG83">
        <v>0.91300000000000003</v>
      </c>
      <c r="AH83">
        <v>0.92700000000000005</v>
      </c>
      <c r="AI83">
        <v>0.93700000000000006</v>
      </c>
      <c r="AJ83">
        <v>0.94099999999999995</v>
      </c>
      <c r="AK83">
        <v>0.93100000000000005</v>
      </c>
      <c r="AL83">
        <v>0.91300000000000003</v>
      </c>
      <c r="AM83">
        <v>0.90200000000000002</v>
      </c>
      <c r="AN83">
        <v>0.92700000000000005</v>
      </c>
      <c r="AO83">
        <v>0.91700000000000004</v>
      </c>
      <c r="AP83">
        <v>0.91100000000000003</v>
      </c>
      <c r="AQ83">
        <v>0.93400000000000005</v>
      </c>
      <c r="AR83">
        <v>0.93300000000000005</v>
      </c>
      <c r="AS83">
        <v>0.92900000000000005</v>
      </c>
      <c r="AT83">
        <v>0.93799999999999994</v>
      </c>
      <c r="AU83">
        <v>0.97199999999999998</v>
      </c>
      <c r="AV83">
        <v>1.032</v>
      </c>
      <c r="AW83">
        <v>0.997</v>
      </c>
      <c r="AX83">
        <v>0.96499999999999997</v>
      </c>
      <c r="AY83">
        <v>0.996</v>
      </c>
      <c r="AZ83">
        <v>0.95799999999999996</v>
      </c>
      <c r="BA83">
        <v>0.94699999999999995</v>
      </c>
      <c r="BB83">
        <v>0.92</v>
      </c>
      <c r="BC83">
        <v>0.91300000000000003</v>
      </c>
      <c r="BD83">
        <v>0.878</v>
      </c>
      <c r="BE83">
        <v>0.876</v>
      </c>
      <c r="BF83">
        <v>0.88800000000000001</v>
      </c>
      <c r="BG83">
        <v>0.872</v>
      </c>
      <c r="BH83">
        <v>0.86</v>
      </c>
      <c r="BI83">
        <v>0.84699999999999998</v>
      </c>
      <c r="BJ83">
        <v>0.84099999999999997</v>
      </c>
      <c r="BK83">
        <v>0.83799999999999997</v>
      </c>
      <c r="BL83">
        <v>0.82</v>
      </c>
      <c r="BM83">
        <v>0.82599999999999996</v>
      </c>
      <c r="BN83">
        <v>0.85299999999999998</v>
      </c>
      <c r="BO83">
        <v>0.83699999999999997</v>
      </c>
      <c r="BP83">
        <v>0.82399999999999995</v>
      </c>
      <c r="BQ83">
        <v>0.82199999999999995</v>
      </c>
    </row>
    <row r="84" spans="1:69" x14ac:dyDescent="0.25">
      <c r="A84" t="s">
        <v>124</v>
      </c>
      <c r="B84">
        <v>1</v>
      </c>
      <c r="C84">
        <v>1</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row>
    <row r="85" spans="1:69" x14ac:dyDescent="0.25">
      <c r="A85" t="s">
        <v>127</v>
      </c>
      <c r="B85">
        <v>7.6239999999999997</v>
      </c>
      <c r="C85">
        <v>7.62</v>
      </c>
      <c r="D85">
        <v>7.6159999999999997</v>
      </c>
      <c r="E85">
        <v>7.62</v>
      </c>
      <c r="F85">
        <v>7.6449999999999996</v>
      </c>
      <c r="G85">
        <v>7.6609999999999996</v>
      </c>
      <c r="H85">
        <v>7.6609999999999996</v>
      </c>
      <c r="I85">
        <v>7.66</v>
      </c>
      <c r="J85">
        <v>7.649</v>
      </c>
      <c r="K85">
        <v>7.6580000000000004</v>
      </c>
      <c r="L85">
        <v>7.6529999999999996</v>
      </c>
      <c r="M85">
        <v>7.6520000000000001</v>
      </c>
      <c r="N85">
        <v>7.6619999999999999</v>
      </c>
      <c r="O85">
        <v>7.6779999999999999</v>
      </c>
      <c r="P85">
        <v>7.68</v>
      </c>
      <c r="Q85">
        <v>7.6790000000000003</v>
      </c>
      <c r="R85">
        <v>7.7089999999999996</v>
      </c>
      <c r="S85">
        <v>7.7030000000000003</v>
      </c>
      <c r="T85">
        <v>7.7089999999999996</v>
      </c>
      <c r="U85">
        <v>7.7110000000000003</v>
      </c>
      <c r="V85">
        <v>7.7</v>
      </c>
      <c r="W85">
        <v>7.7210000000000001</v>
      </c>
      <c r="X85">
        <v>7.7279999999999998</v>
      </c>
      <c r="Y85">
        <v>7.7220000000000004</v>
      </c>
      <c r="Z85">
        <v>7.7350000000000003</v>
      </c>
      <c r="AA85">
        <v>7.7569999999999997</v>
      </c>
      <c r="AB85">
        <v>7.7619999999999996</v>
      </c>
      <c r="AC85">
        <v>7.7640000000000002</v>
      </c>
      <c r="AD85">
        <v>7.7850000000000001</v>
      </c>
      <c r="AE85">
        <v>7.8040000000000003</v>
      </c>
      <c r="AF85">
        <v>7.8070000000000004</v>
      </c>
      <c r="AG85">
        <v>7.8150000000000004</v>
      </c>
      <c r="AH85">
        <v>7.8170000000000002</v>
      </c>
      <c r="AI85">
        <v>7.8250000000000002</v>
      </c>
      <c r="AJ85">
        <v>7.8390000000000004</v>
      </c>
      <c r="AK85">
        <v>7.87</v>
      </c>
      <c r="AL85">
        <v>7.8579999999999997</v>
      </c>
      <c r="AM85">
        <v>7.8310000000000004</v>
      </c>
      <c r="AN85">
        <v>7.8330000000000002</v>
      </c>
      <c r="AO85">
        <v>7.8040000000000003</v>
      </c>
      <c r="AP85">
        <v>7.7939999999999996</v>
      </c>
      <c r="AQ85">
        <v>7.7990000000000004</v>
      </c>
      <c r="AR85">
        <v>7.8360000000000003</v>
      </c>
      <c r="AS85">
        <v>7.8380000000000001</v>
      </c>
      <c r="AT85">
        <v>7.87</v>
      </c>
      <c r="AU85">
        <v>7.7969999999999997</v>
      </c>
      <c r="AV85">
        <v>7.867</v>
      </c>
      <c r="AW85">
        <v>7.7770000000000001</v>
      </c>
      <c r="AX85">
        <v>7.7210000000000001</v>
      </c>
      <c r="AY85">
        <v>7.734</v>
      </c>
      <c r="AZ85">
        <v>7.7169999999999996</v>
      </c>
      <c r="BA85">
        <v>7.6580000000000004</v>
      </c>
      <c r="BB85">
        <v>7.65</v>
      </c>
      <c r="BC85">
        <v>7.6909999999999998</v>
      </c>
      <c r="BD85">
        <v>7.6820000000000004</v>
      </c>
      <c r="BE85">
        <v>7.7009999999999996</v>
      </c>
      <c r="BF85">
        <v>7.7220000000000004</v>
      </c>
      <c r="BG85">
        <v>7.7220000000000004</v>
      </c>
      <c r="BH85">
        <v>7.726</v>
      </c>
      <c r="BI85">
        <v>7.7249999999999996</v>
      </c>
      <c r="BJ85">
        <v>7.74</v>
      </c>
      <c r="BK85">
        <v>7.7409999999999997</v>
      </c>
      <c r="BL85">
        <v>7.718</v>
      </c>
      <c r="BM85">
        <v>7.7140000000000004</v>
      </c>
      <c r="BN85">
        <v>7.6920000000000002</v>
      </c>
      <c r="BO85">
        <v>7.68</v>
      </c>
      <c r="BP85">
        <v>7.76</v>
      </c>
      <c r="BQ85">
        <v>7.7729999999999997</v>
      </c>
    </row>
    <row r="86" spans="1:69" x14ac:dyDescent="0.25">
      <c r="A86" t="s">
        <v>125</v>
      </c>
      <c r="B86">
        <v>8760.0400000000009</v>
      </c>
      <c r="C86">
        <v>8717.19</v>
      </c>
      <c r="D86">
        <v>8717.19</v>
      </c>
      <c r="E86">
        <v>8742.27</v>
      </c>
      <c r="F86">
        <v>8730</v>
      </c>
      <c r="G86">
        <v>8730</v>
      </c>
      <c r="H86">
        <v>8730</v>
      </c>
      <c r="I86">
        <v>8692</v>
      </c>
      <c r="J86">
        <v>8657</v>
      </c>
      <c r="K86">
        <v>8633</v>
      </c>
      <c r="L86">
        <v>8630.75</v>
      </c>
      <c r="M86">
        <v>8630.75</v>
      </c>
      <c r="N86">
        <v>8625</v>
      </c>
      <c r="O86">
        <v>8625</v>
      </c>
      <c r="P86">
        <v>8609</v>
      </c>
      <c r="Q86">
        <v>8607.69</v>
      </c>
      <c r="R86">
        <v>8600.8700000000008</v>
      </c>
      <c r="S86">
        <v>8600.35</v>
      </c>
      <c r="T86">
        <v>8599.31</v>
      </c>
      <c r="U86">
        <v>8586</v>
      </c>
      <c r="V86">
        <v>8552.17</v>
      </c>
      <c r="W86">
        <v>8556</v>
      </c>
      <c r="X86">
        <v>8571.74</v>
      </c>
      <c r="Y86">
        <v>8575</v>
      </c>
      <c r="Z86">
        <v>8551.89</v>
      </c>
      <c r="AA86">
        <v>8529</v>
      </c>
      <c r="AB86">
        <v>8524.52</v>
      </c>
      <c r="AC86">
        <v>8502.01</v>
      </c>
      <c r="AD86">
        <v>8506</v>
      </c>
      <c r="AE86">
        <v>8506</v>
      </c>
      <c r="AF86">
        <v>8510.42</v>
      </c>
      <c r="AG86">
        <v>8510.42</v>
      </c>
      <c r="AH86">
        <v>8505</v>
      </c>
      <c r="AI86">
        <v>8505</v>
      </c>
      <c r="AJ86">
        <v>8495</v>
      </c>
      <c r="AK86">
        <v>8494</v>
      </c>
      <c r="AL86">
        <v>8513.61</v>
      </c>
      <c r="AM86">
        <v>8506.24</v>
      </c>
      <c r="AN86">
        <v>8505.07</v>
      </c>
      <c r="AO86">
        <v>8503.1299999999992</v>
      </c>
      <c r="AP86">
        <v>8502.64</v>
      </c>
      <c r="AQ86">
        <v>8523.1299999999992</v>
      </c>
      <c r="AR86">
        <v>8521.16</v>
      </c>
      <c r="AS86">
        <v>8539.7999999999993</v>
      </c>
      <c r="AT86">
        <v>8543.0300000000007</v>
      </c>
      <c r="AU86">
        <v>8536.86</v>
      </c>
      <c r="AV86">
        <v>8573.18</v>
      </c>
      <c r="AW86">
        <v>8606.18</v>
      </c>
      <c r="AX86">
        <v>8584.33</v>
      </c>
      <c r="AY86">
        <v>8626.99</v>
      </c>
      <c r="AZ86">
        <v>8631.85</v>
      </c>
      <c r="BA86">
        <v>8693</v>
      </c>
      <c r="BB86">
        <v>8783.34</v>
      </c>
      <c r="BC86">
        <v>8835.57</v>
      </c>
      <c r="BD86">
        <v>8979.2199999999993</v>
      </c>
      <c r="BE86">
        <v>9078.4500000000007</v>
      </c>
      <c r="BF86">
        <v>9340.94</v>
      </c>
      <c r="BG86">
        <v>9563.74</v>
      </c>
      <c r="BH86">
        <v>9701.9</v>
      </c>
      <c r="BI86">
        <v>9719.9500000000007</v>
      </c>
      <c r="BJ86">
        <v>9705.89</v>
      </c>
      <c r="BK86">
        <v>9755.42</v>
      </c>
      <c r="BL86">
        <v>9804.65</v>
      </c>
      <c r="BM86">
        <v>9844.25</v>
      </c>
      <c r="BN86">
        <v>9975.64</v>
      </c>
      <c r="BO86">
        <v>10085.879999999999</v>
      </c>
      <c r="BP86">
        <v>10085.33</v>
      </c>
      <c r="BQ86">
        <v>9964.8799999999992</v>
      </c>
    </row>
    <row r="87" spans="1:69" x14ac:dyDescent="0.25">
      <c r="A87" t="s">
        <v>66</v>
      </c>
      <c r="B87">
        <v>568.51900000000001</v>
      </c>
      <c r="C87">
        <v>574.04100000000005</v>
      </c>
      <c r="D87">
        <v>569.30799999999999</v>
      </c>
      <c r="E87">
        <v>560.16800000000001</v>
      </c>
      <c r="F87">
        <v>560.16800000000001</v>
      </c>
      <c r="G87">
        <v>568.81500000000005</v>
      </c>
      <c r="H87">
        <v>551.87400000000002</v>
      </c>
      <c r="I87">
        <v>563.053</v>
      </c>
      <c r="J87">
        <v>558.59400000000005</v>
      </c>
      <c r="K87">
        <v>567.24099999999999</v>
      </c>
      <c r="L87">
        <v>567.24099999999999</v>
      </c>
      <c r="M87">
        <v>559.30799999999999</v>
      </c>
      <c r="N87">
        <v>560.55100000000004</v>
      </c>
      <c r="O87">
        <v>561.17499999999995</v>
      </c>
      <c r="P87">
        <v>571.98900000000003</v>
      </c>
      <c r="Q87">
        <v>588.46100000000001</v>
      </c>
      <c r="R87">
        <v>577.32500000000005</v>
      </c>
      <c r="S87">
        <v>602.40300000000002</v>
      </c>
      <c r="T87">
        <v>634.08100000000002</v>
      </c>
      <c r="U87">
        <v>642.654</v>
      </c>
      <c r="V87">
        <v>624.84</v>
      </c>
      <c r="W87">
        <v>618.59400000000005</v>
      </c>
      <c r="X87">
        <v>599.65</v>
      </c>
      <c r="Y87">
        <v>595.35</v>
      </c>
      <c r="Z87">
        <v>598.71900000000005</v>
      </c>
      <c r="AA87">
        <v>602.45899999999995</v>
      </c>
      <c r="AB87">
        <v>605.46199999999999</v>
      </c>
      <c r="AC87">
        <v>607.14300000000003</v>
      </c>
      <c r="AD87">
        <v>611.15899999999999</v>
      </c>
      <c r="AE87">
        <v>599.65</v>
      </c>
      <c r="AF87">
        <v>611.72900000000004</v>
      </c>
      <c r="AG87">
        <v>598.88300000000004</v>
      </c>
      <c r="AH87">
        <v>607.98699999999997</v>
      </c>
      <c r="AI87">
        <v>614.71</v>
      </c>
      <c r="AJ87">
        <v>617.13900000000001</v>
      </c>
      <c r="AK87">
        <v>610.64700000000005</v>
      </c>
      <c r="AL87">
        <v>598.61</v>
      </c>
      <c r="AM87">
        <v>591.43200000000002</v>
      </c>
      <c r="AN87">
        <v>608.26900000000001</v>
      </c>
      <c r="AO87">
        <v>601.24400000000003</v>
      </c>
      <c r="AP87">
        <v>597.46500000000003</v>
      </c>
      <c r="AQ87">
        <v>612.47199999999998</v>
      </c>
      <c r="AR87">
        <v>612.12900000000002</v>
      </c>
      <c r="AS87">
        <v>609.28599999999994</v>
      </c>
      <c r="AT87">
        <v>615.40200000000004</v>
      </c>
      <c r="AU87">
        <v>637.65599999999995</v>
      </c>
      <c r="AV87">
        <v>676.73299999999995</v>
      </c>
      <c r="AW87">
        <v>653.79899999999998</v>
      </c>
      <c r="AX87">
        <v>633.22400000000005</v>
      </c>
      <c r="AY87">
        <v>653.40899999999999</v>
      </c>
      <c r="AZ87">
        <v>628.13099999999997</v>
      </c>
      <c r="BA87">
        <v>621.34799999999996</v>
      </c>
      <c r="BB87">
        <v>603.34500000000003</v>
      </c>
      <c r="BC87">
        <v>598.61</v>
      </c>
      <c r="BD87">
        <v>575.70399999999995</v>
      </c>
      <c r="BE87">
        <v>574.49400000000003</v>
      </c>
      <c r="BF87">
        <v>582.19299999999998</v>
      </c>
      <c r="BG87">
        <v>572.08900000000006</v>
      </c>
      <c r="BH87">
        <v>563.97299999999996</v>
      </c>
      <c r="BI87">
        <v>555.89599999999996</v>
      </c>
      <c r="BJ87">
        <v>551.73400000000004</v>
      </c>
      <c r="BK87">
        <v>549.88400000000001</v>
      </c>
      <c r="BL87">
        <v>537.71400000000006</v>
      </c>
      <c r="BM87">
        <v>541.84500000000003</v>
      </c>
      <c r="BN87">
        <v>559.69000000000005</v>
      </c>
      <c r="BO87">
        <v>549.24</v>
      </c>
      <c r="BP87">
        <v>540.46100000000001</v>
      </c>
      <c r="BQ87">
        <v>539.26099999999997</v>
      </c>
    </row>
    <row r="88" spans="1:69" x14ac:dyDescent="0.25">
      <c r="A88" t="s">
        <v>129</v>
      </c>
      <c r="B88">
        <v>208.8</v>
      </c>
      <c r="C88">
        <v>208.1</v>
      </c>
      <c r="D88">
        <v>208.2</v>
      </c>
      <c r="E88">
        <v>208</v>
      </c>
      <c r="F88">
        <v>208.2</v>
      </c>
      <c r="G88">
        <v>208.4</v>
      </c>
      <c r="H88">
        <v>208.1</v>
      </c>
      <c r="I88">
        <v>208.1</v>
      </c>
      <c r="J88">
        <v>208.1</v>
      </c>
      <c r="K88">
        <v>208.1</v>
      </c>
      <c r="L88">
        <v>208.1</v>
      </c>
      <c r="M88">
        <v>208.1</v>
      </c>
      <c r="N88">
        <v>208</v>
      </c>
      <c r="O88">
        <v>208</v>
      </c>
      <c r="P88">
        <v>209.3</v>
      </c>
      <c r="Q88">
        <v>209.4</v>
      </c>
      <c r="R88">
        <v>209.4</v>
      </c>
      <c r="S88">
        <v>209.4</v>
      </c>
      <c r="T88">
        <v>209.4</v>
      </c>
      <c r="U88">
        <v>207.9</v>
      </c>
      <c r="V88">
        <v>207.9</v>
      </c>
      <c r="W88">
        <v>207.9</v>
      </c>
      <c r="X88">
        <v>207.9</v>
      </c>
      <c r="Y88">
        <v>208.3</v>
      </c>
      <c r="Z88">
        <v>208.1</v>
      </c>
      <c r="AA88">
        <v>208</v>
      </c>
      <c r="AB88">
        <v>207.9</v>
      </c>
      <c r="AC88">
        <v>208.4</v>
      </c>
      <c r="AD88">
        <v>208.5</v>
      </c>
      <c r="AE88">
        <v>208.7</v>
      </c>
      <c r="AF88">
        <v>209.3</v>
      </c>
      <c r="AG88">
        <v>208.5</v>
      </c>
      <c r="AH88">
        <v>208.5</v>
      </c>
      <c r="AI88">
        <v>208.5</v>
      </c>
      <c r="AJ88">
        <v>208.8</v>
      </c>
      <c r="AK88">
        <v>208.5</v>
      </c>
      <c r="AL88">
        <v>208.5</v>
      </c>
      <c r="AM88">
        <v>209.7</v>
      </c>
      <c r="AN88">
        <v>210.3</v>
      </c>
      <c r="AO88">
        <v>209.7</v>
      </c>
      <c r="AP88">
        <v>209.7</v>
      </c>
      <c r="AQ88">
        <v>209.2</v>
      </c>
      <c r="AR88">
        <v>209.2</v>
      </c>
      <c r="AS88">
        <v>208.4</v>
      </c>
      <c r="AT88">
        <v>208.4</v>
      </c>
      <c r="AU88">
        <v>209.1</v>
      </c>
      <c r="AV88">
        <v>208.1</v>
      </c>
      <c r="AW88">
        <v>208.1</v>
      </c>
      <c r="AX88">
        <v>208.4</v>
      </c>
      <c r="AY88">
        <v>208.4</v>
      </c>
      <c r="AZ88">
        <v>208.3</v>
      </c>
      <c r="BA88">
        <v>208.4</v>
      </c>
      <c r="BB88">
        <v>208.4</v>
      </c>
      <c r="BC88">
        <v>208.3</v>
      </c>
      <c r="BD88">
        <v>208.4</v>
      </c>
      <c r="BE88">
        <v>208.3</v>
      </c>
      <c r="BF88">
        <v>208.4</v>
      </c>
      <c r="BG88">
        <v>208.1</v>
      </c>
      <c r="BH88">
        <v>208</v>
      </c>
      <c r="BI88">
        <v>208.2</v>
      </c>
      <c r="BJ88">
        <v>208.2</v>
      </c>
      <c r="BK88">
        <v>207.9</v>
      </c>
      <c r="BL88">
        <v>207.2</v>
      </c>
      <c r="BM88">
        <v>208.2</v>
      </c>
      <c r="BN88">
        <v>209.2</v>
      </c>
      <c r="BO88">
        <v>208.2</v>
      </c>
      <c r="BP88">
        <v>208.2</v>
      </c>
      <c r="BQ88">
        <v>208.2</v>
      </c>
    </row>
    <row r="89" spans="1:69" x14ac:dyDescent="0.25">
      <c r="A89" t="s">
        <v>135</v>
      </c>
      <c r="B89">
        <v>130.453</v>
      </c>
      <c r="C89">
        <v>130.422</v>
      </c>
      <c r="D89">
        <v>130.422</v>
      </c>
      <c r="E89">
        <v>130.77799999999999</v>
      </c>
      <c r="F89">
        <v>130.63200000000001</v>
      </c>
      <c r="G89">
        <v>130.77099999999999</v>
      </c>
      <c r="H89">
        <v>130.62</v>
      </c>
      <c r="I89">
        <v>130.62</v>
      </c>
      <c r="J89">
        <v>130.667</v>
      </c>
      <c r="K89">
        <v>130.66999999999999</v>
      </c>
      <c r="L89">
        <v>130.69</v>
      </c>
      <c r="M89">
        <v>130.63999999999999</v>
      </c>
      <c r="N89">
        <v>130.91999999999999</v>
      </c>
      <c r="O89">
        <v>130.87</v>
      </c>
      <c r="P89">
        <v>130.88</v>
      </c>
      <c r="Q89">
        <v>130.59</v>
      </c>
      <c r="R89">
        <v>130.47</v>
      </c>
      <c r="S89">
        <v>130.6</v>
      </c>
      <c r="T89">
        <v>130.26900000000001</v>
      </c>
      <c r="U89">
        <v>130.27000000000001</v>
      </c>
      <c r="V89">
        <v>130.65</v>
      </c>
      <c r="W89">
        <v>131.08000000000001</v>
      </c>
      <c r="X89">
        <v>131.47</v>
      </c>
      <c r="Y89">
        <v>131.58000000000001</v>
      </c>
      <c r="Z89">
        <v>131.46</v>
      </c>
      <c r="AA89">
        <v>131.78</v>
      </c>
      <c r="AB89">
        <v>132.44</v>
      </c>
      <c r="AC89">
        <v>132.34</v>
      </c>
      <c r="AD89">
        <v>132.21</v>
      </c>
      <c r="AE89">
        <v>132.43</v>
      </c>
      <c r="AF89">
        <v>131.59</v>
      </c>
      <c r="AG89">
        <v>131.66</v>
      </c>
      <c r="AH89">
        <v>132.19999999999999</v>
      </c>
      <c r="AI89">
        <v>132.91</v>
      </c>
      <c r="AJ89">
        <v>134.13</v>
      </c>
      <c r="AK89">
        <v>135.06</v>
      </c>
      <c r="AL89">
        <v>136.19999999999999</v>
      </c>
      <c r="AM89">
        <v>137.66</v>
      </c>
      <c r="AN89">
        <v>138.6</v>
      </c>
      <c r="AO89">
        <v>146.18</v>
      </c>
      <c r="AP89">
        <v>153.56</v>
      </c>
      <c r="AQ89">
        <v>150.97999999999999</v>
      </c>
      <c r="AR89">
        <v>149.375</v>
      </c>
      <c r="AS89">
        <v>146.38999999999999</v>
      </c>
      <c r="AT89">
        <v>141.74</v>
      </c>
      <c r="AU89">
        <v>129.084</v>
      </c>
      <c r="AV89">
        <v>118.548</v>
      </c>
      <c r="AW89">
        <v>115.61</v>
      </c>
      <c r="AX89">
        <v>121.794</v>
      </c>
      <c r="AY89">
        <v>114.547</v>
      </c>
      <c r="AZ89">
        <v>110.783</v>
      </c>
      <c r="BA89">
        <v>108.206</v>
      </c>
      <c r="BB89">
        <v>106.57</v>
      </c>
      <c r="BC89">
        <v>103.754</v>
      </c>
      <c r="BD89">
        <v>101.78</v>
      </c>
      <c r="BE89">
        <v>100.38200000000001</v>
      </c>
      <c r="BF89">
        <v>98.954999999999998</v>
      </c>
      <c r="BG89">
        <v>98.930999999999997</v>
      </c>
      <c r="BH89">
        <v>97.61</v>
      </c>
      <c r="BI89">
        <v>95.546000000000006</v>
      </c>
      <c r="BJ89">
        <v>93.590999999999994</v>
      </c>
      <c r="BK89">
        <v>90.97</v>
      </c>
      <c r="BL89">
        <v>88.852999999999994</v>
      </c>
      <c r="BM89">
        <v>83.444999999999993</v>
      </c>
      <c r="BN89">
        <v>78.813999999999993</v>
      </c>
      <c r="BO89">
        <v>74.341999999999999</v>
      </c>
      <c r="BP89">
        <v>73.203999999999994</v>
      </c>
      <c r="BQ89">
        <v>71.337000000000003</v>
      </c>
    </row>
    <row r="90" spans="1:69" x14ac:dyDescent="0.25">
      <c r="A90" t="s">
        <v>132</v>
      </c>
      <c r="B90">
        <v>26.765000000000001</v>
      </c>
      <c r="C90">
        <v>26.637</v>
      </c>
      <c r="D90">
        <v>26.637</v>
      </c>
      <c r="E90">
        <v>26.532</v>
      </c>
      <c r="F90">
        <v>26.446000000000002</v>
      </c>
      <c r="G90">
        <v>26.263000000000002</v>
      </c>
      <c r="H90">
        <v>26.216999999999999</v>
      </c>
      <c r="I90">
        <v>26.155000000000001</v>
      </c>
      <c r="J90">
        <v>26.08</v>
      </c>
      <c r="K90">
        <v>26.042999999999999</v>
      </c>
      <c r="L90">
        <v>25.984000000000002</v>
      </c>
      <c r="M90">
        <v>25.984000000000002</v>
      </c>
      <c r="N90">
        <v>25.977</v>
      </c>
      <c r="O90">
        <v>25.922000000000001</v>
      </c>
      <c r="P90">
        <v>25.827999999999999</v>
      </c>
      <c r="Q90">
        <v>25.673999999999999</v>
      </c>
      <c r="R90">
        <v>25.556999999999999</v>
      </c>
      <c r="S90">
        <v>25.478000000000002</v>
      </c>
      <c r="T90">
        <v>25.443999999999999</v>
      </c>
      <c r="U90">
        <v>25.158000000000001</v>
      </c>
      <c r="V90">
        <v>25.030999999999999</v>
      </c>
      <c r="W90">
        <v>24.934000000000001</v>
      </c>
      <c r="X90">
        <v>24.805</v>
      </c>
      <c r="Y90">
        <v>24.576000000000001</v>
      </c>
      <c r="Z90">
        <v>24.611000000000001</v>
      </c>
      <c r="AA90">
        <v>24.603000000000002</v>
      </c>
      <c r="AB90">
        <v>24.564</v>
      </c>
      <c r="AC90">
        <v>24.556999999999999</v>
      </c>
      <c r="AD90">
        <v>24.620999999999999</v>
      </c>
      <c r="AE90">
        <v>24.555</v>
      </c>
      <c r="AF90">
        <v>24.535</v>
      </c>
      <c r="AG90">
        <v>24.524999999999999</v>
      </c>
      <c r="AH90">
        <v>24.544</v>
      </c>
      <c r="AI90">
        <v>24.526</v>
      </c>
      <c r="AJ90">
        <v>24.625</v>
      </c>
      <c r="AK90">
        <v>24.48</v>
      </c>
      <c r="AL90">
        <v>24.443999999999999</v>
      </c>
      <c r="AM90">
        <v>24.506</v>
      </c>
      <c r="AN90">
        <v>24.318000000000001</v>
      </c>
      <c r="AO90">
        <v>24.521000000000001</v>
      </c>
      <c r="AP90">
        <v>24.535</v>
      </c>
      <c r="AQ90">
        <v>24.428999999999998</v>
      </c>
      <c r="AR90">
        <v>24.402999999999999</v>
      </c>
      <c r="AS90">
        <v>24.462</v>
      </c>
      <c r="AT90">
        <v>24.478000000000002</v>
      </c>
      <c r="AU90">
        <v>24.521999999999998</v>
      </c>
      <c r="AV90">
        <v>24.504000000000001</v>
      </c>
      <c r="AW90">
        <v>24.436</v>
      </c>
      <c r="AX90">
        <v>24.332000000000001</v>
      </c>
      <c r="AY90">
        <v>24.295000000000002</v>
      </c>
      <c r="AZ90">
        <v>24.315999999999999</v>
      </c>
      <c r="BA90">
        <v>24.238</v>
      </c>
      <c r="BB90">
        <v>24.234999999999999</v>
      </c>
      <c r="BC90">
        <v>24.440999999999999</v>
      </c>
      <c r="BD90">
        <v>24.437999999999999</v>
      </c>
      <c r="BE90">
        <v>24.355</v>
      </c>
      <c r="BF90">
        <v>24.068999999999999</v>
      </c>
      <c r="BG90">
        <v>24.036999999999999</v>
      </c>
      <c r="BH90">
        <v>23.994</v>
      </c>
      <c r="BI90">
        <v>23.712</v>
      </c>
      <c r="BJ90">
        <v>23.58</v>
      </c>
      <c r="BK90">
        <v>23.759</v>
      </c>
      <c r="BL90">
        <v>23.873999999999999</v>
      </c>
      <c r="BM90">
        <v>23.882000000000001</v>
      </c>
      <c r="BN90">
        <v>23.887</v>
      </c>
      <c r="BO90">
        <v>24.052</v>
      </c>
      <c r="BP90">
        <v>23.948</v>
      </c>
      <c r="BQ90">
        <v>23.96</v>
      </c>
    </row>
    <row r="91" spans="1:69" x14ac:dyDescent="0.25">
      <c r="A91" t="s">
        <v>98</v>
      </c>
      <c r="B91">
        <v>7.8470000000000004</v>
      </c>
      <c r="C91">
        <v>7.8380000000000001</v>
      </c>
      <c r="D91">
        <v>7.8369999999999997</v>
      </c>
      <c r="E91">
        <v>7.8319999999999999</v>
      </c>
      <c r="F91">
        <v>7.8319999999999999</v>
      </c>
      <c r="G91">
        <v>7.827</v>
      </c>
      <c r="H91">
        <v>7.8159999999999998</v>
      </c>
      <c r="I91">
        <v>7.8019999999999996</v>
      </c>
      <c r="J91">
        <v>7.782</v>
      </c>
      <c r="K91">
        <v>7.7709999999999999</v>
      </c>
      <c r="L91">
        <v>7.7789999999999999</v>
      </c>
      <c r="M91">
        <v>7.7889999999999997</v>
      </c>
      <c r="N91">
        <v>7.85</v>
      </c>
      <c r="O91">
        <v>7.85</v>
      </c>
      <c r="P91">
        <v>7.8490000000000002</v>
      </c>
      <c r="Q91">
        <v>7.7949999999999999</v>
      </c>
      <c r="R91">
        <v>7.7560000000000002</v>
      </c>
      <c r="S91">
        <v>7.77</v>
      </c>
      <c r="T91">
        <v>7.7910000000000004</v>
      </c>
      <c r="U91">
        <v>7.7859999999999996</v>
      </c>
      <c r="V91">
        <v>7.7759999999999998</v>
      </c>
      <c r="W91">
        <v>7.78</v>
      </c>
      <c r="X91">
        <v>7.7720000000000002</v>
      </c>
      <c r="Y91">
        <v>7.7990000000000004</v>
      </c>
      <c r="Z91">
        <v>7.7889999999999997</v>
      </c>
      <c r="AA91">
        <v>7.8070000000000004</v>
      </c>
      <c r="AB91">
        <v>7.8090000000000002</v>
      </c>
      <c r="AC91">
        <v>7.8120000000000003</v>
      </c>
      <c r="AD91">
        <v>7.835</v>
      </c>
      <c r="AE91">
        <v>7.8230000000000004</v>
      </c>
      <c r="AF91">
        <v>7.8179999999999996</v>
      </c>
      <c r="AG91">
        <v>7.8170000000000002</v>
      </c>
      <c r="AH91">
        <v>7.8129999999999997</v>
      </c>
      <c r="AI91">
        <v>7.8070000000000004</v>
      </c>
      <c r="AJ91">
        <v>7.819</v>
      </c>
      <c r="AK91">
        <v>7.8239999999999998</v>
      </c>
      <c r="AL91">
        <v>7.8170000000000002</v>
      </c>
      <c r="AM91">
        <v>7.827</v>
      </c>
      <c r="AN91">
        <v>7.8339999999999996</v>
      </c>
      <c r="AO91">
        <v>7.8369999999999997</v>
      </c>
      <c r="AP91">
        <v>7.85</v>
      </c>
      <c r="AQ91">
        <v>7.8390000000000004</v>
      </c>
      <c r="AR91">
        <v>7.85</v>
      </c>
      <c r="AS91">
        <v>7.8109999999999999</v>
      </c>
      <c r="AT91">
        <v>7.7729999999999997</v>
      </c>
      <c r="AU91">
        <v>7.8369999999999997</v>
      </c>
      <c r="AV91">
        <v>7.85</v>
      </c>
      <c r="AW91">
        <v>7.8490000000000002</v>
      </c>
      <c r="AX91">
        <v>7.8440000000000003</v>
      </c>
      <c r="AY91">
        <v>7.85</v>
      </c>
      <c r="AZ91">
        <v>7.85</v>
      </c>
      <c r="BA91">
        <v>7.85</v>
      </c>
      <c r="BB91">
        <v>7.8360000000000003</v>
      </c>
      <c r="BC91">
        <v>7.827</v>
      </c>
      <c r="BD91">
        <v>7.8010000000000002</v>
      </c>
      <c r="BE91">
        <v>7.7939999999999996</v>
      </c>
      <c r="BF91">
        <v>7.8</v>
      </c>
      <c r="BG91">
        <v>7.7770000000000001</v>
      </c>
      <c r="BH91">
        <v>7.7839999999999998</v>
      </c>
      <c r="BI91">
        <v>7.7869999999999999</v>
      </c>
      <c r="BJ91">
        <v>7.7729999999999997</v>
      </c>
      <c r="BK91">
        <v>7.7629999999999999</v>
      </c>
      <c r="BL91">
        <v>7.7619999999999996</v>
      </c>
      <c r="BM91">
        <v>7.7640000000000002</v>
      </c>
      <c r="BN91">
        <v>7.7750000000000004</v>
      </c>
      <c r="BO91">
        <v>7.7539999999999996</v>
      </c>
      <c r="BP91">
        <v>7.7530000000000001</v>
      </c>
      <c r="BQ91">
        <v>7.7530000000000001</v>
      </c>
    </row>
    <row r="92" spans="1:69" x14ac:dyDescent="0.25">
      <c r="A92" t="s">
        <v>137</v>
      </c>
      <c r="B92">
        <v>314.33999999999997</v>
      </c>
      <c r="C92">
        <v>312.3</v>
      </c>
      <c r="D92">
        <v>308.66000000000003</v>
      </c>
      <c r="E92">
        <v>305.7</v>
      </c>
      <c r="F92">
        <v>310.69</v>
      </c>
      <c r="G92">
        <v>338.57</v>
      </c>
      <c r="H92">
        <v>318.75</v>
      </c>
      <c r="I92">
        <v>331.9</v>
      </c>
      <c r="J92">
        <v>326.69</v>
      </c>
      <c r="K92">
        <v>333.15</v>
      </c>
      <c r="L92">
        <v>338.91</v>
      </c>
      <c r="M92">
        <v>334.3</v>
      </c>
      <c r="N92">
        <v>338.07</v>
      </c>
      <c r="O92">
        <v>342.31</v>
      </c>
      <c r="P92">
        <v>349.18</v>
      </c>
      <c r="Q92">
        <v>363.3</v>
      </c>
      <c r="R92">
        <v>360.63</v>
      </c>
      <c r="S92">
        <v>366.62</v>
      </c>
      <c r="T92">
        <v>389.59</v>
      </c>
      <c r="U92">
        <v>404.92</v>
      </c>
      <c r="V92">
        <v>390.83</v>
      </c>
      <c r="W92">
        <v>386.01</v>
      </c>
      <c r="X92">
        <v>366.58</v>
      </c>
      <c r="Y92">
        <v>359.5</v>
      </c>
      <c r="Z92">
        <v>358.84</v>
      </c>
      <c r="AA92">
        <v>360.78</v>
      </c>
      <c r="AB92">
        <v>364.35</v>
      </c>
      <c r="AC92">
        <v>358.22</v>
      </c>
      <c r="AD92">
        <v>362.91</v>
      </c>
      <c r="AE92">
        <v>362.36</v>
      </c>
      <c r="AF92">
        <v>361.31</v>
      </c>
      <c r="AG92">
        <v>346.18</v>
      </c>
      <c r="AH92">
        <v>353.45</v>
      </c>
      <c r="AI92">
        <v>354.13</v>
      </c>
      <c r="AJ92">
        <v>363.71</v>
      </c>
      <c r="AK92">
        <v>357.75</v>
      </c>
      <c r="AL92">
        <v>349.78</v>
      </c>
      <c r="AM92">
        <v>338.55</v>
      </c>
      <c r="AN92">
        <v>343.44</v>
      </c>
      <c r="AO92">
        <v>340.71</v>
      </c>
      <c r="AP92">
        <v>341.02</v>
      </c>
      <c r="AQ92">
        <v>364.3</v>
      </c>
      <c r="AR92">
        <v>357.81</v>
      </c>
      <c r="AS92">
        <v>370.72</v>
      </c>
      <c r="AT92">
        <v>383.96</v>
      </c>
      <c r="AU92">
        <v>392.47</v>
      </c>
      <c r="AV92">
        <v>445.72</v>
      </c>
      <c r="AW92">
        <v>395.07</v>
      </c>
      <c r="AX92">
        <v>380.05</v>
      </c>
      <c r="AY92">
        <v>407.85</v>
      </c>
      <c r="AZ92">
        <v>384.16</v>
      </c>
      <c r="BA92">
        <v>359.31</v>
      </c>
      <c r="BB92">
        <v>347.41</v>
      </c>
      <c r="BC92">
        <v>347.79</v>
      </c>
      <c r="BD92">
        <v>310.54000000000002</v>
      </c>
      <c r="BE92">
        <v>311.52999999999997</v>
      </c>
      <c r="BF92">
        <v>326.51</v>
      </c>
      <c r="BG92">
        <v>318.61</v>
      </c>
      <c r="BH92">
        <v>309.61</v>
      </c>
      <c r="BI92">
        <v>296.2</v>
      </c>
      <c r="BJ92">
        <v>301.38</v>
      </c>
      <c r="BK92">
        <v>294.51</v>
      </c>
      <c r="BL92">
        <v>285.3</v>
      </c>
      <c r="BM92">
        <v>297.99</v>
      </c>
      <c r="BN92">
        <v>310.11</v>
      </c>
      <c r="BO92">
        <v>305.36</v>
      </c>
      <c r="BP92">
        <v>294.72000000000003</v>
      </c>
      <c r="BQ92">
        <v>296.22000000000003</v>
      </c>
    </row>
    <row r="93" spans="1:69" x14ac:dyDescent="0.25">
      <c r="A93" t="s">
        <v>149</v>
      </c>
      <c r="B93">
        <v>123.15</v>
      </c>
      <c r="C93">
        <v>125.41</v>
      </c>
      <c r="D93">
        <v>124.72</v>
      </c>
      <c r="E93">
        <v>122.37</v>
      </c>
      <c r="F93">
        <v>122.21</v>
      </c>
      <c r="G93">
        <v>125.31</v>
      </c>
      <c r="H93">
        <v>122.08</v>
      </c>
      <c r="I93">
        <v>125.76</v>
      </c>
      <c r="J93">
        <v>126.12</v>
      </c>
      <c r="K93">
        <v>127.04</v>
      </c>
      <c r="L93">
        <v>122.36</v>
      </c>
      <c r="M93">
        <v>121.68</v>
      </c>
      <c r="N93">
        <v>122.29</v>
      </c>
      <c r="O93">
        <v>121.74</v>
      </c>
      <c r="P93">
        <v>125.13</v>
      </c>
      <c r="Q93">
        <v>130.62</v>
      </c>
      <c r="R93">
        <v>127.79</v>
      </c>
      <c r="S93">
        <v>134.27000000000001</v>
      </c>
      <c r="T93">
        <v>141.59</v>
      </c>
      <c r="U93">
        <v>141.66999999999999</v>
      </c>
      <c r="V93">
        <v>138.88</v>
      </c>
      <c r="W93">
        <v>139.37</v>
      </c>
      <c r="X93">
        <v>136.21</v>
      </c>
      <c r="Y93">
        <v>138.31</v>
      </c>
      <c r="Z93">
        <v>137.82</v>
      </c>
      <c r="AA93">
        <v>137</v>
      </c>
      <c r="AB93">
        <v>137.69</v>
      </c>
      <c r="AC93">
        <v>139.02000000000001</v>
      </c>
      <c r="AD93">
        <v>140.12</v>
      </c>
      <c r="AE93">
        <v>135.66</v>
      </c>
      <c r="AF93">
        <v>138.58000000000001</v>
      </c>
      <c r="AG93">
        <v>136.77000000000001</v>
      </c>
      <c r="AH93">
        <v>139.41</v>
      </c>
      <c r="AI93">
        <v>143.38</v>
      </c>
      <c r="AJ93">
        <v>138.12</v>
      </c>
      <c r="AK93">
        <v>133.69</v>
      </c>
      <c r="AL93">
        <v>131.96</v>
      </c>
      <c r="AM93">
        <v>132.37</v>
      </c>
      <c r="AN93">
        <v>138.53</v>
      </c>
      <c r="AO93">
        <v>137.31</v>
      </c>
      <c r="AP93">
        <v>136.26</v>
      </c>
      <c r="AQ93">
        <v>141</v>
      </c>
      <c r="AR93">
        <v>142.78</v>
      </c>
      <c r="AS93">
        <v>143.22</v>
      </c>
      <c r="AT93">
        <v>141.66999999999999</v>
      </c>
      <c r="AU93">
        <v>144.65</v>
      </c>
      <c r="AV93">
        <v>144.41</v>
      </c>
      <c r="AW93">
        <v>139.55000000000001</v>
      </c>
      <c r="AX93">
        <v>134.93</v>
      </c>
      <c r="AY93">
        <v>137.44999999999999</v>
      </c>
      <c r="AZ93">
        <v>132.69999999999999</v>
      </c>
      <c r="BA93">
        <v>131.87</v>
      </c>
      <c r="BB93">
        <v>128.30000000000001</v>
      </c>
      <c r="BC93">
        <v>132.13999999999999</v>
      </c>
      <c r="BD93">
        <v>124.36</v>
      </c>
      <c r="BE93">
        <v>128.63999999999999</v>
      </c>
      <c r="BF93">
        <v>130.38</v>
      </c>
      <c r="BG93">
        <v>128.4</v>
      </c>
      <c r="BH93">
        <v>129.47</v>
      </c>
      <c r="BI93">
        <v>126.99</v>
      </c>
      <c r="BJ93">
        <v>124.06</v>
      </c>
      <c r="BK93">
        <v>123.4</v>
      </c>
      <c r="BL93">
        <v>120.33</v>
      </c>
      <c r="BM93">
        <v>122.67</v>
      </c>
      <c r="BN93">
        <v>126.6</v>
      </c>
      <c r="BO93">
        <v>125.15</v>
      </c>
      <c r="BP93">
        <v>128.59</v>
      </c>
      <c r="BQ93">
        <v>127.29</v>
      </c>
    </row>
    <row r="94" spans="1:69" x14ac:dyDescent="0.25">
      <c r="A94" t="s">
        <v>143</v>
      </c>
      <c r="B94">
        <v>95.44</v>
      </c>
      <c r="C94">
        <v>95.62</v>
      </c>
      <c r="D94">
        <v>95.754999999999995</v>
      </c>
      <c r="E94">
        <v>95.704999999999998</v>
      </c>
      <c r="F94">
        <v>93.37</v>
      </c>
      <c r="G94">
        <v>92.192999999999998</v>
      </c>
      <c r="H94">
        <v>90.59</v>
      </c>
      <c r="I94">
        <v>90.185000000000002</v>
      </c>
      <c r="J94">
        <v>90.36</v>
      </c>
      <c r="K94">
        <v>88.628</v>
      </c>
      <c r="L94">
        <v>88.673000000000002</v>
      </c>
      <c r="M94">
        <v>88.44</v>
      </c>
      <c r="N94">
        <v>87.49</v>
      </c>
      <c r="O94">
        <v>85.79</v>
      </c>
      <c r="P94">
        <v>85.51</v>
      </c>
      <c r="Q94">
        <v>85.34</v>
      </c>
      <c r="R94">
        <v>86.04</v>
      </c>
      <c r="S94">
        <v>87.2</v>
      </c>
      <c r="T94">
        <v>86.89</v>
      </c>
      <c r="U94">
        <v>86.58</v>
      </c>
      <c r="V94">
        <v>84.84</v>
      </c>
      <c r="W94">
        <v>84.38</v>
      </c>
      <c r="X94">
        <v>84.07</v>
      </c>
      <c r="Y94">
        <v>83.97</v>
      </c>
      <c r="Z94">
        <v>83.97</v>
      </c>
      <c r="AA94">
        <v>83.56</v>
      </c>
      <c r="AB94">
        <v>83.54</v>
      </c>
      <c r="AC94">
        <v>83.52</v>
      </c>
      <c r="AD94">
        <v>83.19</v>
      </c>
      <c r="AE94">
        <v>82.85</v>
      </c>
      <c r="AF94">
        <v>83.01</v>
      </c>
      <c r="AG94">
        <v>83.03</v>
      </c>
      <c r="AH94">
        <v>83.4</v>
      </c>
      <c r="AI94">
        <v>83.33</v>
      </c>
      <c r="AJ94">
        <v>83.18</v>
      </c>
      <c r="AK94">
        <v>82.98</v>
      </c>
      <c r="AL94">
        <v>82.84</v>
      </c>
      <c r="AM94">
        <v>82.25</v>
      </c>
      <c r="AN94">
        <v>82.37</v>
      </c>
      <c r="AO94">
        <v>82.09</v>
      </c>
      <c r="AP94">
        <v>82.09</v>
      </c>
      <c r="AQ94">
        <v>82.12</v>
      </c>
      <c r="AR94">
        <v>82.73</v>
      </c>
      <c r="AS94">
        <v>81.569999999999993</v>
      </c>
      <c r="AT94">
        <v>82.8</v>
      </c>
      <c r="AU94">
        <v>80.8</v>
      </c>
      <c r="AV94">
        <v>82.31</v>
      </c>
      <c r="AW94">
        <v>79.14</v>
      </c>
      <c r="AX94">
        <v>79.63</v>
      </c>
      <c r="AY94">
        <v>79.63</v>
      </c>
      <c r="AZ94">
        <v>78.03</v>
      </c>
      <c r="BA94">
        <v>77.23</v>
      </c>
      <c r="BB94">
        <v>76.13</v>
      </c>
      <c r="BC94">
        <v>76.59</v>
      </c>
      <c r="BD94">
        <v>75.38</v>
      </c>
      <c r="BE94">
        <v>73.91</v>
      </c>
      <c r="BF94">
        <v>75.09</v>
      </c>
      <c r="BG94">
        <v>74.92</v>
      </c>
      <c r="BH94">
        <v>74.150000000000006</v>
      </c>
      <c r="BI94">
        <v>73.27</v>
      </c>
      <c r="BJ94">
        <v>74.28</v>
      </c>
      <c r="BK94">
        <v>74.19</v>
      </c>
      <c r="BL94">
        <v>72.58</v>
      </c>
      <c r="BM94">
        <v>74.040000000000006</v>
      </c>
      <c r="BN94">
        <v>73.38</v>
      </c>
      <c r="BO94">
        <v>72.42</v>
      </c>
      <c r="BP94">
        <v>73.040000000000006</v>
      </c>
      <c r="BQ94">
        <v>73.42</v>
      </c>
    </row>
    <row r="95" spans="1:69" x14ac:dyDescent="0.25">
      <c r="A95" t="s">
        <v>139</v>
      </c>
      <c r="B95">
        <v>17863</v>
      </c>
      <c r="C95">
        <v>18100</v>
      </c>
      <c r="D95">
        <v>17985</v>
      </c>
      <c r="E95">
        <v>17460</v>
      </c>
      <c r="F95">
        <v>17100</v>
      </c>
      <c r="G95">
        <v>16889</v>
      </c>
      <c r="H95">
        <v>16822</v>
      </c>
      <c r="I95">
        <v>16873</v>
      </c>
      <c r="J95">
        <v>16672</v>
      </c>
      <c r="K95">
        <v>16711</v>
      </c>
      <c r="L95">
        <v>16555</v>
      </c>
      <c r="M95">
        <v>16458</v>
      </c>
      <c r="N95">
        <v>16190</v>
      </c>
      <c r="O95">
        <v>16214</v>
      </c>
      <c r="P95">
        <v>16258</v>
      </c>
      <c r="Q95">
        <v>16622</v>
      </c>
      <c r="R95">
        <v>16791</v>
      </c>
      <c r="S95">
        <v>16448</v>
      </c>
      <c r="T95">
        <v>16369</v>
      </c>
      <c r="U95">
        <v>16278</v>
      </c>
      <c r="V95">
        <v>15914</v>
      </c>
      <c r="W95">
        <v>15779</v>
      </c>
      <c r="X95">
        <v>15575</v>
      </c>
      <c r="Y95">
        <v>15395</v>
      </c>
      <c r="Z95">
        <v>15830</v>
      </c>
      <c r="AA95">
        <v>16190</v>
      </c>
      <c r="AB95">
        <v>16290</v>
      </c>
      <c r="AC95">
        <v>16076</v>
      </c>
      <c r="AD95">
        <v>15848</v>
      </c>
      <c r="AE95">
        <v>15575</v>
      </c>
      <c r="AF95">
        <v>15590</v>
      </c>
      <c r="AG95">
        <v>15545</v>
      </c>
      <c r="AH95">
        <v>15655</v>
      </c>
      <c r="AI95">
        <v>15697</v>
      </c>
      <c r="AJ95">
        <v>15695</v>
      </c>
      <c r="AK95">
        <v>15365</v>
      </c>
      <c r="AL95">
        <v>15215</v>
      </c>
      <c r="AM95">
        <v>15069</v>
      </c>
      <c r="AN95">
        <v>14858</v>
      </c>
      <c r="AO95">
        <v>14716</v>
      </c>
      <c r="AP95">
        <v>14875</v>
      </c>
      <c r="AQ95">
        <v>15372</v>
      </c>
      <c r="AR95">
        <v>15190</v>
      </c>
      <c r="AS95">
        <v>15480</v>
      </c>
      <c r="AT95">
        <v>15655</v>
      </c>
      <c r="AU95">
        <v>15490</v>
      </c>
      <c r="AV95">
        <v>15354</v>
      </c>
      <c r="AW95">
        <v>14850</v>
      </c>
      <c r="AX95">
        <v>14761</v>
      </c>
      <c r="AY95">
        <v>14990</v>
      </c>
      <c r="AZ95">
        <v>14681</v>
      </c>
      <c r="BA95">
        <v>14551</v>
      </c>
      <c r="BB95">
        <v>14364</v>
      </c>
      <c r="BC95">
        <v>14297</v>
      </c>
      <c r="BD95">
        <v>14347</v>
      </c>
      <c r="BE95">
        <v>14319</v>
      </c>
      <c r="BF95">
        <v>14317</v>
      </c>
      <c r="BG95">
        <v>14170</v>
      </c>
      <c r="BH95">
        <v>14290</v>
      </c>
      <c r="BI95">
        <v>14368</v>
      </c>
      <c r="BJ95">
        <v>14480</v>
      </c>
      <c r="BK95">
        <v>14440</v>
      </c>
      <c r="BL95">
        <v>14285</v>
      </c>
      <c r="BM95">
        <v>14445</v>
      </c>
      <c r="BN95">
        <v>14470</v>
      </c>
      <c r="BO95">
        <v>14080</v>
      </c>
      <c r="BP95">
        <v>14055</v>
      </c>
      <c r="BQ95">
        <v>14110</v>
      </c>
    </row>
    <row r="96" spans="1:69" x14ac:dyDescent="0.25">
      <c r="A96" t="s">
        <v>147</v>
      </c>
      <c r="B96">
        <v>1534313.5730000001</v>
      </c>
      <c r="C96">
        <v>1479449.125</v>
      </c>
      <c r="D96">
        <v>1463363.1310000001</v>
      </c>
      <c r="E96">
        <v>1473643.04</v>
      </c>
      <c r="F96">
        <v>1391142.6129999999</v>
      </c>
      <c r="G96">
        <v>1381939</v>
      </c>
      <c r="H96">
        <v>1330966.683</v>
      </c>
      <c r="I96">
        <v>1154684.1200000001</v>
      </c>
      <c r="J96">
        <v>914902.68200000003</v>
      </c>
      <c r="K96">
        <v>891656.00100000005</v>
      </c>
      <c r="L96">
        <v>696640</v>
      </c>
      <c r="M96">
        <v>693013</v>
      </c>
      <c r="N96">
        <v>692816</v>
      </c>
      <c r="O96">
        <v>689286</v>
      </c>
      <c r="P96">
        <v>686291</v>
      </c>
      <c r="Q96">
        <v>688614</v>
      </c>
      <c r="R96">
        <v>683526</v>
      </c>
      <c r="S96">
        <v>678360</v>
      </c>
      <c r="T96">
        <v>665350</v>
      </c>
      <c r="U96">
        <v>661234</v>
      </c>
      <c r="V96">
        <v>539536</v>
      </c>
      <c r="W96">
        <v>497385</v>
      </c>
      <c r="X96">
        <v>471756</v>
      </c>
      <c r="Y96">
        <v>454409</v>
      </c>
      <c r="Z96">
        <v>444192</v>
      </c>
      <c r="AA96">
        <v>430202</v>
      </c>
      <c r="AB96">
        <v>422164</v>
      </c>
      <c r="AC96">
        <v>415271</v>
      </c>
      <c r="AD96">
        <v>402825</v>
      </c>
      <c r="AE96">
        <v>398803</v>
      </c>
      <c r="AF96">
        <v>393519</v>
      </c>
      <c r="AG96">
        <v>391716</v>
      </c>
      <c r="AH96">
        <v>384283</v>
      </c>
      <c r="AI96">
        <v>373376</v>
      </c>
      <c r="AJ96">
        <v>371240</v>
      </c>
      <c r="AK96">
        <v>371964</v>
      </c>
      <c r="AL96">
        <v>372471</v>
      </c>
      <c r="AM96">
        <v>371697</v>
      </c>
      <c r="AN96">
        <v>374009</v>
      </c>
      <c r="AO96">
        <v>381139</v>
      </c>
      <c r="AP96">
        <v>375793</v>
      </c>
      <c r="AQ96">
        <v>381412</v>
      </c>
      <c r="AR96">
        <v>282435</v>
      </c>
      <c r="AS96">
        <v>282435</v>
      </c>
      <c r="AT96">
        <v>286676</v>
      </c>
      <c r="AU96">
        <v>274313</v>
      </c>
      <c r="AV96">
        <v>269675</v>
      </c>
      <c r="AW96">
        <v>267318</v>
      </c>
      <c r="AX96">
        <v>264730</v>
      </c>
      <c r="AY96">
        <v>279784</v>
      </c>
      <c r="AZ96">
        <v>265036</v>
      </c>
      <c r="BA96">
        <v>255134</v>
      </c>
      <c r="BB96">
        <v>252032</v>
      </c>
      <c r="BC96">
        <v>241045</v>
      </c>
      <c r="BD96">
        <v>242656</v>
      </c>
      <c r="BE96">
        <v>257504</v>
      </c>
      <c r="BF96">
        <v>259377</v>
      </c>
      <c r="BG96">
        <v>263607</v>
      </c>
      <c r="BH96">
        <v>268509</v>
      </c>
      <c r="BI96">
        <v>267982</v>
      </c>
      <c r="BJ96">
        <v>239513</v>
      </c>
      <c r="BK96">
        <v>235130</v>
      </c>
      <c r="BL96">
        <v>221918</v>
      </c>
      <c r="BM96">
        <v>229820</v>
      </c>
      <c r="BN96">
        <v>254246</v>
      </c>
      <c r="BO96">
        <v>245257</v>
      </c>
      <c r="BP96">
        <v>234575</v>
      </c>
      <c r="BQ96">
        <v>250442</v>
      </c>
    </row>
    <row r="97" spans="1:69" x14ac:dyDescent="0.25">
      <c r="A97" t="s">
        <v>145</v>
      </c>
      <c r="B97">
        <v>1310</v>
      </c>
      <c r="C97">
        <v>1310</v>
      </c>
      <c r="D97">
        <v>1310</v>
      </c>
      <c r="E97">
        <v>1310</v>
      </c>
      <c r="F97">
        <v>1310</v>
      </c>
      <c r="G97">
        <v>1310</v>
      </c>
      <c r="H97">
        <v>1310</v>
      </c>
      <c r="I97">
        <v>1310</v>
      </c>
      <c r="J97">
        <v>1310</v>
      </c>
      <c r="K97">
        <v>1310</v>
      </c>
      <c r="L97">
        <v>1310</v>
      </c>
      <c r="M97">
        <v>1310</v>
      </c>
      <c r="N97">
        <v>1310</v>
      </c>
      <c r="O97">
        <v>1310</v>
      </c>
      <c r="P97">
        <v>1310</v>
      </c>
      <c r="Q97">
        <v>1310</v>
      </c>
      <c r="R97">
        <v>1310</v>
      </c>
      <c r="S97">
        <v>1310</v>
      </c>
      <c r="T97">
        <v>1310</v>
      </c>
      <c r="U97">
        <v>1310</v>
      </c>
      <c r="V97">
        <v>1310</v>
      </c>
      <c r="W97">
        <v>1310</v>
      </c>
      <c r="X97">
        <v>1310</v>
      </c>
      <c r="Y97">
        <v>1310</v>
      </c>
      <c r="Z97">
        <v>1310</v>
      </c>
      <c r="AA97">
        <v>1310</v>
      </c>
      <c r="AB97">
        <v>1310</v>
      </c>
      <c r="AC97">
        <v>1310</v>
      </c>
      <c r="AD97">
        <v>1310</v>
      </c>
      <c r="AE97">
        <v>1310</v>
      </c>
      <c r="AF97">
        <v>1310</v>
      </c>
      <c r="AG97">
        <v>1310</v>
      </c>
      <c r="AH97">
        <v>1310</v>
      </c>
      <c r="AI97">
        <v>1310</v>
      </c>
      <c r="AJ97">
        <v>1310</v>
      </c>
      <c r="AK97">
        <v>1310</v>
      </c>
      <c r="AL97">
        <v>1310</v>
      </c>
      <c r="AM97">
        <v>1310</v>
      </c>
      <c r="AN97">
        <v>1310</v>
      </c>
      <c r="AO97">
        <v>1310</v>
      </c>
      <c r="AP97">
        <v>1310</v>
      </c>
      <c r="AQ97">
        <v>1310</v>
      </c>
      <c r="AR97">
        <v>1460</v>
      </c>
      <c r="AS97">
        <v>1450</v>
      </c>
      <c r="AT97">
        <v>1450</v>
      </c>
      <c r="AU97">
        <v>1450</v>
      </c>
      <c r="AV97">
        <v>1450</v>
      </c>
      <c r="AW97">
        <v>1450</v>
      </c>
      <c r="AX97">
        <v>1450</v>
      </c>
      <c r="AY97">
        <v>1450</v>
      </c>
      <c r="AZ97">
        <v>1460</v>
      </c>
      <c r="BA97">
        <v>1450</v>
      </c>
      <c r="BB97">
        <v>1450</v>
      </c>
      <c r="BC97">
        <v>1450</v>
      </c>
      <c r="BD97">
        <v>1450</v>
      </c>
      <c r="BE97">
        <v>1450</v>
      </c>
      <c r="BF97">
        <v>1450</v>
      </c>
      <c r="BG97">
        <v>1450</v>
      </c>
      <c r="BH97">
        <v>1450</v>
      </c>
      <c r="BI97">
        <v>1450</v>
      </c>
      <c r="BJ97">
        <v>1450</v>
      </c>
      <c r="BK97">
        <v>1450</v>
      </c>
      <c r="BL97">
        <v>1450</v>
      </c>
      <c r="BM97">
        <v>1450</v>
      </c>
      <c r="BN97">
        <v>1445</v>
      </c>
      <c r="BO97">
        <v>1440</v>
      </c>
      <c r="BP97">
        <v>1445</v>
      </c>
      <c r="BQ97">
        <v>1400</v>
      </c>
    </row>
    <row r="98" spans="1:69" x14ac:dyDescent="0.25">
      <c r="A98" t="s">
        <v>45</v>
      </c>
      <c r="B98">
        <v>0.86699999999999999</v>
      </c>
      <c r="C98">
        <v>0.875</v>
      </c>
      <c r="D98">
        <v>0.86799999999999999</v>
      </c>
      <c r="E98">
        <v>0.85399999999999998</v>
      </c>
      <c r="F98">
        <v>0.85399999999999998</v>
      </c>
      <c r="G98">
        <v>0.86699999999999999</v>
      </c>
      <c r="H98">
        <v>0.84099999999999997</v>
      </c>
      <c r="I98">
        <v>0.85799999999999998</v>
      </c>
      <c r="J98">
        <v>0.85199999999999998</v>
      </c>
      <c r="K98">
        <v>0.86499999999999999</v>
      </c>
      <c r="L98">
        <v>0.86499999999999999</v>
      </c>
      <c r="M98">
        <v>0.85299999999999998</v>
      </c>
      <c r="N98">
        <v>0.85499999999999998</v>
      </c>
      <c r="O98">
        <v>0.85599999999999998</v>
      </c>
      <c r="P98">
        <v>0.872</v>
      </c>
      <c r="Q98">
        <v>0.89700000000000002</v>
      </c>
      <c r="R98">
        <v>0.88</v>
      </c>
      <c r="S98">
        <v>0.91800000000000004</v>
      </c>
      <c r="T98">
        <v>0.96699999999999997</v>
      </c>
      <c r="U98">
        <v>0.98</v>
      </c>
      <c r="V98">
        <v>0.95299999999999996</v>
      </c>
      <c r="W98">
        <v>0.94299999999999995</v>
      </c>
      <c r="X98">
        <v>0.91400000000000003</v>
      </c>
      <c r="Y98">
        <v>0.90800000000000003</v>
      </c>
      <c r="Z98">
        <v>0.91300000000000003</v>
      </c>
      <c r="AA98">
        <v>0.91800000000000004</v>
      </c>
      <c r="AB98">
        <v>0.92300000000000004</v>
      </c>
      <c r="AC98">
        <v>0.92600000000000005</v>
      </c>
      <c r="AD98">
        <v>0.93200000000000005</v>
      </c>
      <c r="AE98">
        <v>0.91400000000000003</v>
      </c>
      <c r="AF98">
        <v>0.93300000000000005</v>
      </c>
      <c r="AG98">
        <v>0.91300000000000003</v>
      </c>
      <c r="AH98">
        <v>0.92700000000000005</v>
      </c>
      <c r="AI98">
        <v>0.93700000000000006</v>
      </c>
      <c r="AJ98">
        <v>0.94099999999999995</v>
      </c>
      <c r="AK98">
        <v>0.93100000000000005</v>
      </c>
      <c r="AL98">
        <v>0.91300000000000003</v>
      </c>
      <c r="AM98">
        <v>0.90200000000000002</v>
      </c>
      <c r="AN98">
        <v>0.92700000000000005</v>
      </c>
      <c r="AO98">
        <v>0.91700000000000004</v>
      </c>
      <c r="AP98">
        <v>0.91100000000000003</v>
      </c>
      <c r="AQ98">
        <v>0.93400000000000005</v>
      </c>
      <c r="AR98">
        <v>0.93300000000000005</v>
      </c>
      <c r="AS98">
        <v>0.92900000000000005</v>
      </c>
      <c r="AT98">
        <v>0.93799999999999994</v>
      </c>
      <c r="AU98">
        <v>0.97199999999999998</v>
      </c>
      <c r="AV98">
        <v>1.032</v>
      </c>
      <c r="AW98">
        <v>0.997</v>
      </c>
      <c r="AX98">
        <v>0.96499999999999997</v>
      </c>
      <c r="AY98">
        <v>0.996</v>
      </c>
      <c r="AZ98">
        <v>0.95799999999999996</v>
      </c>
      <c r="BA98">
        <v>0.94699999999999995</v>
      </c>
      <c r="BB98">
        <v>0.92</v>
      </c>
      <c r="BC98">
        <v>0.91300000000000003</v>
      </c>
      <c r="BD98">
        <v>0.878</v>
      </c>
      <c r="BE98">
        <v>0.876</v>
      </c>
      <c r="BF98">
        <v>0.88800000000000001</v>
      </c>
      <c r="BG98">
        <v>0.872</v>
      </c>
      <c r="BH98">
        <v>0.86</v>
      </c>
      <c r="BI98">
        <v>0.84699999999999998</v>
      </c>
      <c r="BJ98">
        <v>0.84099999999999997</v>
      </c>
      <c r="BK98">
        <v>0.83799999999999997</v>
      </c>
      <c r="BL98">
        <v>0.82</v>
      </c>
      <c r="BM98">
        <v>0.82599999999999996</v>
      </c>
      <c r="BN98">
        <v>0.85299999999999998</v>
      </c>
      <c r="BO98">
        <v>0.83699999999999997</v>
      </c>
      <c r="BP98">
        <v>0.82399999999999995</v>
      </c>
      <c r="BQ98">
        <v>0.82199999999999995</v>
      </c>
    </row>
    <row r="99" spans="1:69" x14ac:dyDescent="0.25">
      <c r="A99" t="s">
        <v>141</v>
      </c>
      <c r="B99">
        <v>2.9809999999999999</v>
      </c>
      <c r="C99">
        <v>3.024</v>
      </c>
      <c r="D99">
        <v>2.96</v>
      </c>
      <c r="E99">
        <v>2.9119999999999999</v>
      </c>
      <c r="F99">
        <v>3.0449999999999999</v>
      </c>
      <c r="G99">
        <v>3.125</v>
      </c>
      <c r="H99">
        <v>3.0619999999999998</v>
      </c>
      <c r="I99">
        <v>3.1509999999999998</v>
      </c>
      <c r="J99">
        <v>3.2080000000000002</v>
      </c>
      <c r="K99">
        <v>3.198</v>
      </c>
      <c r="L99">
        <v>3.2829999999999999</v>
      </c>
      <c r="M99">
        <v>3.327</v>
      </c>
      <c r="N99">
        <v>3.3860000000000001</v>
      </c>
      <c r="O99">
        <v>3.3340000000000001</v>
      </c>
      <c r="P99">
        <v>3.49</v>
      </c>
      <c r="Q99">
        <v>3.569</v>
      </c>
      <c r="R99">
        <v>3.7040000000000002</v>
      </c>
      <c r="S99">
        <v>3.6389999999999998</v>
      </c>
      <c r="T99">
        <v>3.5939999999999999</v>
      </c>
      <c r="U99">
        <v>3.67</v>
      </c>
      <c r="V99">
        <v>3.581</v>
      </c>
      <c r="W99">
        <v>3.746</v>
      </c>
      <c r="X99">
        <v>3.7679999999999998</v>
      </c>
      <c r="Y99">
        <v>3.758</v>
      </c>
      <c r="Z99">
        <v>3.7229999999999999</v>
      </c>
      <c r="AA99">
        <v>3.64</v>
      </c>
      <c r="AB99">
        <v>3.6850000000000001</v>
      </c>
      <c r="AC99">
        <v>3.7170000000000001</v>
      </c>
      <c r="AD99">
        <v>3.7480000000000002</v>
      </c>
      <c r="AE99">
        <v>3.649</v>
      </c>
      <c r="AF99">
        <v>3.66</v>
      </c>
      <c r="AG99">
        <v>3.7360000000000002</v>
      </c>
      <c r="AH99">
        <v>3.698</v>
      </c>
      <c r="AI99">
        <v>3.867</v>
      </c>
      <c r="AJ99">
        <v>3.9590000000000001</v>
      </c>
      <c r="AK99">
        <v>3.8239999999999998</v>
      </c>
      <c r="AL99">
        <v>3.734</v>
      </c>
      <c r="AM99">
        <v>3.6480000000000001</v>
      </c>
      <c r="AN99">
        <v>3.5619999999999998</v>
      </c>
      <c r="AO99">
        <v>3.65</v>
      </c>
      <c r="AP99">
        <v>3.6669999999999998</v>
      </c>
      <c r="AQ99">
        <v>3.6269999999999998</v>
      </c>
      <c r="AR99">
        <v>3.524</v>
      </c>
      <c r="AS99">
        <v>3.4329999999999998</v>
      </c>
      <c r="AT99">
        <v>3.3889999999999998</v>
      </c>
      <c r="AU99">
        <v>3.4180000000000001</v>
      </c>
      <c r="AV99">
        <v>3.5670000000000002</v>
      </c>
      <c r="AW99">
        <v>3.407</v>
      </c>
      <c r="AX99">
        <v>3.24</v>
      </c>
      <c r="AY99">
        <v>3.4740000000000002</v>
      </c>
      <c r="AZ99">
        <v>3.4390000000000001</v>
      </c>
      <c r="BA99">
        <v>3.43</v>
      </c>
      <c r="BB99">
        <v>3.2040000000000002</v>
      </c>
      <c r="BC99">
        <v>3.2480000000000002</v>
      </c>
      <c r="BD99">
        <v>3.2330000000000001</v>
      </c>
      <c r="BE99">
        <v>3.0990000000000002</v>
      </c>
      <c r="BF99">
        <v>3.1669999999999998</v>
      </c>
      <c r="BG99">
        <v>3.1680000000000001</v>
      </c>
      <c r="BH99">
        <v>3.2170000000000001</v>
      </c>
      <c r="BI99">
        <v>3.218</v>
      </c>
      <c r="BJ99">
        <v>3.2429999999999999</v>
      </c>
      <c r="BK99">
        <v>3.2610000000000001</v>
      </c>
      <c r="BL99">
        <v>3.2450000000000001</v>
      </c>
      <c r="BM99">
        <v>3.2450000000000001</v>
      </c>
      <c r="BN99">
        <v>3.3340000000000001</v>
      </c>
      <c r="BO99">
        <v>3.274</v>
      </c>
      <c r="BP99">
        <v>3.286</v>
      </c>
      <c r="BQ99">
        <v>3.2090000000000001</v>
      </c>
    </row>
    <row r="100" spans="1:69" x14ac:dyDescent="0.25">
      <c r="A100" t="s">
        <v>45</v>
      </c>
      <c r="B100">
        <v>0.86699999999999999</v>
      </c>
      <c r="C100">
        <v>0.875</v>
      </c>
      <c r="D100">
        <v>0.86799999999999999</v>
      </c>
      <c r="E100">
        <v>0.85399999999999998</v>
      </c>
      <c r="F100">
        <v>0.85399999999999998</v>
      </c>
      <c r="G100">
        <v>0.86699999999999999</v>
      </c>
      <c r="H100">
        <v>0.84099999999999997</v>
      </c>
      <c r="I100">
        <v>0.85799999999999998</v>
      </c>
      <c r="J100">
        <v>0.85199999999999998</v>
      </c>
      <c r="K100">
        <v>0.86499999999999999</v>
      </c>
      <c r="L100">
        <v>0.86499999999999999</v>
      </c>
      <c r="M100">
        <v>0.85299999999999998</v>
      </c>
      <c r="N100">
        <v>0.85499999999999998</v>
      </c>
      <c r="O100">
        <v>0.85599999999999998</v>
      </c>
      <c r="P100">
        <v>0.872</v>
      </c>
      <c r="Q100">
        <v>0.89700000000000002</v>
      </c>
      <c r="R100">
        <v>0.88</v>
      </c>
      <c r="S100">
        <v>0.91800000000000004</v>
      </c>
      <c r="T100">
        <v>0.96699999999999997</v>
      </c>
      <c r="U100">
        <v>0.98</v>
      </c>
      <c r="V100">
        <v>0.95299999999999996</v>
      </c>
      <c r="W100">
        <v>0.94299999999999995</v>
      </c>
      <c r="X100">
        <v>0.91400000000000003</v>
      </c>
      <c r="Y100">
        <v>0.90800000000000003</v>
      </c>
      <c r="Z100">
        <v>0.91300000000000003</v>
      </c>
      <c r="AA100">
        <v>0.91800000000000004</v>
      </c>
      <c r="AB100">
        <v>0.92300000000000004</v>
      </c>
      <c r="AC100">
        <v>0.92600000000000005</v>
      </c>
      <c r="AD100">
        <v>0.93200000000000005</v>
      </c>
      <c r="AE100">
        <v>0.91400000000000003</v>
      </c>
      <c r="AF100">
        <v>0.93300000000000005</v>
      </c>
      <c r="AG100">
        <v>0.91300000000000003</v>
      </c>
      <c r="AH100">
        <v>0.92700000000000005</v>
      </c>
      <c r="AI100">
        <v>0.93700000000000006</v>
      </c>
      <c r="AJ100">
        <v>0.94099999999999995</v>
      </c>
      <c r="AK100">
        <v>0.93100000000000005</v>
      </c>
      <c r="AL100">
        <v>0.91300000000000003</v>
      </c>
      <c r="AM100">
        <v>0.90200000000000002</v>
      </c>
      <c r="AN100">
        <v>0.92700000000000005</v>
      </c>
      <c r="AO100">
        <v>0.91700000000000004</v>
      </c>
      <c r="AP100">
        <v>0.91100000000000003</v>
      </c>
      <c r="AQ100">
        <v>0.93400000000000005</v>
      </c>
      <c r="AR100">
        <v>0.93300000000000005</v>
      </c>
      <c r="AS100">
        <v>0.92900000000000005</v>
      </c>
      <c r="AT100">
        <v>0.93799999999999994</v>
      </c>
      <c r="AU100">
        <v>0.97199999999999998</v>
      </c>
      <c r="AV100">
        <v>1.032</v>
      </c>
      <c r="AW100">
        <v>0.997</v>
      </c>
      <c r="AX100">
        <v>0.96499999999999997</v>
      </c>
      <c r="AY100">
        <v>0.996</v>
      </c>
      <c r="AZ100">
        <v>0.95799999999999996</v>
      </c>
      <c r="BA100">
        <v>0.94699999999999995</v>
      </c>
      <c r="BB100">
        <v>0.92</v>
      </c>
      <c r="BC100">
        <v>0.91300000000000003</v>
      </c>
      <c r="BD100">
        <v>0.878</v>
      </c>
      <c r="BE100">
        <v>0.876</v>
      </c>
      <c r="BF100">
        <v>0.88800000000000001</v>
      </c>
      <c r="BG100">
        <v>0.872</v>
      </c>
      <c r="BH100">
        <v>0.86</v>
      </c>
      <c r="BI100">
        <v>0.84699999999999998</v>
      </c>
      <c r="BJ100">
        <v>0.84099999999999997</v>
      </c>
      <c r="BK100">
        <v>0.83799999999999997</v>
      </c>
      <c r="BL100">
        <v>0.82</v>
      </c>
      <c r="BM100">
        <v>0.82599999999999996</v>
      </c>
      <c r="BN100">
        <v>0.85299999999999998</v>
      </c>
      <c r="BO100">
        <v>0.83699999999999997</v>
      </c>
      <c r="BP100">
        <v>0.82399999999999995</v>
      </c>
      <c r="BQ100">
        <v>0.82199999999999995</v>
      </c>
    </row>
    <row r="101" spans="1:69" x14ac:dyDescent="0.25">
      <c r="A101" t="s">
        <v>151</v>
      </c>
      <c r="B101">
        <v>158.21</v>
      </c>
      <c r="C101">
        <v>157.292</v>
      </c>
      <c r="D101">
        <v>157.327</v>
      </c>
      <c r="E101">
        <v>156.797</v>
      </c>
      <c r="F101">
        <v>156.71100000000001</v>
      </c>
      <c r="G101">
        <v>155.398</v>
      </c>
      <c r="H101">
        <v>155.31</v>
      </c>
      <c r="I101">
        <v>157.36000000000001</v>
      </c>
      <c r="J101">
        <v>159.51</v>
      </c>
      <c r="K101">
        <v>159.51</v>
      </c>
      <c r="L101">
        <v>159.678</v>
      </c>
      <c r="M101">
        <v>159.084</v>
      </c>
      <c r="N101">
        <v>159.11699999999999</v>
      </c>
      <c r="O101">
        <v>159.03200000000001</v>
      </c>
      <c r="P101">
        <v>158.59100000000001</v>
      </c>
      <c r="Q101">
        <v>158.24799999999999</v>
      </c>
      <c r="R101">
        <v>157.03100000000001</v>
      </c>
      <c r="S101">
        <v>156.47499999999999</v>
      </c>
      <c r="T101">
        <v>156.45699999999999</v>
      </c>
      <c r="U101">
        <v>155.64699999999999</v>
      </c>
      <c r="V101">
        <v>155.447</v>
      </c>
      <c r="W101">
        <v>157.40799999999999</v>
      </c>
      <c r="X101">
        <v>157.096</v>
      </c>
      <c r="Y101">
        <v>156.65799999999999</v>
      </c>
      <c r="Z101">
        <v>156.02000000000001</v>
      </c>
      <c r="AA101">
        <v>155.90100000000001</v>
      </c>
      <c r="AB101">
        <v>155.41999999999999</v>
      </c>
      <c r="AC101">
        <v>155.65</v>
      </c>
      <c r="AD101">
        <v>153.501</v>
      </c>
      <c r="AE101">
        <v>154.09200000000001</v>
      </c>
      <c r="AF101">
        <v>154.70099999999999</v>
      </c>
      <c r="AG101">
        <v>153.768</v>
      </c>
      <c r="AH101">
        <v>154.51499999999999</v>
      </c>
      <c r="AI101">
        <v>153.726</v>
      </c>
      <c r="AJ101">
        <v>153.88300000000001</v>
      </c>
      <c r="AK101">
        <v>153.42699999999999</v>
      </c>
      <c r="AL101">
        <v>153.41399999999999</v>
      </c>
      <c r="AM101">
        <v>153.328</v>
      </c>
      <c r="AN101">
        <v>153.203</v>
      </c>
      <c r="AO101">
        <v>152.78399999999999</v>
      </c>
      <c r="AP101">
        <v>150.62200000000001</v>
      </c>
      <c r="AQ101">
        <v>152.99799999999999</v>
      </c>
      <c r="AR101">
        <v>153.20699999999999</v>
      </c>
      <c r="AS101">
        <v>152.08099999999999</v>
      </c>
      <c r="AT101">
        <v>153.47</v>
      </c>
      <c r="AU101">
        <v>152.67599999999999</v>
      </c>
      <c r="AV101">
        <v>151.79900000000001</v>
      </c>
      <c r="AW101">
        <v>150.779</v>
      </c>
      <c r="AX101">
        <v>151.02199999999999</v>
      </c>
      <c r="AY101">
        <v>150.54</v>
      </c>
      <c r="AZ101">
        <v>152.72399999999999</v>
      </c>
      <c r="BA101">
        <v>153.68</v>
      </c>
      <c r="BB101">
        <v>153.47300000000001</v>
      </c>
      <c r="BC101">
        <v>152.27600000000001</v>
      </c>
      <c r="BD101">
        <v>156.17099999999999</v>
      </c>
      <c r="BE101">
        <v>153.40899999999999</v>
      </c>
      <c r="BF101">
        <v>154.518</v>
      </c>
      <c r="BG101">
        <v>153.37</v>
      </c>
      <c r="BH101">
        <v>147.34399999999999</v>
      </c>
      <c r="BI101">
        <v>150.75399999999999</v>
      </c>
      <c r="BJ101">
        <v>153.18299999999999</v>
      </c>
      <c r="BK101">
        <v>148.982</v>
      </c>
      <c r="BL101">
        <v>148.38900000000001</v>
      </c>
      <c r="BM101">
        <v>152.79</v>
      </c>
      <c r="BN101">
        <v>144.52600000000001</v>
      </c>
      <c r="BO101">
        <v>150.25299999999999</v>
      </c>
      <c r="BP101">
        <v>145.334</v>
      </c>
      <c r="BQ101">
        <v>141.072</v>
      </c>
    </row>
    <row r="102" spans="1:69" x14ac:dyDescent="0.25">
      <c r="A102" t="s">
        <v>155</v>
      </c>
      <c r="B102">
        <v>159.33000000000001</v>
      </c>
      <c r="C102">
        <v>162.13</v>
      </c>
      <c r="D102">
        <v>160.55000000000001</v>
      </c>
      <c r="E102">
        <v>157.78</v>
      </c>
      <c r="F102">
        <v>159.62</v>
      </c>
      <c r="G102">
        <v>158.97999999999999</v>
      </c>
      <c r="H102">
        <v>152.97</v>
      </c>
      <c r="I102">
        <v>159.01</v>
      </c>
      <c r="J102">
        <v>155.09</v>
      </c>
      <c r="K102">
        <v>154.99</v>
      </c>
      <c r="L102">
        <v>152.32</v>
      </c>
      <c r="M102">
        <v>147.44999999999999</v>
      </c>
      <c r="N102">
        <v>147.24</v>
      </c>
      <c r="O102">
        <v>147.05000000000001</v>
      </c>
      <c r="P102">
        <v>144.65</v>
      </c>
      <c r="Q102">
        <v>147.77000000000001</v>
      </c>
      <c r="R102">
        <v>143.13</v>
      </c>
      <c r="S102">
        <v>148.62</v>
      </c>
      <c r="T102">
        <v>154.38999999999999</v>
      </c>
      <c r="U102">
        <v>157.41</v>
      </c>
      <c r="V102">
        <v>152.30000000000001</v>
      </c>
      <c r="W102">
        <v>154.78</v>
      </c>
      <c r="X102">
        <v>149.05000000000001</v>
      </c>
      <c r="Y102">
        <v>142.28</v>
      </c>
      <c r="Z102">
        <v>147.05000000000001</v>
      </c>
      <c r="AA102">
        <v>158.36000000000001</v>
      </c>
      <c r="AB102">
        <v>155.82</v>
      </c>
      <c r="AC102">
        <v>155.81</v>
      </c>
      <c r="AD102">
        <v>153.12</v>
      </c>
      <c r="AE102">
        <v>147.80000000000001</v>
      </c>
      <c r="AF102">
        <v>150.38999999999999</v>
      </c>
      <c r="AG102">
        <v>145.97</v>
      </c>
      <c r="AH102">
        <v>145.41</v>
      </c>
      <c r="AI102">
        <v>151.9</v>
      </c>
      <c r="AJ102">
        <v>148.94999999999999</v>
      </c>
      <c r="AK102">
        <v>147.38</v>
      </c>
      <c r="AL102">
        <v>144.82</v>
      </c>
      <c r="AM102">
        <v>138.88999999999999</v>
      </c>
      <c r="AN102">
        <v>139.93</v>
      </c>
      <c r="AO102">
        <v>134.35</v>
      </c>
      <c r="AP102">
        <v>133.19999999999999</v>
      </c>
      <c r="AQ102">
        <v>133.05000000000001</v>
      </c>
      <c r="AR102">
        <v>132.58000000000001</v>
      </c>
      <c r="AS102">
        <v>132.54</v>
      </c>
      <c r="AT102">
        <v>134.87</v>
      </c>
      <c r="AU102">
        <v>139.27000000000001</v>
      </c>
      <c r="AV102">
        <v>146.87</v>
      </c>
      <c r="AW102">
        <v>144.07</v>
      </c>
      <c r="AX102">
        <v>132.1</v>
      </c>
      <c r="AY102">
        <v>137.63</v>
      </c>
      <c r="AZ102">
        <v>133.88</v>
      </c>
      <c r="BA102">
        <v>130.16999999999999</v>
      </c>
      <c r="BB102">
        <v>125.25</v>
      </c>
      <c r="BC102">
        <v>116.89</v>
      </c>
      <c r="BD102">
        <v>115.83</v>
      </c>
      <c r="BE102">
        <v>115.11</v>
      </c>
      <c r="BF102">
        <v>113.8</v>
      </c>
      <c r="BG102">
        <v>113.97</v>
      </c>
      <c r="BH102">
        <v>111.63</v>
      </c>
      <c r="BI102">
        <v>109.95</v>
      </c>
      <c r="BJ102">
        <v>109.69</v>
      </c>
      <c r="BK102">
        <v>110.74</v>
      </c>
      <c r="BL102">
        <v>109.46</v>
      </c>
      <c r="BM102">
        <v>109.19</v>
      </c>
      <c r="BN102">
        <v>110.4</v>
      </c>
      <c r="BO102">
        <v>108.57</v>
      </c>
      <c r="BP102">
        <v>104.7</v>
      </c>
      <c r="BQ102">
        <v>103.9</v>
      </c>
    </row>
    <row r="103" spans="1:69" x14ac:dyDescent="0.25">
      <c r="A103" t="s">
        <v>153</v>
      </c>
      <c r="B103">
        <v>0.70799999999999996</v>
      </c>
      <c r="C103">
        <v>0.70799999999999996</v>
      </c>
      <c r="D103">
        <v>0.70799999999999996</v>
      </c>
      <c r="E103">
        <v>0.70799999999999996</v>
      </c>
      <c r="F103">
        <v>0.70799999999999996</v>
      </c>
      <c r="G103">
        <v>0.70799999999999996</v>
      </c>
      <c r="H103">
        <v>0.70799999999999996</v>
      </c>
      <c r="I103">
        <v>0.70799999999999996</v>
      </c>
      <c r="J103">
        <v>0.70799999999999996</v>
      </c>
      <c r="K103">
        <v>0.70799999999999996</v>
      </c>
      <c r="L103">
        <v>0.70799999999999996</v>
      </c>
      <c r="M103">
        <v>0.70799999999999996</v>
      </c>
      <c r="N103">
        <v>0.70799999999999996</v>
      </c>
      <c r="O103">
        <v>0.70799999999999996</v>
      </c>
      <c r="P103">
        <v>0.70799999999999996</v>
      </c>
      <c r="Q103">
        <v>0.70799999999999996</v>
      </c>
      <c r="R103">
        <v>0.70799999999999996</v>
      </c>
      <c r="S103">
        <v>0.70799999999999996</v>
      </c>
      <c r="T103">
        <v>0.70799999999999996</v>
      </c>
      <c r="U103">
        <v>0.70799999999999996</v>
      </c>
      <c r="V103">
        <v>0.70799999999999996</v>
      </c>
      <c r="W103">
        <v>0.70799999999999996</v>
      </c>
      <c r="X103">
        <v>0.70799999999999996</v>
      </c>
      <c r="Y103">
        <v>0.70799999999999996</v>
      </c>
      <c r="Z103">
        <v>0.70799999999999996</v>
      </c>
      <c r="AA103">
        <v>0.70799999999999996</v>
      </c>
      <c r="AB103">
        <v>0.70799999999999996</v>
      </c>
      <c r="AC103">
        <v>0.70799999999999996</v>
      </c>
      <c r="AD103">
        <v>0.70799999999999996</v>
      </c>
      <c r="AE103">
        <v>0.70799999999999996</v>
      </c>
      <c r="AF103">
        <v>0.70799999999999996</v>
      </c>
      <c r="AG103">
        <v>0.70799999999999996</v>
      </c>
      <c r="AH103">
        <v>0.70799999999999996</v>
      </c>
      <c r="AI103">
        <v>0.70799999999999996</v>
      </c>
      <c r="AJ103">
        <v>0.70799999999999996</v>
      </c>
      <c r="AK103">
        <v>0.70799999999999996</v>
      </c>
      <c r="AL103">
        <v>0.70799999999999996</v>
      </c>
      <c r="AM103">
        <v>0.70799999999999996</v>
      </c>
      <c r="AN103">
        <v>0.70799999999999996</v>
      </c>
      <c r="AO103">
        <v>0.70799999999999996</v>
      </c>
      <c r="AP103">
        <v>0.70799999999999996</v>
      </c>
      <c r="AQ103">
        <v>0.70799999999999996</v>
      </c>
      <c r="AR103">
        <v>0.70799999999999996</v>
      </c>
      <c r="AS103">
        <v>0.70799999999999996</v>
      </c>
      <c r="AT103">
        <v>0.70799999999999996</v>
      </c>
      <c r="AU103">
        <v>0.70799999999999996</v>
      </c>
      <c r="AV103">
        <v>0.70799999999999996</v>
      </c>
      <c r="AW103">
        <v>0.70799999999999996</v>
      </c>
      <c r="AX103">
        <v>0.70799999999999996</v>
      </c>
      <c r="AY103">
        <v>0.70799999999999996</v>
      </c>
      <c r="AZ103">
        <v>0.70799999999999996</v>
      </c>
      <c r="BA103">
        <v>0.70799999999999996</v>
      </c>
      <c r="BB103">
        <v>0.70799999999999996</v>
      </c>
      <c r="BC103">
        <v>0.70799999999999996</v>
      </c>
      <c r="BD103">
        <v>0.70799999999999996</v>
      </c>
      <c r="BE103">
        <v>0.70799999999999996</v>
      </c>
      <c r="BF103">
        <v>0.70799999999999996</v>
      </c>
      <c r="BG103">
        <v>0.70799999999999996</v>
      </c>
      <c r="BH103">
        <v>0.70799999999999996</v>
      </c>
      <c r="BI103">
        <v>0.70799999999999996</v>
      </c>
      <c r="BJ103">
        <v>0.70799999999999996</v>
      </c>
      <c r="BK103">
        <v>0.70799999999999996</v>
      </c>
      <c r="BL103">
        <v>0.70799999999999996</v>
      </c>
      <c r="BM103">
        <v>0.70799999999999996</v>
      </c>
      <c r="BN103">
        <v>0.70799999999999996</v>
      </c>
      <c r="BO103">
        <v>0.70799999999999996</v>
      </c>
      <c r="BP103">
        <v>0.70799999999999996</v>
      </c>
      <c r="BQ103">
        <v>0.70799999999999996</v>
      </c>
    </row>
    <row r="104" spans="1:69" x14ac:dyDescent="0.25">
      <c r="A104" t="s">
        <v>171</v>
      </c>
      <c r="B104">
        <v>464.94</v>
      </c>
      <c r="C104">
        <v>472.76</v>
      </c>
      <c r="D104">
        <v>487.86</v>
      </c>
      <c r="E104">
        <v>469.46</v>
      </c>
      <c r="F104">
        <v>476.2</v>
      </c>
      <c r="G104">
        <v>489.26</v>
      </c>
      <c r="H104">
        <v>494.55</v>
      </c>
      <c r="I104">
        <v>509</v>
      </c>
      <c r="J104">
        <v>520.25</v>
      </c>
      <c r="K104">
        <v>524.45000000000005</v>
      </c>
      <c r="L104">
        <v>537.29999999999995</v>
      </c>
      <c r="M104">
        <v>539.23</v>
      </c>
      <c r="N104">
        <v>537.92999999999995</v>
      </c>
      <c r="O104">
        <v>523.16</v>
      </c>
      <c r="P104">
        <v>510.55</v>
      </c>
      <c r="Q104">
        <v>508.1</v>
      </c>
      <c r="R104">
        <v>517.83000000000004</v>
      </c>
      <c r="S104">
        <v>491.44</v>
      </c>
      <c r="T104">
        <v>504.24</v>
      </c>
      <c r="U104">
        <v>530.39</v>
      </c>
      <c r="V104">
        <v>521.13</v>
      </c>
      <c r="W104">
        <v>492.37</v>
      </c>
      <c r="X104">
        <v>483.92</v>
      </c>
      <c r="Y104">
        <v>477.35</v>
      </c>
      <c r="Z104">
        <v>479.86</v>
      </c>
      <c r="AA104">
        <v>474.05</v>
      </c>
      <c r="AB104">
        <v>450.11</v>
      </c>
      <c r="AC104">
        <v>441.59</v>
      </c>
      <c r="AD104">
        <v>447.26</v>
      </c>
      <c r="AE104">
        <v>449.54</v>
      </c>
      <c r="AF104">
        <v>447.75</v>
      </c>
      <c r="AG104">
        <v>451.86</v>
      </c>
      <c r="AH104">
        <v>457.13</v>
      </c>
      <c r="AI104">
        <v>465.43</v>
      </c>
      <c r="AJ104">
        <v>476.63</v>
      </c>
      <c r="AK104">
        <v>465.44</v>
      </c>
      <c r="AL104">
        <v>446.11</v>
      </c>
      <c r="AM104">
        <v>442.15</v>
      </c>
      <c r="AN104">
        <v>447.86</v>
      </c>
      <c r="AO104">
        <v>443.94</v>
      </c>
      <c r="AP104">
        <v>451.86</v>
      </c>
      <c r="AQ104">
        <v>455.8</v>
      </c>
      <c r="AR104">
        <v>451.35</v>
      </c>
      <c r="AS104">
        <v>461.98</v>
      </c>
      <c r="AT104">
        <v>468.95</v>
      </c>
      <c r="AU104">
        <v>460.45</v>
      </c>
      <c r="AV104">
        <v>478.19</v>
      </c>
      <c r="AW104">
        <v>472.28</v>
      </c>
      <c r="AX104">
        <v>475.69</v>
      </c>
      <c r="AY104">
        <v>475.07</v>
      </c>
      <c r="AZ104">
        <v>436.54</v>
      </c>
      <c r="BA104">
        <v>440.07</v>
      </c>
      <c r="BB104">
        <v>448.02</v>
      </c>
      <c r="BC104">
        <v>517.35</v>
      </c>
      <c r="BD104">
        <v>429.56</v>
      </c>
      <c r="BE104">
        <v>434.28</v>
      </c>
      <c r="BF104">
        <v>435.3</v>
      </c>
      <c r="BG104">
        <v>427.5</v>
      </c>
      <c r="BH104">
        <v>425.05</v>
      </c>
      <c r="BI104">
        <v>426.57</v>
      </c>
      <c r="BJ104">
        <v>424.69</v>
      </c>
      <c r="BK104">
        <v>426.15</v>
      </c>
      <c r="BL104">
        <v>428.53</v>
      </c>
      <c r="BM104">
        <v>427.7</v>
      </c>
      <c r="BN104">
        <v>424.58</v>
      </c>
      <c r="BO104">
        <v>414.8</v>
      </c>
      <c r="BP104">
        <v>423.26</v>
      </c>
      <c r="BQ104">
        <v>419.94</v>
      </c>
    </row>
    <row r="105" spans="1:69" x14ac:dyDescent="0.25">
      <c r="A105" t="s">
        <v>157</v>
      </c>
      <c r="B105">
        <v>129.24</v>
      </c>
      <c r="C105">
        <v>129.1</v>
      </c>
      <c r="D105">
        <v>129.41999999999999</v>
      </c>
      <c r="E105">
        <v>129</v>
      </c>
      <c r="F105">
        <v>129.1</v>
      </c>
      <c r="G105">
        <v>129.15</v>
      </c>
      <c r="H105">
        <v>128.86000000000001</v>
      </c>
      <c r="I105">
        <v>128.88</v>
      </c>
      <c r="J105">
        <v>128.83000000000001</v>
      </c>
      <c r="K105">
        <v>129.01</v>
      </c>
      <c r="L105">
        <v>129.05000000000001</v>
      </c>
      <c r="M105">
        <v>129.15</v>
      </c>
      <c r="N105">
        <v>129</v>
      </c>
      <c r="O105">
        <v>129</v>
      </c>
      <c r="P105">
        <v>129.02000000000001</v>
      </c>
      <c r="Q105">
        <v>129</v>
      </c>
      <c r="R105">
        <v>129.19999999999999</v>
      </c>
      <c r="S105">
        <v>129</v>
      </c>
      <c r="T105">
        <v>128.81</v>
      </c>
      <c r="U105">
        <v>129.16</v>
      </c>
      <c r="V105">
        <v>129</v>
      </c>
      <c r="W105">
        <v>128.5</v>
      </c>
      <c r="X105">
        <v>128.4</v>
      </c>
      <c r="Y105">
        <v>128.35</v>
      </c>
      <c r="Z105">
        <v>128.5</v>
      </c>
      <c r="AA105">
        <v>128.85</v>
      </c>
      <c r="AB105">
        <v>128.03</v>
      </c>
      <c r="AC105">
        <v>130.27000000000001</v>
      </c>
      <c r="AD105">
        <v>129.63</v>
      </c>
      <c r="AE105">
        <v>137</v>
      </c>
      <c r="AF105">
        <v>156.5</v>
      </c>
      <c r="AG105">
        <v>159.25</v>
      </c>
      <c r="AH105">
        <v>153.30000000000001</v>
      </c>
      <c r="AI105">
        <v>151.44</v>
      </c>
      <c r="AJ105">
        <v>148.87</v>
      </c>
      <c r="AK105">
        <v>146.46</v>
      </c>
      <c r="AL105">
        <v>143.49</v>
      </c>
      <c r="AM105">
        <v>141.11000000000001</v>
      </c>
      <c r="AN105">
        <v>139.41</v>
      </c>
      <c r="AO105">
        <v>136.77000000000001</v>
      </c>
      <c r="AP105">
        <v>133.80000000000001</v>
      </c>
      <c r="AQ105">
        <v>129.24</v>
      </c>
      <c r="AR105">
        <v>125.09</v>
      </c>
      <c r="AS105">
        <v>123.55</v>
      </c>
      <c r="AT105">
        <v>122.74</v>
      </c>
      <c r="AU105">
        <v>121.68</v>
      </c>
      <c r="AV105">
        <v>120.77</v>
      </c>
      <c r="AW105">
        <v>120.24</v>
      </c>
      <c r="AX105">
        <v>119.23</v>
      </c>
      <c r="AY105">
        <v>118.13</v>
      </c>
      <c r="AZ105">
        <v>116.98</v>
      </c>
      <c r="BA105">
        <v>116</v>
      </c>
      <c r="BB105">
        <v>115.28</v>
      </c>
      <c r="BC105">
        <v>114.09</v>
      </c>
      <c r="BD105">
        <v>113.51</v>
      </c>
      <c r="BE105">
        <v>113.17</v>
      </c>
      <c r="BF105">
        <v>112.37</v>
      </c>
      <c r="BG105">
        <v>111.07</v>
      </c>
      <c r="BH105">
        <v>110.4</v>
      </c>
      <c r="BI105">
        <v>109.72</v>
      </c>
      <c r="BJ105">
        <v>108.49</v>
      </c>
      <c r="BK105">
        <v>107.69</v>
      </c>
      <c r="BL105">
        <v>107.41</v>
      </c>
      <c r="BM105">
        <v>107.73</v>
      </c>
      <c r="BN105">
        <v>109.46</v>
      </c>
      <c r="BO105">
        <v>109.68</v>
      </c>
      <c r="BP105">
        <v>109.98</v>
      </c>
      <c r="BQ105">
        <v>108.94</v>
      </c>
    </row>
    <row r="106" spans="1:69" x14ac:dyDescent="0.25">
      <c r="A106" t="s">
        <v>42</v>
      </c>
      <c r="B106">
        <v>1.417</v>
      </c>
      <c r="C106">
        <v>1.4410000000000001</v>
      </c>
      <c r="D106">
        <v>1.4319999999999999</v>
      </c>
      <c r="E106">
        <v>1.38</v>
      </c>
      <c r="F106">
        <v>1.415</v>
      </c>
      <c r="G106">
        <v>1.4079999999999999</v>
      </c>
      <c r="H106">
        <v>1.403</v>
      </c>
      <c r="I106">
        <v>1.4970000000000001</v>
      </c>
      <c r="J106">
        <v>1.4990000000000001</v>
      </c>
      <c r="K106">
        <v>1.53</v>
      </c>
      <c r="L106">
        <v>1.5349999999999999</v>
      </c>
      <c r="M106">
        <v>1.5089999999999999</v>
      </c>
      <c r="N106">
        <v>1.5269999999999999</v>
      </c>
      <c r="O106">
        <v>1.52</v>
      </c>
      <c r="P106">
        <v>1.534</v>
      </c>
      <c r="Q106">
        <v>1.5549999999999999</v>
      </c>
      <c r="R106">
        <v>1.591</v>
      </c>
      <c r="S106">
        <v>1.59</v>
      </c>
      <c r="T106">
        <v>1.599</v>
      </c>
      <c r="U106">
        <v>1.6240000000000001</v>
      </c>
      <c r="V106">
        <v>1.5720000000000001</v>
      </c>
      <c r="W106">
        <v>1.5369999999999999</v>
      </c>
      <c r="X106">
        <v>1.484</v>
      </c>
      <c r="Y106">
        <v>1.504</v>
      </c>
      <c r="Z106">
        <v>1.5129999999999999</v>
      </c>
      <c r="AA106">
        <v>1.4730000000000001</v>
      </c>
      <c r="AB106">
        <v>1.494</v>
      </c>
      <c r="AC106">
        <v>1.51</v>
      </c>
      <c r="AD106">
        <v>1.53</v>
      </c>
      <c r="AE106">
        <v>1.5109999999999999</v>
      </c>
      <c r="AF106">
        <v>1.546</v>
      </c>
      <c r="AG106">
        <v>1.498</v>
      </c>
      <c r="AH106">
        <v>1.522</v>
      </c>
      <c r="AI106">
        <v>1.571</v>
      </c>
      <c r="AJ106">
        <v>1.556</v>
      </c>
      <c r="AK106">
        <v>1.5569999999999999</v>
      </c>
      <c r="AL106">
        <v>1.538</v>
      </c>
      <c r="AM106">
        <v>1.4770000000000001</v>
      </c>
      <c r="AN106">
        <v>1.4770000000000001</v>
      </c>
      <c r="AO106">
        <v>1.4930000000000001</v>
      </c>
      <c r="AP106">
        <v>1.4930000000000001</v>
      </c>
      <c r="AQ106">
        <v>1.5009999999999999</v>
      </c>
      <c r="AR106">
        <v>1.4370000000000001</v>
      </c>
      <c r="AS106">
        <v>1.448</v>
      </c>
      <c r="AT106">
        <v>1.4510000000000001</v>
      </c>
      <c r="AU106">
        <v>1.4970000000000001</v>
      </c>
      <c r="AV106">
        <v>1.5980000000000001</v>
      </c>
      <c r="AW106">
        <v>1.472</v>
      </c>
      <c r="AX106">
        <v>1.403</v>
      </c>
      <c r="AY106">
        <v>1.4810000000000001</v>
      </c>
      <c r="AZ106">
        <v>1.4359999999999999</v>
      </c>
      <c r="BA106">
        <v>1.423</v>
      </c>
      <c r="BB106">
        <v>1.339</v>
      </c>
      <c r="BC106">
        <v>1.365</v>
      </c>
      <c r="BD106">
        <v>1.3939999999999999</v>
      </c>
      <c r="BE106">
        <v>1.3759999999999999</v>
      </c>
      <c r="BF106">
        <v>1.401</v>
      </c>
      <c r="BG106">
        <v>1.369</v>
      </c>
      <c r="BH106">
        <v>1.39</v>
      </c>
      <c r="BI106">
        <v>1.357</v>
      </c>
      <c r="BJ106">
        <v>1.353</v>
      </c>
      <c r="BK106">
        <v>1.3220000000000001</v>
      </c>
      <c r="BL106">
        <v>1.2909999999999999</v>
      </c>
      <c r="BM106">
        <v>1.2869999999999999</v>
      </c>
      <c r="BN106">
        <v>1.3140000000000001</v>
      </c>
      <c r="BO106">
        <v>1.2889999999999999</v>
      </c>
      <c r="BP106">
        <v>1.288</v>
      </c>
      <c r="BQ106">
        <v>1.294</v>
      </c>
    </row>
    <row r="107" spans="1:69" x14ac:dyDescent="0.25">
      <c r="A107" t="s">
        <v>163</v>
      </c>
      <c r="B107">
        <v>110</v>
      </c>
      <c r="C107">
        <v>110</v>
      </c>
      <c r="D107">
        <v>110</v>
      </c>
      <c r="E107">
        <v>110</v>
      </c>
      <c r="F107">
        <v>110</v>
      </c>
      <c r="G107">
        <v>110</v>
      </c>
      <c r="H107">
        <v>110</v>
      </c>
      <c r="I107">
        <v>110</v>
      </c>
      <c r="J107">
        <v>110</v>
      </c>
      <c r="K107">
        <v>110</v>
      </c>
      <c r="L107">
        <v>110</v>
      </c>
      <c r="M107">
        <v>110</v>
      </c>
      <c r="N107">
        <v>110</v>
      </c>
      <c r="O107">
        <v>110</v>
      </c>
      <c r="P107">
        <v>110</v>
      </c>
      <c r="Q107">
        <v>110</v>
      </c>
      <c r="R107">
        <v>110</v>
      </c>
      <c r="S107">
        <v>110</v>
      </c>
      <c r="T107">
        <v>110</v>
      </c>
      <c r="U107">
        <v>110</v>
      </c>
      <c r="V107">
        <v>110</v>
      </c>
      <c r="W107">
        <v>110</v>
      </c>
      <c r="X107">
        <v>110</v>
      </c>
      <c r="Y107">
        <v>110</v>
      </c>
      <c r="Z107">
        <v>110</v>
      </c>
      <c r="AA107">
        <v>110</v>
      </c>
      <c r="AB107">
        <v>110</v>
      </c>
      <c r="AC107">
        <v>110</v>
      </c>
      <c r="AD107">
        <v>110</v>
      </c>
      <c r="AE107">
        <v>110</v>
      </c>
      <c r="AF107">
        <v>110</v>
      </c>
      <c r="AG107">
        <v>110</v>
      </c>
      <c r="AH107">
        <v>110</v>
      </c>
      <c r="AI107">
        <v>110</v>
      </c>
      <c r="AJ107">
        <v>110</v>
      </c>
      <c r="AK107">
        <v>110</v>
      </c>
      <c r="AL107">
        <v>110</v>
      </c>
      <c r="AM107">
        <v>110</v>
      </c>
      <c r="AN107">
        <v>110</v>
      </c>
      <c r="AO107">
        <v>110</v>
      </c>
      <c r="AP107">
        <v>110</v>
      </c>
      <c r="AQ107">
        <v>110</v>
      </c>
      <c r="AR107">
        <v>110</v>
      </c>
      <c r="AS107">
        <v>110</v>
      </c>
      <c r="AT107">
        <v>110</v>
      </c>
      <c r="AU107">
        <v>110</v>
      </c>
      <c r="AV107">
        <v>110</v>
      </c>
      <c r="AW107">
        <v>110</v>
      </c>
      <c r="AX107">
        <v>110</v>
      </c>
      <c r="AY107">
        <v>110</v>
      </c>
      <c r="AZ107">
        <v>106</v>
      </c>
      <c r="BA107">
        <v>106</v>
      </c>
      <c r="BB107">
        <v>110</v>
      </c>
      <c r="BC107">
        <v>110</v>
      </c>
      <c r="BD107">
        <v>110</v>
      </c>
      <c r="BE107">
        <v>106</v>
      </c>
      <c r="BF107">
        <v>110</v>
      </c>
      <c r="BG107">
        <v>110</v>
      </c>
      <c r="BH107">
        <v>106</v>
      </c>
      <c r="BI107">
        <v>110</v>
      </c>
      <c r="BJ107">
        <v>110</v>
      </c>
      <c r="BK107">
        <v>110</v>
      </c>
      <c r="BL107">
        <v>108</v>
      </c>
      <c r="BM107">
        <v>107</v>
      </c>
      <c r="BN107">
        <v>103.56</v>
      </c>
      <c r="BO107">
        <v>103.29</v>
      </c>
      <c r="BP107">
        <v>102.83</v>
      </c>
      <c r="BQ107">
        <v>103.05</v>
      </c>
    </row>
    <row r="108" spans="1:69" x14ac:dyDescent="0.25">
      <c r="A108" t="s">
        <v>165</v>
      </c>
      <c r="B108">
        <v>1421.1</v>
      </c>
      <c r="C108">
        <v>1493.4</v>
      </c>
      <c r="D108">
        <v>1533.1</v>
      </c>
      <c r="E108">
        <v>1490.7</v>
      </c>
      <c r="F108">
        <v>1484.99</v>
      </c>
      <c r="G108">
        <v>1488.93</v>
      </c>
      <c r="H108">
        <v>1435.01</v>
      </c>
      <c r="I108">
        <v>1476.04</v>
      </c>
      <c r="J108">
        <v>1469.01</v>
      </c>
      <c r="K108">
        <v>1467.22</v>
      </c>
      <c r="L108">
        <v>1427.3</v>
      </c>
      <c r="M108">
        <v>1390.8</v>
      </c>
      <c r="N108">
        <v>1377.8</v>
      </c>
      <c r="O108">
        <v>1375.22</v>
      </c>
      <c r="P108">
        <v>1371.08</v>
      </c>
      <c r="Q108">
        <v>1421.85</v>
      </c>
      <c r="R108">
        <v>1423.84</v>
      </c>
      <c r="S108">
        <v>1452.06</v>
      </c>
      <c r="T108">
        <v>1456.33</v>
      </c>
      <c r="U108">
        <v>1467.21</v>
      </c>
      <c r="V108">
        <v>1429.18</v>
      </c>
      <c r="W108">
        <v>1401.05</v>
      </c>
      <c r="X108">
        <v>1349.81</v>
      </c>
      <c r="Y108">
        <v>1340.11</v>
      </c>
      <c r="Z108">
        <v>1367.49</v>
      </c>
      <c r="AA108">
        <v>1371.72</v>
      </c>
      <c r="AB108">
        <v>1375.93</v>
      </c>
      <c r="AC108">
        <v>1368.17</v>
      </c>
      <c r="AD108">
        <v>1364.01</v>
      </c>
      <c r="AE108">
        <v>1314.2</v>
      </c>
      <c r="AF108">
        <v>1327.9</v>
      </c>
      <c r="AG108">
        <v>1312.73</v>
      </c>
      <c r="AH108">
        <v>1319.98</v>
      </c>
      <c r="AI108">
        <v>1324.92</v>
      </c>
      <c r="AJ108">
        <v>1338.67</v>
      </c>
      <c r="AK108">
        <v>1329.69</v>
      </c>
      <c r="AL108">
        <v>1324.35</v>
      </c>
      <c r="AM108">
        <v>1288.44</v>
      </c>
      <c r="AN108">
        <v>1271.32</v>
      </c>
      <c r="AO108">
        <v>1325.85</v>
      </c>
      <c r="AP108">
        <v>1325.5</v>
      </c>
      <c r="AQ108">
        <v>1301.23</v>
      </c>
      <c r="AR108">
        <v>1277.4000000000001</v>
      </c>
      <c r="AS108">
        <v>1245.9000000000001</v>
      </c>
      <c r="AT108">
        <v>1302.73</v>
      </c>
      <c r="AU108">
        <v>1318.57</v>
      </c>
      <c r="AV108">
        <v>1424.41</v>
      </c>
      <c r="AW108">
        <v>1373.8</v>
      </c>
      <c r="AX108">
        <v>1303.02</v>
      </c>
      <c r="AY108">
        <v>1306.6500000000001</v>
      </c>
      <c r="AZ108">
        <v>1284.04</v>
      </c>
      <c r="BA108">
        <v>1275.3</v>
      </c>
      <c r="BB108">
        <v>1235.97</v>
      </c>
      <c r="BC108">
        <v>1231.78</v>
      </c>
      <c r="BD108">
        <v>1198.45</v>
      </c>
      <c r="BE108">
        <v>1190.29</v>
      </c>
      <c r="BF108">
        <v>1192.8</v>
      </c>
      <c r="BG108">
        <v>1169.43</v>
      </c>
      <c r="BH108">
        <v>1181.8900000000001</v>
      </c>
      <c r="BI108">
        <v>1166.3900000000001</v>
      </c>
      <c r="BJ108">
        <v>1146.01</v>
      </c>
      <c r="BK108">
        <v>1129.6099999999999</v>
      </c>
      <c r="BL108">
        <v>1117.5999999999999</v>
      </c>
      <c r="BM108">
        <v>1108.1500000000001</v>
      </c>
      <c r="BN108">
        <v>1133.5</v>
      </c>
      <c r="BO108">
        <v>1107.53</v>
      </c>
      <c r="BP108">
        <v>1119.32</v>
      </c>
      <c r="BQ108">
        <v>1091.97</v>
      </c>
    </row>
    <row r="109" spans="1:69" x14ac:dyDescent="0.25">
      <c r="A109" t="s">
        <v>167</v>
      </c>
      <c r="B109">
        <v>0.30499999999999999</v>
      </c>
      <c r="C109">
        <v>0.30499999999999999</v>
      </c>
      <c r="D109">
        <v>0.30499999999999999</v>
      </c>
      <c r="E109">
        <v>0.30499999999999999</v>
      </c>
      <c r="F109">
        <v>0.308</v>
      </c>
      <c r="G109">
        <v>0.307</v>
      </c>
      <c r="H109">
        <v>0.307</v>
      </c>
      <c r="I109">
        <v>0.308</v>
      </c>
      <c r="J109">
        <v>0.307</v>
      </c>
      <c r="K109">
        <v>0.307</v>
      </c>
      <c r="L109">
        <v>0.30499999999999999</v>
      </c>
      <c r="M109">
        <v>0.30499999999999999</v>
      </c>
      <c r="N109">
        <v>0.30499999999999999</v>
      </c>
      <c r="O109">
        <v>0.30599999999999999</v>
      </c>
      <c r="P109">
        <v>0.30599999999999999</v>
      </c>
      <c r="Q109">
        <v>0.307</v>
      </c>
      <c r="R109">
        <v>0.30599999999999999</v>
      </c>
      <c r="S109">
        <v>0.308</v>
      </c>
      <c r="T109">
        <v>0.309</v>
      </c>
      <c r="U109">
        <v>0.309</v>
      </c>
      <c r="V109">
        <v>0.308</v>
      </c>
      <c r="W109">
        <v>0.307</v>
      </c>
      <c r="X109">
        <v>0.30599999999999999</v>
      </c>
      <c r="Y109">
        <v>0.30499999999999999</v>
      </c>
      <c r="Z109">
        <v>0.30599999999999999</v>
      </c>
      <c r="AA109">
        <v>0.30599999999999999</v>
      </c>
      <c r="AB109">
        <v>0.30599999999999999</v>
      </c>
      <c r="AC109">
        <v>0.307</v>
      </c>
      <c r="AD109">
        <v>0.308</v>
      </c>
      <c r="AE109">
        <v>0.307</v>
      </c>
      <c r="AF109">
        <v>0.307</v>
      </c>
      <c r="AG109">
        <v>0.307</v>
      </c>
      <c r="AH109">
        <v>0.308</v>
      </c>
      <c r="AI109">
        <v>0.309</v>
      </c>
      <c r="AJ109">
        <v>0.309</v>
      </c>
      <c r="AK109">
        <v>0.309</v>
      </c>
      <c r="AL109">
        <v>0.307</v>
      </c>
      <c r="AM109">
        <v>0.307</v>
      </c>
      <c r="AN109">
        <v>0.307</v>
      </c>
      <c r="AO109">
        <v>0.30599999999999999</v>
      </c>
      <c r="AP109">
        <v>0.30599999999999999</v>
      </c>
      <c r="AQ109">
        <v>0.307</v>
      </c>
      <c r="AR109">
        <v>0.30599999999999999</v>
      </c>
      <c r="AS109">
        <v>0.30599999999999999</v>
      </c>
      <c r="AT109">
        <v>0.307</v>
      </c>
      <c r="AU109">
        <v>0.307</v>
      </c>
      <c r="AV109">
        <v>0.31</v>
      </c>
      <c r="AW109">
        <v>0.308</v>
      </c>
      <c r="AX109">
        <v>0.30599999999999999</v>
      </c>
      <c r="AY109">
        <v>0.308</v>
      </c>
      <c r="AZ109">
        <v>0.307</v>
      </c>
      <c r="BA109">
        <v>0.307</v>
      </c>
      <c r="BB109">
        <v>0.30499999999999999</v>
      </c>
      <c r="BC109">
        <v>0.30399999999999999</v>
      </c>
      <c r="BD109">
        <v>0.30199999999999999</v>
      </c>
      <c r="BE109">
        <v>0.30199999999999999</v>
      </c>
      <c r="BF109">
        <v>0.30299999999999999</v>
      </c>
      <c r="BG109">
        <v>0.30199999999999999</v>
      </c>
      <c r="BH109">
        <v>0.30099999999999999</v>
      </c>
      <c r="BI109">
        <v>0.30099999999999999</v>
      </c>
      <c r="BJ109">
        <v>0.3</v>
      </c>
      <c r="BK109">
        <v>0.30099999999999999</v>
      </c>
      <c r="BL109">
        <v>0.30099999999999999</v>
      </c>
      <c r="BM109">
        <v>0.30099999999999999</v>
      </c>
      <c r="BN109">
        <v>0.30199999999999999</v>
      </c>
      <c r="BO109">
        <v>0.30199999999999999</v>
      </c>
      <c r="BP109">
        <v>0.30299999999999999</v>
      </c>
      <c r="BQ109">
        <v>0.30499999999999999</v>
      </c>
    </row>
    <row r="110" spans="1:69" x14ac:dyDescent="0.25">
      <c r="A110" t="s">
        <v>159</v>
      </c>
      <c r="B110">
        <v>87.453000000000003</v>
      </c>
      <c r="C110">
        <v>87.32</v>
      </c>
      <c r="D110">
        <v>87.44</v>
      </c>
      <c r="E110">
        <v>87.528000000000006</v>
      </c>
      <c r="F110">
        <v>87.745999999999995</v>
      </c>
      <c r="G110">
        <v>87.396000000000001</v>
      </c>
      <c r="H110">
        <v>87.396000000000001</v>
      </c>
      <c r="I110">
        <v>87.358000000000004</v>
      </c>
      <c r="J110">
        <v>87.256</v>
      </c>
      <c r="K110">
        <v>87.2</v>
      </c>
      <c r="L110">
        <v>87.2</v>
      </c>
      <c r="M110">
        <v>87.2</v>
      </c>
      <c r="N110">
        <v>87.1</v>
      </c>
      <c r="O110">
        <v>87.15</v>
      </c>
      <c r="P110">
        <v>87.25</v>
      </c>
      <c r="Q110">
        <v>87.2</v>
      </c>
      <c r="R110">
        <v>86.5</v>
      </c>
      <c r="S110">
        <v>87.2</v>
      </c>
      <c r="T110">
        <v>87.2</v>
      </c>
      <c r="U110">
        <v>86.75</v>
      </c>
      <c r="V110">
        <v>86.6</v>
      </c>
      <c r="W110">
        <v>85.6</v>
      </c>
      <c r="X110">
        <v>84</v>
      </c>
      <c r="Y110">
        <v>83.92</v>
      </c>
      <c r="Z110">
        <v>84.3</v>
      </c>
      <c r="AA110">
        <v>85.6</v>
      </c>
      <c r="AB110">
        <v>86.8</v>
      </c>
      <c r="AC110">
        <v>88.1</v>
      </c>
      <c r="AD110">
        <v>89.168000000000006</v>
      </c>
      <c r="AE110">
        <v>88.9</v>
      </c>
      <c r="AF110">
        <v>88.8</v>
      </c>
      <c r="AG110">
        <v>88.7</v>
      </c>
      <c r="AH110">
        <v>88.7</v>
      </c>
      <c r="AI110">
        <v>88.5</v>
      </c>
      <c r="AJ110">
        <v>88.2</v>
      </c>
      <c r="AK110">
        <v>87.7</v>
      </c>
      <c r="AL110">
        <v>87.856999999999999</v>
      </c>
      <c r="AM110">
        <v>87.694000000000003</v>
      </c>
      <c r="AN110">
        <v>87</v>
      </c>
      <c r="AO110">
        <v>87.57</v>
      </c>
      <c r="AP110">
        <v>87.483000000000004</v>
      </c>
      <c r="AQ110">
        <v>86.7</v>
      </c>
      <c r="AR110">
        <v>85.7</v>
      </c>
      <c r="AS110">
        <v>85.2</v>
      </c>
      <c r="AT110">
        <v>84</v>
      </c>
      <c r="AU110">
        <v>83</v>
      </c>
      <c r="AV110">
        <v>81.5</v>
      </c>
      <c r="AW110">
        <v>82.5</v>
      </c>
      <c r="AX110">
        <v>82.5</v>
      </c>
      <c r="AY110">
        <v>81.290000000000006</v>
      </c>
      <c r="AZ110">
        <v>81.251000000000005</v>
      </c>
      <c r="BA110">
        <v>84</v>
      </c>
      <c r="BB110">
        <v>87</v>
      </c>
      <c r="BC110">
        <v>103</v>
      </c>
      <c r="BD110">
        <v>84.5</v>
      </c>
      <c r="BE110">
        <v>84.5</v>
      </c>
      <c r="BF110">
        <v>84.5</v>
      </c>
      <c r="BG110">
        <v>84.5</v>
      </c>
      <c r="BH110">
        <v>84.5</v>
      </c>
      <c r="BI110">
        <v>84.4</v>
      </c>
      <c r="BJ110">
        <v>84.5</v>
      </c>
      <c r="BK110">
        <v>84.2</v>
      </c>
      <c r="BL110">
        <v>84.6</v>
      </c>
      <c r="BM110">
        <v>84.6</v>
      </c>
      <c r="BN110">
        <v>84.4</v>
      </c>
      <c r="BO110">
        <v>84.3</v>
      </c>
      <c r="BP110">
        <v>84.3</v>
      </c>
      <c r="BQ110">
        <v>84.6</v>
      </c>
    </row>
    <row r="111" spans="1:69" x14ac:dyDescent="0.25">
      <c r="A111" t="s">
        <v>173</v>
      </c>
      <c r="B111">
        <v>22461</v>
      </c>
      <c r="C111">
        <v>22423</v>
      </c>
      <c r="D111">
        <v>21919</v>
      </c>
      <c r="E111">
        <v>21797.360000000001</v>
      </c>
      <c r="F111">
        <v>21896</v>
      </c>
      <c r="G111">
        <v>21280.27</v>
      </c>
      <c r="H111">
        <v>21348.3</v>
      </c>
      <c r="I111">
        <v>21478.61</v>
      </c>
      <c r="J111">
        <v>21554.91</v>
      </c>
      <c r="K111">
        <v>21810</v>
      </c>
      <c r="L111">
        <v>21789</v>
      </c>
      <c r="M111">
        <v>21782</v>
      </c>
      <c r="N111">
        <v>21723</v>
      </c>
      <c r="O111">
        <v>21670</v>
      </c>
      <c r="P111">
        <v>21718</v>
      </c>
      <c r="Q111">
        <v>21610</v>
      </c>
      <c r="R111">
        <v>21638</v>
      </c>
      <c r="S111">
        <v>21635</v>
      </c>
      <c r="T111">
        <v>21790</v>
      </c>
      <c r="U111">
        <v>21854</v>
      </c>
      <c r="V111">
        <v>22020</v>
      </c>
      <c r="W111">
        <v>22038</v>
      </c>
      <c r="X111">
        <v>21998</v>
      </c>
      <c r="Y111">
        <v>22154</v>
      </c>
      <c r="Z111">
        <v>22237</v>
      </c>
      <c r="AA111">
        <v>22183</v>
      </c>
      <c r="AB111">
        <v>21609</v>
      </c>
      <c r="AC111">
        <v>21409</v>
      </c>
      <c r="AD111">
        <v>21226</v>
      </c>
      <c r="AE111">
        <v>20933</v>
      </c>
      <c r="AF111">
        <v>20892</v>
      </c>
      <c r="AG111">
        <v>20678</v>
      </c>
      <c r="AH111">
        <v>20797</v>
      </c>
      <c r="AI111">
        <v>20806</v>
      </c>
      <c r="AJ111">
        <v>20569</v>
      </c>
      <c r="AK111">
        <v>19900</v>
      </c>
      <c r="AL111">
        <v>19498</v>
      </c>
      <c r="AM111">
        <v>19224</v>
      </c>
      <c r="AN111">
        <v>18210</v>
      </c>
      <c r="AO111">
        <v>17515</v>
      </c>
      <c r="AP111">
        <v>17199</v>
      </c>
      <c r="AQ111">
        <v>16948</v>
      </c>
      <c r="AR111">
        <v>16935</v>
      </c>
      <c r="AS111">
        <v>17298</v>
      </c>
      <c r="AT111">
        <v>17363</v>
      </c>
      <c r="AU111">
        <v>17367</v>
      </c>
      <c r="AV111">
        <v>16827</v>
      </c>
      <c r="AW111">
        <v>15758</v>
      </c>
      <c r="AX111">
        <v>15231</v>
      </c>
      <c r="AY111">
        <v>15040</v>
      </c>
      <c r="AZ111">
        <v>14397.36</v>
      </c>
      <c r="BA111">
        <v>12769</v>
      </c>
      <c r="BB111">
        <v>11887</v>
      </c>
      <c r="BC111">
        <v>11486</v>
      </c>
      <c r="BD111">
        <v>11454</v>
      </c>
      <c r="BE111">
        <v>11262</v>
      </c>
      <c r="BF111">
        <v>10781</v>
      </c>
      <c r="BG111">
        <v>10262</v>
      </c>
      <c r="BH111">
        <v>9590</v>
      </c>
      <c r="BI111">
        <v>9590</v>
      </c>
      <c r="BJ111">
        <v>9548</v>
      </c>
      <c r="BK111">
        <v>9476</v>
      </c>
      <c r="BL111">
        <v>9422</v>
      </c>
      <c r="BM111">
        <v>9408</v>
      </c>
      <c r="BN111">
        <v>9384</v>
      </c>
      <c r="BO111">
        <v>9345</v>
      </c>
      <c r="BP111">
        <v>9320</v>
      </c>
      <c r="BQ111">
        <v>9290</v>
      </c>
    </row>
    <row r="112" spans="1:69" x14ac:dyDescent="0.25">
      <c r="A112" t="s">
        <v>45</v>
      </c>
      <c r="B112">
        <v>0.86699999999999999</v>
      </c>
      <c r="C112">
        <v>0.875</v>
      </c>
      <c r="D112">
        <v>0.86799999999999999</v>
      </c>
      <c r="E112">
        <v>0.85399999999999998</v>
      </c>
      <c r="F112">
        <v>0.85399999999999998</v>
      </c>
      <c r="G112">
        <v>0.86699999999999999</v>
      </c>
      <c r="H112">
        <v>0.84099999999999997</v>
      </c>
      <c r="I112">
        <v>0.85799999999999998</v>
      </c>
      <c r="J112">
        <v>0.85199999999999998</v>
      </c>
      <c r="K112">
        <v>0.86499999999999999</v>
      </c>
      <c r="L112">
        <v>0.86499999999999999</v>
      </c>
      <c r="M112">
        <v>0.85299999999999998</v>
      </c>
      <c r="N112">
        <v>0.85499999999999998</v>
      </c>
      <c r="O112">
        <v>0.85599999999999998</v>
      </c>
      <c r="P112">
        <v>0.872</v>
      </c>
      <c r="Q112">
        <v>0.89700000000000002</v>
      </c>
      <c r="R112">
        <v>0.88</v>
      </c>
      <c r="S112">
        <v>0.91800000000000004</v>
      </c>
      <c r="T112">
        <v>0.96699999999999997</v>
      </c>
      <c r="U112">
        <v>0.98</v>
      </c>
      <c r="V112">
        <v>0.95299999999999996</v>
      </c>
      <c r="W112">
        <v>0.94299999999999995</v>
      </c>
      <c r="X112">
        <v>0.91400000000000003</v>
      </c>
      <c r="Y112">
        <v>0.90800000000000003</v>
      </c>
      <c r="Z112">
        <v>0.91300000000000003</v>
      </c>
      <c r="AA112">
        <v>0.91800000000000004</v>
      </c>
      <c r="AB112">
        <v>0.92300000000000004</v>
      </c>
      <c r="AC112">
        <v>0.92600000000000005</v>
      </c>
      <c r="AD112">
        <v>0.93200000000000005</v>
      </c>
      <c r="AE112">
        <v>0.91400000000000003</v>
      </c>
      <c r="AF112">
        <v>0.93300000000000005</v>
      </c>
      <c r="AG112">
        <v>0.91300000000000003</v>
      </c>
      <c r="AH112">
        <v>0.92700000000000005</v>
      </c>
      <c r="AI112">
        <v>0.93700000000000006</v>
      </c>
      <c r="AJ112">
        <v>0.94099999999999995</v>
      </c>
      <c r="AK112">
        <v>0.93100000000000005</v>
      </c>
      <c r="AL112">
        <v>0.91300000000000003</v>
      </c>
      <c r="AM112">
        <v>0.90200000000000002</v>
      </c>
      <c r="AN112">
        <v>0.92700000000000005</v>
      </c>
      <c r="AO112">
        <v>0.91700000000000004</v>
      </c>
      <c r="AP112">
        <v>0.91100000000000003</v>
      </c>
      <c r="AQ112">
        <v>0.93400000000000005</v>
      </c>
      <c r="AR112">
        <v>0.93300000000000005</v>
      </c>
      <c r="AS112">
        <v>0.92900000000000005</v>
      </c>
      <c r="AT112">
        <v>0.93799999999999994</v>
      </c>
      <c r="AU112">
        <v>0.97199999999999998</v>
      </c>
      <c r="AV112">
        <v>1.032</v>
      </c>
      <c r="AW112">
        <v>0.997</v>
      </c>
      <c r="AX112">
        <v>0.96499999999999997</v>
      </c>
      <c r="AY112">
        <v>0.996</v>
      </c>
      <c r="AZ112">
        <v>0.95799999999999996</v>
      </c>
      <c r="BA112">
        <v>0.94699999999999995</v>
      </c>
      <c r="BB112">
        <v>0.92</v>
      </c>
      <c r="BC112">
        <v>0.91300000000000003</v>
      </c>
      <c r="BD112">
        <v>0.878</v>
      </c>
      <c r="BE112">
        <v>0.876</v>
      </c>
      <c r="BF112">
        <v>0.88800000000000001</v>
      </c>
      <c r="BG112">
        <v>0.872</v>
      </c>
      <c r="BH112">
        <v>0.86</v>
      </c>
      <c r="BI112">
        <v>0.84699999999999998</v>
      </c>
      <c r="BJ112">
        <v>0.84099999999999997</v>
      </c>
      <c r="BK112">
        <v>0.83799999999999997</v>
      </c>
      <c r="BL112">
        <v>0.82</v>
      </c>
      <c r="BM112">
        <v>0.82599999999999996</v>
      </c>
      <c r="BN112">
        <v>0.85299999999999998</v>
      </c>
      <c r="BO112">
        <v>0.83699999999999997</v>
      </c>
      <c r="BP112">
        <v>0.82399999999999995</v>
      </c>
      <c r="BQ112">
        <v>0.82199999999999995</v>
      </c>
    </row>
    <row r="113" spans="1:69" x14ac:dyDescent="0.25">
      <c r="A113" t="s">
        <v>175</v>
      </c>
      <c r="B113">
        <v>89500</v>
      </c>
      <c r="C113">
        <v>89500</v>
      </c>
      <c r="D113">
        <v>89500</v>
      </c>
      <c r="E113">
        <v>89500</v>
      </c>
      <c r="F113">
        <v>89500</v>
      </c>
      <c r="G113">
        <v>89500</v>
      </c>
      <c r="H113">
        <v>89500</v>
      </c>
      <c r="I113">
        <v>89500</v>
      </c>
      <c r="J113">
        <v>89500</v>
      </c>
      <c r="K113">
        <v>89500</v>
      </c>
      <c r="L113">
        <v>89500</v>
      </c>
      <c r="M113">
        <v>89500</v>
      </c>
      <c r="N113">
        <v>89500</v>
      </c>
      <c r="O113">
        <v>89500</v>
      </c>
      <c r="P113">
        <v>89500</v>
      </c>
      <c r="Q113">
        <v>89500</v>
      </c>
      <c r="R113">
        <v>89500</v>
      </c>
      <c r="S113">
        <v>89500</v>
      </c>
      <c r="T113">
        <v>89500</v>
      </c>
      <c r="U113">
        <v>89500</v>
      </c>
      <c r="V113">
        <v>89500</v>
      </c>
      <c r="W113">
        <v>89500</v>
      </c>
      <c r="X113">
        <v>89500</v>
      </c>
      <c r="Y113">
        <v>89500</v>
      </c>
      <c r="Z113">
        <v>89500</v>
      </c>
      <c r="AA113">
        <v>89500</v>
      </c>
      <c r="AB113">
        <v>89500</v>
      </c>
      <c r="AC113">
        <v>89500</v>
      </c>
      <c r="AD113">
        <v>89500</v>
      </c>
      <c r="AE113">
        <v>89500</v>
      </c>
      <c r="AF113">
        <v>89500</v>
      </c>
      <c r="AG113">
        <v>85500</v>
      </c>
      <c r="AH113">
        <v>85500</v>
      </c>
      <c r="AI113">
        <v>85500</v>
      </c>
      <c r="AJ113">
        <v>85500</v>
      </c>
      <c r="AK113">
        <v>85500</v>
      </c>
      <c r="AL113">
        <v>85500</v>
      </c>
      <c r="AM113">
        <v>85500</v>
      </c>
      <c r="AN113">
        <v>86200</v>
      </c>
      <c r="AO113">
        <v>86300</v>
      </c>
      <c r="AP113">
        <v>87000</v>
      </c>
      <c r="AQ113">
        <v>73100</v>
      </c>
      <c r="AR113">
        <v>43600</v>
      </c>
      <c r="AS113">
        <v>38000</v>
      </c>
      <c r="AT113">
        <v>30600</v>
      </c>
      <c r="AU113">
        <v>30300</v>
      </c>
      <c r="AV113">
        <v>1507.5</v>
      </c>
      <c r="AW113">
        <v>1507.5</v>
      </c>
      <c r="AX113">
        <v>1507.5</v>
      </c>
      <c r="AY113">
        <v>1507.5</v>
      </c>
      <c r="AZ113">
        <v>1507.5</v>
      </c>
      <c r="BA113">
        <v>1507.5</v>
      </c>
      <c r="BB113">
        <v>1507.5</v>
      </c>
      <c r="BC113">
        <v>1507.5</v>
      </c>
      <c r="BD113">
        <v>1507.5</v>
      </c>
      <c r="BE113">
        <v>1507.5</v>
      </c>
      <c r="BF113">
        <v>1507.5</v>
      </c>
      <c r="BG113">
        <v>1507.5</v>
      </c>
      <c r="BH113">
        <v>1507.5</v>
      </c>
      <c r="BI113">
        <v>1507.5</v>
      </c>
      <c r="BJ113">
        <v>1507.5</v>
      </c>
      <c r="BK113">
        <v>1507.5</v>
      </c>
      <c r="BL113">
        <v>1507.5</v>
      </c>
      <c r="BM113">
        <v>1507.5</v>
      </c>
      <c r="BN113">
        <v>1507.5</v>
      </c>
      <c r="BO113">
        <v>1507.5</v>
      </c>
      <c r="BP113">
        <v>1507.5</v>
      </c>
      <c r="BQ113">
        <v>1507.5</v>
      </c>
    </row>
    <row r="114" spans="1:69" x14ac:dyDescent="0.25">
      <c r="A114" t="s">
        <v>181</v>
      </c>
      <c r="B114">
        <v>16.131</v>
      </c>
      <c r="C114">
        <v>16.356000000000002</v>
      </c>
      <c r="D114">
        <v>16.521999999999998</v>
      </c>
      <c r="E114">
        <v>16.457000000000001</v>
      </c>
      <c r="F114">
        <v>16.501000000000001</v>
      </c>
      <c r="G114">
        <v>16.675000000000001</v>
      </c>
      <c r="H114">
        <v>15.827</v>
      </c>
      <c r="I114">
        <v>16.433</v>
      </c>
      <c r="J114">
        <v>16.890999999999998</v>
      </c>
      <c r="K114">
        <v>17.085999999999999</v>
      </c>
      <c r="L114">
        <v>17.312000000000001</v>
      </c>
      <c r="M114">
        <v>17.445</v>
      </c>
      <c r="N114">
        <v>17.523</v>
      </c>
      <c r="O114">
        <v>17.911999999999999</v>
      </c>
      <c r="P114">
        <v>17.712</v>
      </c>
      <c r="Q114">
        <v>18.420999999999999</v>
      </c>
      <c r="R114">
        <v>19.183</v>
      </c>
      <c r="S114">
        <v>18.373999999999999</v>
      </c>
      <c r="T114">
        <v>18.533000000000001</v>
      </c>
      <c r="U114">
        <v>19.071999999999999</v>
      </c>
      <c r="V114">
        <v>17.757000000000001</v>
      </c>
      <c r="W114">
        <v>18.071000000000002</v>
      </c>
      <c r="X114">
        <v>17.463000000000001</v>
      </c>
      <c r="Y114">
        <v>17.931999999999999</v>
      </c>
      <c r="Z114">
        <v>18.149999999999999</v>
      </c>
      <c r="AA114">
        <v>17.96</v>
      </c>
      <c r="AB114">
        <v>18.466999999999999</v>
      </c>
      <c r="AC114">
        <v>18.298999999999999</v>
      </c>
      <c r="AD114">
        <v>18.733000000000001</v>
      </c>
      <c r="AE114">
        <v>18.64</v>
      </c>
      <c r="AF114">
        <v>19.055</v>
      </c>
      <c r="AG114">
        <v>18.649999999999999</v>
      </c>
      <c r="AH114">
        <v>19.035</v>
      </c>
      <c r="AI114">
        <v>18.785</v>
      </c>
      <c r="AJ114">
        <v>18.826000000000001</v>
      </c>
      <c r="AK114">
        <v>18.824000000000002</v>
      </c>
      <c r="AL114">
        <v>18.925999999999998</v>
      </c>
      <c r="AM114">
        <v>18.244</v>
      </c>
      <c r="AN114">
        <v>18.591999999999999</v>
      </c>
      <c r="AO114">
        <v>19.242000000000001</v>
      </c>
      <c r="AP114">
        <v>18.363</v>
      </c>
      <c r="AQ114">
        <v>18.198</v>
      </c>
      <c r="AR114">
        <v>17.84</v>
      </c>
      <c r="AS114">
        <v>16.960999999999999</v>
      </c>
      <c r="AT114">
        <v>17.350999999999999</v>
      </c>
      <c r="AU114">
        <v>17.285</v>
      </c>
      <c r="AV114">
        <v>18.266999999999999</v>
      </c>
      <c r="AW114">
        <v>17.346</v>
      </c>
      <c r="AX114">
        <v>16.141999999999999</v>
      </c>
      <c r="AY114">
        <v>16.997</v>
      </c>
      <c r="AZ114">
        <v>16.134</v>
      </c>
      <c r="BA114">
        <v>16.058</v>
      </c>
      <c r="BB114">
        <v>14.504</v>
      </c>
      <c r="BC114">
        <v>15.023</v>
      </c>
      <c r="BD114">
        <v>15.112</v>
      </c>
      <c r="BE114">
        <v>15.377000000000001</v>
      </c>
      <c r="BF114">
        <v>16.152999999999999</v>
      </c>
      <c r="BG114">
        <v>15.255000000000001</v>
      </c>
      <c r="BH114">
        <v>15.146000000000001</v>
      </c>
      <c r="BI114">
        <v>14.137</v>
      </c>
      <c r="BJ114">
        <v>14.606</v>
      </c>
      <c r="BK114">
        <v>14.24</v>
      </c>
      <c r="BL114">
        <v>13.733000000000001</v>
      </c>
      <c r="BM114">
        <v>14.356</v>
      </c>
      <c r="BN114">
        <v>14.935</v>
      </c>
      <c r="BO114">
        <v>14.93</v>
      </c>
      <c r="BP114">
        <v>14.628</v>
      </c>
      <c r="BQ114">
        <v>15.241</v>
      </c>
    </row>
    <row r="115" spans="1:69" x14ac:dyDescent="0.25">
      <c r="A115" t="s">
        <v>179</v>
      </c>
      <c r="B115">
        <v>180.75700000000001</v>
      </c>
      <c r="C115">
        <v>181.08</v>
      </c>
      <c r="D115">
        <v>182.084</v>
      </c>
      <c r="E115">
        <v>182.374</v>
      </c>
      <c r="F115">
        <v>182.715</v>
      </c>
      <c r="G115">
        <v>182.4</v>
      </c>
      <c r="H115">
        <v>183.125</v>
      </c>
      <c r="I115">
        <v>177.709</v>
      </c>
      <c r="J115">
        <v>176.58500000000001</v>
      </c>
      <c r="K115">
        <v>182.345</v>
      </c>
      <c r="L115">
        <v>181.792</v>
      </c>
      <c r="M115">
        <v>199.68700000000001</v>
      </c>
      <c r="N115">
        <v>200.14400000000001</v>
      </c>
      <c r="O115">
        <v>199.369</v>
      </c>
      <c r="P115">
        <v>198.011</v>
      </c>
      <c r="Q115">
        <v>198.18</v>
      </c>
      <c r="R115">
        <v>198.91399999999999</v>
      </c>
      <c r="S115">
        <v>197.898</v>
      </c>
      <c r="T115">
        <v>196.42099999999999</v>
      </c>
      <c r="U115">
        <v>186.23</v>
      </c>
      <c r="V115">
        <v>178.20400000000001</v>
      </c>
      <c r="W115">
        <v>188.63200000000001</v>
      </c>
      <c r="X115">
        <v>192.30099999999999</v>
      </c>
      <c r="Y115">
        <v>194.20500000000001</v>
      </c>
      <c r="Z115">
        <v>194.571</v>
      </c>
      <c r="AA115">
        <v>194.238</v>
      </c>
      <c r="AB115">
        <v>193.119</v>
      </c>
      <c r="AC115">
        <v>192.55199999999999</v>
      </c>
      <c r="AD115">
        <v>191.95400000000001</v>
      </c>
      <c r="AE115">
        <v>191.542</v>
      </c>
      <c r="AF115">
        <v>189.40299999999999</v>
      </c>
      <c r="AG115">
        <v>188.018</v>
      </c>
      <c r="AH115">
        <v>187.22900000000001</v>
      </c>
      <c r="AI115">
        <v>186.77199999999999</v>
      </c>
      <c r="AJ115">
        <v>185.83199999999999</v>
      </c>
      <c r="AK115">
        <v>185.232</v>
      </c>
      <c r="AL115">
        <v>185.554</v>
      </c>
      <c r="AM115">
        <v>181.45400000000001</v>
      </c>
      <c r="AN115">
        <v>169.858</v>
      </c>
      <c r="AO115">
        <v>164.84700000000001</v>
      </c>
      <c r="AP115">
        <v>161.85300000000001</v>
      </c>
      <c r="AQ115">
        <v>159.285</v>
      </c>
      <c r="AR115">
        <v>156.01300000000001</v>
      </c>
      <c r="AS115">
        <v>153.77099999999999</v>
      </c>
      <c r="AT115">
        <v>153.41200000000001</v>
      </c>
      <c r="AU115">
        <v>152.90100000000001</v>
      </c>
      <c r="AV115">
        <v>152.75</v>
      </c>
      <c r="AW115">
        <v>153.09399999999999</v>
      </c>
      <c r="AX115">
        <v>152.614</v>
      </c>
      <c r="AY115">
        <v>152.4</v>
      </c>
      <c r="AZ115">
        <v>152</v>
      </c>
      <c r="BA115">
        <v>150.5</v>
      </c>
      <c r="BB115">
        <v>151.673</v>
      </c>
      <c r="BC115">
        <v>153.065</v>
      </c>
      <c r="BD115">
        <v>152.67599999999999</v>
      </c>
      <c r="BE115">
        <v>142.477</v>
      </c>
      <c r="BF115">
        <v>142.80099999999999</v>
      </c>
      <c r="BG115">
        <v>153.71199999999999</v>
      </c>
      <c r="BH115">
        <v>170.40799999999999</v>
      </c>
      <c r="BI115">
        <v>170.98099999999999</v>
      </c>
      <c r="BJ115">
        <v>170.91200000000001</v>
      </c>
      <c r="BK115">
        <v>170.64</v>
      </c>
      <c r="BL115">
        <v>170.87299999999999</v>
      </c>
      <c r="BM115">
        <v>171.565</v>
      </c>
      <c r="BN115">
        <v>172.202</v>
      </c>
      <c r="BO115">
        <v>172.673</v>
      </c>
      <c r="BP115">
        <v>169.565</v>
      </c>
      <c r="BQ115">
        <v>162.06299999999999</v>
      </c>
    </row>
    <row r="116" spans="1:69" x14ac:dyDescent="0.25">
      <c r="A116" t="s">
        <v>183</v>
      </c>
      <c r="B116">
        <v>6.3739999999999997</v>
      </c>
      <c r="C116">
        <v>6.3789999999999996</v>
      </c>
      <c r="D116">
        <v>6.3419999999999996</v>
      </c>
      <c r="E116">
        <v>6.3040000000000003</v>
      </c>
      <c r="F116">
        <v>6.3390000000000004</v>
      </c>
      <c r="G116">
        <v>6.3360000000000003</v>
      </c>
      <c r="H116">
        <v>6.2590000000000003</v>
      </c>
      <c r="I116">
        <v>5.4009999999999998</v>
      </c>
      <c r="J116">
        <v>5.42</v>
      </c>
      <c r="K116">
        <v>5.4429999999999996</v>
      </c>
      <c r="L116">
        <v>5.4249999999999998</v>
      </c>
      <c r="M116">
        <v>5.3959999999999999</v>
      </c>
      <c r="N116">
        <v>5.407</v>
      </c>
      <c r="O116">
        <v>5.3949999999999996</v>
      </c>
      <c r="P116">
        <v>5.4589999999999996</v>
      </c>
      <c r="Q116">
        <v>5.4790000000000001</v>
      </c>
      <c r="R116">
        <v>5.5570000000000004</v>
      </c>
      <c r="S116">
        <v>4.8209999999999997</v>
      </c>
      <c r="T116">
        <v>4.9269999999999996</v>
      </c>
      <c r="U116">
        <v>4.944</v>
      </c>
      <c r="V116">
        <v>4.8769999999999998</v>
      </c>
      <c r="W116">
        <v>4.8460000000000001</v>
      </c>
      <c r="X116">
        <v>4.7839999999999998</v>
      </c>
      <c r="Y116">
        <v>4.7720000000000002</v>
      </c>
      <c r="Z116">
        <v>4.8099999999999996</v>
      </c>
      <c r="AA116">
        <v>4.8499999999999996</v>
      </c>
      <c r="AB116">
        <v>4.8579999999999997</v>
      </c>
      <c r="AC116">
        <v>4.8550000000000004</v>
      </c>
      <c r="AD116">
        <v>4.8390000000000004</v>
      </c>
      <c r="AE116">
        <v>4.8040000000000003</v>
      </c>
      <c r="AF116">
        <v>4.8179999999999996</v>
      </c>
      <c r="AG116">
        <v>4.8010000000000002</v>
      </c>
      <c r="AH116">
        <v>4.835</v>
      </c>
      <c r="AI116">
        <v>4.9000000000000004</v>
      </c>
      <c r="AJ116">
        <v>4.8929999999999998</v>
      </c>
      <c r="AK116">
        <v>4.8499999999999996</v>
      </c>
      <c r="AL116">
        <v>4.7910000000000004</v>
      </c>
      <c r="AM116">
        <v>4.8339999999999996</v>
      </c>
      <c r="AN116">
        <v>4.8339999999999996</v>
      </c>
      <c r="AO116">
        <v>4.7640000000000002</v>
      </c>
      <c r="AP116">
        <v>4.7690000000000001</v>
      </c>
      <c r="AQ116">
        <v>4.8520000000000003</v>
      </c>
      <c r="AR116">
        <v>4.76</v>
      </c>
      <c r="AS116">
        <v>4.798</v>
      </c>
      <c r="AT116">
        <v>4.8470000000000004</v>
      </c>
      <c r="AU116">
        <v>4.9740000000000002</v>
      </c>
      <c r="AV116">
        <v>5.0490000000000004</v>
      </c>
      <c r="AW116">
        <v>4.9560000000000004</v>
      </c>
      <c r="AX116">
        <v>4.8730000000000002</v>
      </c>
      <c r="AY116">
        <v>4.8810000000000002</v>
      </c>
      <c r="AZ116">
        <v>4.78</v>
      </c>
      <c r="BA116">
        <v>4.8109999999999999</v>
      </c>
      <c r="BB116">
        <v>4.6920000000000002</v>
      </c>
      <c r="BC116">
        <v>4.5979999999999999</v>
      </c>
      <c r="BD116">
        <v>4.5819999999999999</v>
      </c>
      <c r="BE116">
        <v>4.5999999999999996</v>
      </c>
      <c r="BF116">
        <v>4.6109999999999998</v>
      </c>
      <c r="BG116">
        <v>4.5439999999999996</v>
      </c>
      <c r="BH116">
        <v>4.5339999999999998</v>
      </c>
      <c r="BI116">
        <v>4.5359999999999996</v>
      </c>
      <c r="BJ116">
        <v>4.5140000000000002</v>
      </c>
      <c r="BK116">
        <v>4.5010000000000003</v>
      </c>
      <c r="BL116">
        <v>4.4480000000000004</v>
      </c>
      <c r="BM116">
        <v>4.4820000000000002</v>
      </c>
      <c r="BN116">
        <v>4.4909999999999997</v>
      </c>
      <c r="BO116">
        <v>4.4630000000000001</v>
      </c>
      <c r="BP116">
        <v>4.4550000000000001</v>
      </c>
      <c r="BQ116">
        <v>4.4800000000000004</v>
      </c>
    </row>
    <row r="117" spans="1:69" x14ac:dyDescent="0.25">
      <c r="A117" t="s">
        <v>88</v>
      </c>
      <c r="B117">
        <v>0.81200000000000006</v>
      </c>
      <c r="C117">
        <v>0.81</v>
      </c>
      <c r="D117">
        <v>0.8</v>
      </c>
      <c r="E117">
        <v>0.78200000000000003</v>
      </c>
      <c r="F117">
        <v>0.78800000000000003</v>
      </c>
      <c r="G117">
        <v>0.78300000000000003</v>
      </c>
      <c r="H117">
        <v>0.76800000000000002</v>
      </c>
      <c r="I117">
        <v>0.8</v>
      </c>
      <c r="J117">
        <v>0.79400000000000004</v>
      </c>
      <c r="K117">
        <v>0.79900000000000004</v>
      </c>
      <c r="L117">
        <v>0.80500000000000005</v>
      </c>
      <c r="M117">
        <v>0.79700000000000004</v>
      </c>
      <c r="N117">
        <v>0.80500000000000005</v>
      </c>
      <c r="O117">
        <v>0.79600000000000004</v>
      </c>
      <c r="P117">
        <v>0.82</v>
      </c>
      <c r="Q117">
        <v>0.84099999999999997</v>
      </c>
      <c r="R117">
        <v>0.81399999999999995</v>
      </c>
      <c r="S117">
        <v>0.88300000000000001</v>
      </c>
      <c r="T117">
        <v>0.91500000000000004</v>
      </c>
      <c r="U117">
        <v>0.91800000000000004</v>
      </c>
      <c r="V117">
        <v>0.88400000000000001</v>
      </c>
      <c r="W117">
        <v>0.88300000000000001</v>
      </c>
      <c r="X117">
        <v>0.85699999999999998</v>
      </c>
      <c r="Y117">
        <v>0.85</v>
      </c>
      <c r="Z117">
        <v>0.86599999999999999</v>
      </c>
      <c r="AA117">
        <v>0.89200000000000002</v>
      </c>
      <c r="AB117">
        <v>0.89100000000000001</v>
      </c>
      <c r="AC117">
        <v>0.90500000000000003</v>
      </c>
      <c r="AD117">
        <v>0.91100000000000003</v>
      </c>
      <c r="AE117">
        <v>0.877</v>
      </c>
      <c r="AF117">
        <v>0.88500000000000001</v>
      </c>
      <c r="AG117">
        <v>0.85299999999999998</v>
      </c>
      <c r="AH117">
        <v>0.877</v>
      </c>
      <c r="AI117">
        <v>0.90400000000000003</v>
      </c>
      <c r="AJ117">
        <v>0.90100000000000002</v>
      </c>
      <c r="AK117">
        <v>0.89300000000000002</v>
      </c>
      <c r="AL117">
        <v>0.878</v>
      </c>
      <c r="AM117">
        <v>0.87</v>
      </c>
      <c r="AN117">
        <v>0.90700000000000003</v>
      </c>
      <c r="AO117">
        <v>0.89500000000000002</v>
      </c>
      <c r="AP117">
        <v>0.89700000000000002</v>
      </c>
      <c r="AQ117">
        <v>0.90900000000000003</v>
      </c>
      <c r="AR117">
        <v>0.92100000000000004</v>
      </c>
      <c r="AS117">
        <v>0.92900000000000005</v>
      </c>
      <c r="AT117">
        <v>0.92400000000000004</v>
      </c>
      <c r="AU117">
        <v>0.95</v>
      </c>
      <c r="AV117">
        <v>0.997</v>
      </c>
      <c r="AW117">
        <v>0.96</v>
      </c>
      <c r="AX117">
        <v>0.93799999999999994</v>
      </c>
      <c r="AY117">
        <v>0.98099999999999998</v>
      </c>
      <c r="AZ117">
        <v>0.99399999999999999</v>
      </c>
      <c r="BA117">
        <v>0.98899999999999999</v>
      </c>
      <c r="BB117">
        <v>0.93100000000000005</v>
      </c>
      <c r="BC117">
        <v>0.93200000000000005</v>
      </c>
      <c r="BD117">
        <v>0.92600000000000005</v>
      </c>
      <c r="BE117">
        <v>0.91800000000000004</v>
      </c>
      <c r="BF117">
        <v>0.92500000000000004</v>
      </c>
      <c r="BG117">
        <v>0.92200000000000004</v>
      </c>
      <c r="BH117">
        <v>0.93100000000000005</v>
      </c>
      <c r="BI117">
        <v>0.92100000000000004</v>
      </c>
      <c r="BJ117">
        <v>0.90700000000000003</v>
      </c>
      <c r="BK117">
        <v>0.91900000000000004</v>
      </c>
      <c r="BL117">
        <v>0.89900000000000002</v>
      </c>
      <c r="BM117">
        <v>0.91100000000000003</v>
      </c>
      <c r="BN117">
        <v>0.94299999999999995</v>
      </c>
      <c r="BO117">
        <v>0.92600000000000005</v>
      </c>
      <c r="BP117">
        <v>0.89</v>
      </c>
      <c r="BQ117">
        <v>0.88800000000000001</v>
      </c>
    </row>
    <row r="118" spans="1:69" x14ac:dyDescent="0.25">
      <c r="A118" t="s">
        <v>45</v>
      </c>
      <c r="B118">
        <v>0.86699999999999999</v>
      </c>
      <c r="C118">
        <v>0.875</v>
      </c>
      <c r="D118">
        <v>0.86799999999999999</v>
      </c>
      <c r="E118">
        <v>0.85399999999999998</v>
      </c>
      <c r="F118">
        <v>0.85399999999999998</v>
      </c>
      <c r="G118">
        <v>0.86699999999999999</v>
      </c>
      <c r="H118">
        <v>0.84099999999999997</v>
      </c>
      <c r="I118">
        <v>0.85799999999999998</v>
      </c>
      <c r="J118">
        <v>0.85199999999999998</v>
      </c>
      <c r="K118">
        <v>0.86499999999999999</v>
      </c>
      <c r="L118">
        <v>0.86499999999999999</v>
      </c>
      <c r="M118">
        <v>0.85299999999999998</v>
      </c>
      <c r="N118">
        <v>0.85499999999999998</v>
      </c>
      <c r="O118">
        <v>0.85599999999999998</v>
      </c>
      <c r="P118">
        <v>0.872</v>
      </c>
      <c r="Q118">
        <v>0.89700000000000002</v>
      </c>
      <c r="R118">
        <v>0.88</v>
      </c>
      <c r="S118">
        <v>0.91800000000000004</v>
      </c>
      <c r="T118">
        <v>0.96699999999999997</v>
      </c>
      <c r="U118">
        <v>0.98</v>
      </c>
      <c r="V118">
        <v>0.95299999999999996</v>
      </c>
      <c r="W118">
        <v>0.94299999999999995</v>
      </c>
      <c r="X118">
        <v>0.91400000000000003</v>
      </c>
      <c r="Y118">
        <v>0.90800000000000003</v>
      </c>
      <c r="Z118">
        <v>0.91300000000000003</v>
      </c>
      <c r="AA118">
        <v>0.91800000000000004</v>
      </c>
      <c r="AB118">
        <v>0.92300000000000004</v>
      </c>
      <c r="AC118">
        <v>0.92600000000000005</v>
      </c>
      <c r="AD118">
        <v>0.93200000000000005</v>
      </c>
      <c r="AE118">
        <v>0.91400000000000003</v>
      </c>
      <c r="AF118">
        <v>0.93300000000000005</v>
      </c>
      <c r="AG118">
        <v>0.91300000000000003</v>
      </c>
      <c r="AH118">
        <v>0.92700000000000005</v>
      </c>
      <c r="AI118">
        <v>0.93700000000000006</v>
      </c>
      <c r="AJ118">
        <v>0.94099999999999995</v>
      </c>
      <c r="AK118">
        <v>0.93100000000000005</v>
      </c>
      <c r="AL118">
        <v>0.91300000000000003</v>
      </c>
      <c r="AM118">
        <v>0.90200000000000002</v>
      </c>
      <c r="AN118">
        <v>0.92700000000000005</v>
      </c>
      <c r="AO118">
        <v>0.91700000000000004</v>
      </c>
      <c r="AP118">
        <v>0.91100000000000003</v>
      </c>
      <c r="AQ118">
        <v>0.93400000000000005</v>
      </c>
      <c r="AR118">
        <v>0.93300000000000005</v>
      </c>
      <c r="AS118">
        <v>0.92900000000000005</v>
      </c>
      <c r="AT118">
        <v>0.93799999999999994</v>
      </c>
      <c r="AU118">
        <v>0.97199999999999998</v>
      </c>
      <c r="AV118">
        <v>1.032</v>
      </c>
      <c r="AW118">
        <v>0.997</v>
      </c>
      <c r="AX118">
        <v>0.96499999999999997</v>
      </c>
      <c r="AY118">
        <v>0.996</v>
      </c>
      <c r="AZ118">
        <v>0.95799999999999996</v>
      </c>
      <c r="BA118">
        <v>0.94699999999999995</v>
      </c>
      <c r="BB118">
        <v>0.92</v>
      </c>
      <c r="BC118">
        <v>0.91300000000000003</v>
      </c>
      <c r="BD118">
        <v>0.878</v>
      </c>
      <c r="BE118">
        <v>0.876</v>
      </c>
      <c r="BF118">
        <v>0.88800000000000001</v>
      </c>
      <c r="BG118">
        <v>0.872</v>
      </c>
      <c r="BH118">
        <v>0.86</v>
      </c>
      <c r="BI118">
        <v>0.84699999999999998</v>
      </c>
      <c r="BJ118">
        <v>0.84099999999999997</v>
      </c>
      <c r="BK118">
        <v>0.83799999999999997</v>
      </c>
      <c r="BL118">
        <v>0.82</v>
      </c>
      <c r="BM118">
        <v>0.82599999999999996</v>
      </c>
      <c r="BN118">
        <v>0.85299999999999998</v>
      </c>
      <c r="BO118">
        <v>0.83699999999999997</v>
      </c>
      <c r="BP118">
        <v>0.82399999999999995</v>
      </c>
      <c r="BQ118">
        <v>0.82199999999999995</v>
      </c>
    </row>
    <row r="119" spans="1:69" x14ac:dyDescent="0.25">
      <c r="A119" t="s">
        <v>45</v>
      </c>
      <c r="B119">
        <v>0.86699999999999999</v>
      </c>
      <c r="C119">
        <v>0.875</v>
      </c>
      <c r="D119">
        <v>0.86799999999999999</v>
      </c>
      <c r="E119">
        <v>0.85399999999999998</v>
      </c>
      <c r="F119">
        <v>0.85399999999999998</v>
      </c>
      <c r="G119">
        <v>0.86699999999999999</v>
      </c>
      <c r="H119">
        <v>0.84099999999999997</v>
      </c>
      <c r="I119">
        <v>0.85799999999999998</v>
      </c>
      <c r="J119">
        <v>0.85199999999999998</v>
      </c>
      <c r="K119">
        <v>0.86499999999999999</v>
      </c>
      <c r="L119">
        <v>0.86499999999999999</v>
      </c>
      <c r="M119">
        <v>0.85299999999999998</v>
      </c>
      <c r="N119">
        <v>0.85499999999999998</v>
      </c>
      <c r="O119">
        <v>0.85599999999999998</v>
      </c>
      <c r="P119">
        <v>0.872</v>
      </c>
      <c r="Q119">
        <v>0.89700000000000002</v>
      </c>
      <c r="R119">
        <v>0.88</v>
      </c>
      <c r="S119">
        <v>0.91800000000000004</v>
      </c>
      <c r="T119">
        <v>0.96699999999999997</v>
      </c>
      <c r="U119">
        <v>0.98</v>
      </c>
      <c r="V119">
        <v>0.95299999999999996</v>
      </c>
      <c r="W119">
        <v>0.94299999999999995</v>
      </c>
      <c r="X119">
        <v>0.91400000000000003</v>
      </c>
      <c r="Y119">
        <v>0.90800000000000003</v>
      </c>
      <c r="Z119">
        <v>0.91300000000000003</v>
      </c>
      <c r="AA119">
        <v>0.91800000000000004</v>
      </c>
      <c r="AB119">
        <v>0.92300000000000004</v>
      </c>
      <c r="AC119">
        <v>0.92600000000000005</v>
      </c>
      <c r="AD119">
        <v>0.93200000000000005</v>
      </c>
      <c r="AE119">
        <v>0.91400000000000003</v>
      </c>
      <c r="AF119">
        <v>0.93300000000000005</v>
      </c>
      <c r="AG119">
        <v>0.91300000000000003</v>
      </c>
      <c r="AH119">
        <v>0.92700000000000005</v>
      </c>
      <c r="AI119">
        <v>0.93700000000000006</v>
      </c>
      <c r="AJ119">
        <v>0.94099999999999995</v>
      </c>
      <c r="AK119">
        <v>0.93100000000000005</v>
      </c>
      <c r="AL119">
        <v>0.91300000000000003</v>
      </c>
      <c r="AM119">
        <v>0.90200000000000002</v>
      </c>
      <c r="AN119">
        <v>0.92700000000000005</v>
      </c>
      <c r="AO119">
        <v>0.91700000000000004</v>
      </c>
      <c r="AP119">
        <v>0.91100000000000003</v>
      </c>
      <c r="AQ119">
        <v>0.93400000000000005</v>
      </c>
      <c r="AR119">
        <v>0.93300000000000005</v>
      </c>
      <c r="AS119">
        <v>0.92900000000000005</v>
      </c>
      <c r="AT119">
        <v>0.93799999999999994</v>
      </c>
      <c r="AU119">
        <v>0.97199999999999998</v>
      </c>
      <c r="AV119">
        <v>1.032</v>
      </c>
      <c r="AW119">
        <v>0.997</v>
      </c>
      <c r="AX119">
        <v>0.96499999999999997</v>
      </c>
      <c r="AY119">
        <v>0.996</v>
      </c>
      <c r="AZ119">
        <v>0.95799999999999996</v>
      </c>
      <c r="BA119">
        <v>0.94699999999999995</v>
      </c>
      <c r="BB119">
        <v>0.92</v>
      </c>
      <c r="BC119">
        <v>0.91300000000000003</v>
      </c>
      <c r="BD119">
        <v>0.878</v>
      </c>
      <c r="BE119">
        <v>0.876</v>
      </c>
      <c r="BF119">
        <v>0.88800000000000001</v>
      </c>
      <c r="BG119">
        <v>0.872</v>
      </c>
      <c r="BH119">
        <v>0.86</v>
      </c>
      <c r="BI119">
        <v>0.84699999999999998</v>
      </c>
      <c r="BJ119">
        <v>0.84099999999999997</v>
      </c>
      <c r="BK119">
        <v>0.83799999999999997</v>
      </c>
      <c r="BL119">
        <v>0.82</v>
      </c>
      <c r="BM119">
        <v>0.82599999999999996</v>
      </c>
      <c r="BN119">
        <v>0.85299999999999998</v>
      </c>
      <c r="BO119">
        <v>0.83699999999999997</v>
      </c>
      <c r="BP119">
        <v>0.82399999999999995</v>
      </c>
      <c r="BQ119">
        <v>0.82199999999999995</v>
      </c>
    </row>
    <row r="120" spans="1:69" x14ac:dyDescent="0.25">
      <c r="A120" t="s">
        <v>99</v>
      </c>
      <c r="B120">
        <v>8.0820000000000007</v>
      </c>
      <c r="C120">
        <v>8.0730000000000004</v>
      </c>
      <c r="D120">
        <v>8.0719999999999992</v>
      </c>
      <c r="E120">
        <v>8.0670000000000002</v>
      </c>
      <c r="F120">
        <v>8.0670000000000002</v>
      </c>
      <c r="G120">
        <v>8.0619999999999994</v>
      </c>
      <c r="H120">
        <v>8.0510000000000002</v>
      </c>
      <c r="I120">
        <v>8.0359999999999996</v>
      </c>
      <c r="J120">
        <v>8.0150000000000006</v>
      </c>
      <c r="K120">
        <v>8.0039999999999996</v>
      </c>
      <c r="L120">
        <v>8.0120000000000005</v>
      </c>
      <c r="M120">
        <v>8.0229999999999997</v>
      </c>
      <c r="N120">
        <v>8.0850000000000009</v>
      </c>
      <c r="O120">
        <v>8.0850000000000009</v>
      </c>
      <c r="P120">
        <v>8.0850000000000009</v>
      </c>
      <c r="Q120">
        <v>8.0289999999999999</v>
      </c>
      <c r="R120">
        <v>7.9889999999999999</v>
      </c>
      <c r="S120">
        <v>8.0030000000000001</v>
      </c>
      <c r="T120">
        <v>8.0250000000000004</v>
      </c>
      <c r="U120">
        <v>8.0190000000000001</v>
      </c>
      <c r="V120">
        <v>8.0090000000000003</v>
      </c>
      <c r="W120">
        <v>8.0129999999999999</v>
      </c>
      <c r="X120">
        <v>8.0050000000000008</v>
      </c>
      <c r="Y120">
        <v>8.0329999999999995</v>
      </c>
      <c r="Z120">
        <v>8.0220000000000002</v>
      </c>
      <c r="AA120">
        <v>8.0410000000000004</v>
      </c>
      <c r="AB120">
        <v>8.0429999999999993</v>
      </c>
      <c r="AC120">
        <v>8.0459999999999994</v>
      </c>
      <c r="AD120">
        <v>8.07</v>
      </c>
      <c r="AE120">
        <v>8.0579999999999998</v>
      </c>
      <c r="AF120">
        <v>8.0530000000000008</v>
      </c>
      <c r="AG120">
        <v>8.0519999999999996</v>
      </c>
      <c r="AH120">
        <v>8.0470000000000006</v>
      </c>
      <c r="AI120">
        <v>8.0419999999999998</v>
      </c>
      <c r="AJ120">
        <v>8.0540000000000003</v>
      </c>
      <c r="AK120">
        <v>8.0589999999999993</v>
      </c>
      <c r="AL120">
        <v>8.0519999999999996</v>
      </c>
      <c r="AM120">
        <v>8.0619999999999994</v>
      </c>
      <c r="AN120">
        <v>8.0690000000000008</v>
      </c>
      <c r="AO120">
        <v>8.0719999999999992</v>
      </c>
      <c r="AP120">
        <v>8.0850000000000009</v>
      </c>
      <c r="AQ120">
        <v>8.0739999999999998</v>
      </c>
      <c r="AR120">
        <v>8.0850000000000009</v>
      </c>
      <c r="AS120">
        <v>8.0459999999999994</v>
      </c>
      <c r="AT120">
        <v>8.0069999999999997</v>
      </c>
      <c r="AU120">
        <v>8.0719999999999992</v>
      </c>
      <c r="AV120">
        <v>8.0850000000000009</v>
      </c>
      <c r="AW120">
        <v>8.0850000000000009</v>
      </c>
      <c r="AX120">
        <v>8.0790000000000006</v>
      </c>
      <c r="AY120">
        <v>8.0850000000000009</v>
      </c>
      <c r="AZ120">
        <v>8.0850000000000009</v>
      </c>
      <c r="BA120">
        <v>8.0850000000000009</v>
      </c>
      <c r="BB120">
        <v>8.0619999999999994</v>
      </c>
      <c r="BC120">
        <v>8.0489999999999995</v>
      </c>
      <c r="BD120">
        <v>8.0239999999999991</v>
      </c>
      <c r="BE120">
        <v>8.0220000000000002</v>
      </c>
      <c r="BF120">
        <v>8.0250000000000004</v>
      </c>
      <c r="BG120">
        <v>8.0039999999999996</v>
      </c>
      <c r="BH120">
        <v>8.0039999999999996</v>
      </c>
      <c r="BI120">
        <v>8.0050000000000008</v>
      </c>
      <c r="BJ120">
        <v>7.9909999999999997</v>
      </c>
      <c r="BK120">
        <v>7.9939999999999998</v>
      </c>
      <c r="BL120">
        <v>7.9950000000000001</v>
      </c>
      <c r="BM120">
        <v>7.9950000000000001</v>
      </c>
      <c r="BN120">
        <v>8.0079999999999991</v>
      </c>
      <c r="BO120">
        <v>7.9870000000000001</v>
      </c>
      <c r="BP120">
        <v>7.9850000000000003</v>
      </c>
      <c r="BQ120">
        <v>7.9779999999999998</v>
      </c>
    </row>
    <row r="121" spans="1:69" x14ac:dyDescent="0.25">
      <c r="A121" t="s">
        <v>189</v>
      </c>
      <c r="B121">
        <v>4279</v>
      </c>
      <c r="C121">
        <v>4250.3500000000004</v>
      </c>
      <c r="D121">
        <v>4174</v>
      </c>
      <c r="E121">
        <v>4139.92</v>
      </c>
      <c r="F121">
        <v>4133.96</v>
      </c>
      <c r="G121">
        <v>4366.2</v>
      </c>
      <c r="H121">
        <v>4434.8100000000004</v>
      </c>
      <c r="I121">
        <v>4535.25</v>
      </c>
      <c r="J121">
        <v>4424.03</v>
      </c>
      <c r="K121">
        <v>4477.6400000000003</v>
      </c>
      <c r="L121">
        <v>4464.6400000000003</v>
      </c>
      <c r="M121">
        <v>4464.88</v>
      </c>
      <c r="N121">
        <v>4438.7</v>
      </c>
      <c r="O121">
        <v>4411.0600000000004</v>
      </c>
      <c r="P121">
        <v>4496.38</v>
      </c>
      <c r="Q121">
        <v>4443.2700000000004</v>
      </c>
      <c r="R121">
        <v>4622.26</v>
      </c>
      <c r="S121">
        <v>4676.6099999999997</v>
      </c>
      <c r="T121">
        <v>4694.41</v>
      </c>
      <c r="U121">
        <v>4691.6000000000004</v>
      </c>
      <c r="V121">
        <v>4676.33</v>
      </c>
      <c r="W121">
        <v>4624.66</v>
      </c>
      <c r="X121">
        <v>4559.1400000000003</v>
      </c>
      <c r="Y121">
        <v>4524.82</v>
      </c>
      <c r="Z121">
        <v>4560.75</v>
      </c>
      <c r="AA121">
        <v>4469.92</v>
      </c>
      <c r="AB121">
        <v>4464.93</v>
      </c>
      <c r="AC121">
        <v>4420.49</v>
      </c>
      <c r="AD121">
        <v>4341.21</v>
      </c>
      <c r="AE121">
        <v>4502.8900000000003</v>
      </c>
      <c r="AF121">
        <v>4536.1899999999996</v>
      </c>
      <c r="AG121">
        <v>4594.2700000000004</v>
      </c>
      <c r="AH121">
        <v>4564.5600000000004</v>
      </c>
      <c r="AI121">
        <v>4488.4399999999996</v>
      </c>
      <c r="AJ121">
        <v>4519.68</v>
      </c>
      <c r="AK121">
        <v>4466.8999999999996</v>
      </c>
      <c r="AL121">
        <v>4448.4799999999996</v>
      </c>
      <c r="AM121">
        <v>4517.58</v>
      </c>
      <c r="AN121">
        <v>4405.09</v>
      </c>
      <c r="AO121">
        <v>4396.42</v>
      </c>
      <c r="AP121">
        <v>4355.09</v>
      </c>
      <c r="AQ121">
        <v>4293.13</v>
      </c>
      <c r="AR121">
        <v>4296.37</v>
      </c>
      <c r="AS121">
        <v>4493.7700000000004</v>
      </c>
      <c r="AT121">
        <v>4383.5200000000004</v>
      </c>
      <c r="AU121">
        <v>4271.55</v>
      </c>
      <c r="AV121">
        <v>4198.6000000000004</v>
      </c>
      <c r="AW121">
        <v>4110.88</v>
      </c>
      <c r="AX121">
        <v>4101.32</v>
      </c>
      <c r="AY121">
        <v>4090.9</v>
      </c>
      <c r="AZ121">
        <v>4018.77</v>
      </c>
      <c r="BA121">
        <v>4033.42</v>
      </c>
      <c r="BB121">
        <v>4032.11</v>
      </c>
      <c r="BC121">
        <v>3974.5</v>
      </c>
      <c r="BD121">
        <v>3975.99</v>
      </c>
      <c r="BE121">
        <v>3952.29</v>
      </c>
      <c r="BF121">
        <v>3961.75</v>
      </c>
      <c r="BG121">
        <v>3936.67</v>
      </c>
      <c r="BH121">
        <v>3931.8</v>
      </c>
      <c r="BI121">
        <v>3842.05</v>
      </c>
      <c r="BJ121">
        <v>3802.24</v>
      </c>
      <c r="BK121">
        <v>3769.63</v>
      </c>
      <c r="BL121">
        <v>3744.49</v>
      </c>
      <c r="BM121">
        <v>3767.05</v>
      </c>
      <c r="BN121">
        <v>3788.41</v>
      </c>
      <c r="BO121">
        <v>3741.83</v>
      </c>
      <c r="BP121">
        <v>3752.02</v>
      </c>
      <c r="BQ121">
        <v>3789.97</v>
      </c>
    </row>
    <row r="122" spans="1:69" x14ac:dyDescent="0.25">
      <c r="A122" t="s">
        <v>201</v>
      </c>
      <c r="B122">
        <v>1724</v>
      </c>
      <c r="C122">
        <v>1724</v>
      </c>
      <c r="D122">
        <v>1724</v>
      </c>
      <c r="E122">
        <v>1724</v>
      </c>
      <c r="F122">
        <v>1724</v>
      </c>
      <c r="G122">
        <v>1724</v>
      </c>
      <c r="H122">
        <v>1751</v>
      </c>
      <c r="I122">
        <v>1751</v>
      </c>
      <c r="J122">
        <v>1724</v>
      </c>
      <c r="K122">
        <v>1751</v>
      </c>
      <c r="L122">
        <v>1751</v>
      </c>
      <c r="M122">
        <v>1751</v>
      </c>
      <c r="N122">
        <v>1751</v>
      </c>
      <c r="O122">
        <v>1751</v>
      </c>
      <c r="P122">
        <v>1751</v>
      </c>
      <c r="Q122">
        <v>1751</v>
      </c>
      <c r="R122">
        <v>1751</v>
      </c>
      <c r="S122">
        <v>1751</v>
      </c>
      <c r="T122">
        <v>1751</v>
      </c>
      <c r="U122">
        <v>1751</v>
      </c>
      <c r="V122">
        <v>1751</v>
      </c>
      <c r="W122">
        <v>1751</v>
      </c>
      <c r="X122">
        <v>1751</v>
      </c>
      <c r="Y122">
        <v>1751</v>
      </c>
      <c r="Z122">
        <v>1751</v>
      </c>
      <c r="AA122">
        <v>1751</v>
      </c>
      <c r="AB122">
        <v>1751</v>
      </c>
      <c r="AC122">
        <v>1751</v>
      </c>
      <c r="AD122">
        <v>1751</v>
      </c>
      <c r="AE122">
        <v>1700</v>
      </c>
      <c r="AF122">
        <v>1700</v>
      </c>
      <c r="AG122">
        <v>1700</v>
      </c>
      <c r="AH122">
        <v>1700</v>
      </c>
      <c r="AI122">
        <v>1700</v>
      </c>
      <c r="AJ122">
        <v>1180.29</v>
      </c>
      <c r="AK122">
        <v>1126.77</v>
      </c>
      <c r="AL122">
        <v>1095.32</v>
      </c>
      <c r="AM122">
        <v>1063.8599999999999</v>
      </c>
      <c r="AN122">
        <v>1036.249</v>
      </c>
      <c r="AO122">
        <v>1036.249</v>
      </c>
      <c r="AP122">
        <v>1036.249</v>
      </c>
      <c r="AQ122">
        <v>1036.249</v>
      </c>
      <c r="AR122">
        <v>1036.249</v>
      </c>
      <c r="AS122">
        <v>1036.249</v>
      </c>
      <c r="AT122">
        <v>1036.249</v>
      </c>
      <c r="AU122">
        <v>1036.941</v>
      </c>
      <c r="AV122">
        <v>1036.249</v>
      </c>
      <c r="AW122">
        <v>1036.249</v>
      </c>
      <c r="AX122">
        <v>1036.249</v>
      </c>
      <c r="AY122">
        <v>1036.249</v>
      </c>
      <c r="AZ122">
        <v>1031.25</v>
      </c>
      <c r="BA122">
        <v>825</v>
      </c>
      <c r="BB122">
        <v>825</v>
      </c>
      <c r="BC122">
        <v>825</v>
      </c>
      <c r="BD122">
        <v>825</v>
      </c>
      <c r="BE122">
        <v>825</v>
      </c>
      <c r="BF122">
        <v>821</v>
      </c>
      <c r="BG122">
        <v>820</v>
      </c>
      <c r="BH122">
        <v>815</v>
      </c>
      <c r="BI122">
        <v>815</v>
      </c>
      <c r="BJ122">
        <v>811</v>
      </c>
      <c r="BK122">
        <v>800</v>
      </c>
      <c r="BL122">
        <v>798</v>
      </c>
      <c r="BM122">
        <v>791</v>
      </c>
      <c r="BN122">
        <v>785</v>
      </c>
      <c r="BO122">
        <v>775</v>
      </c>
      <c r="BP122">
        <v>775</v>
      </c>
      <c r="BQ122">
        <v>767</v>
      </c>
    </row>
    <row r="123" spans="1:69" x14ac:dyDescent="0.25">
      <c r="A123" t="s">
        <v>205</v>
      </c>
      <c r="B123">
        <v>4.0839999999999996</v>
      </c>
      <c r="C123">
        <v>4.0670000000000002</v>
      </c>
      <c r="D123">
        <v>4.0609999999999999</v>
      </c>
      <c r="E123">
        <v>3.9289999999999998</v>
      </c>
      <c r="F123">
        <v>3.9740000000000002</v>
      </c>
      <c r="G123">
        <v>3.9239999999999999</v>
      </c>
      <c r="H123">
        <v>3.9</v>
      </c>
      <c r="I123">
        <v>4.056</v>
      </c>
      <c r="J123">
        <v>4.1040000000000001</v>
      </c>
      <c r="K123">
        <v>4.1319999999999997</v>
      </c>
      <c r="L123">
        <v>4.226</v>
      </c>
      <c r="M123">
        <v>4.218</v>
      </c>
      <c r="N123">
        <v>4.2050000000000001</v>
      </c>
      <c r="O123">
        <v>4.2480000000000002</v>
      </c>
      <c r="P123">
        <v>4.2350000000000003</v>
      </c>
      <c r="Q123">
        <v>4.319</v>
      </c>
      <c r="R123">
        <v>4.42</v>
      </c>
      <c r="S123">
        <v>4.4260000000000002</v>
      </c>
      <c r="T123">
        <v>4.468</v>
      </c>
      <c r="U123">
        <v>4.508</v>
      </c>
      <c r="V123">
        <v>4.43</v>
      </c>
      <c r="W123">
        <v>4.4450000000000003</v>
      </c>
      <c r="X123">
        <v>4.2869999999999999</v>
      </c>
      <c r="Y123">
        <v>4.327</v>
      </c>
      <c r="Z123">
        <v>4.444</v>
      </c>
      <c r="AA123">
        <v>4.6859999999999999</v>
      </c>
      <c r="AB123">
        <v>4.7160000000000002</v>
      </c>
      <c r="AC123">
        <v>4.7270000000000003</v>
      </c>
      <c r="AD123">
        <v>4.7480000000000002</v>
      </c>
      <c r="AE123">
        <v>4.6849999999999996</v>
      </c>
      <c r="AF123">
        <v>4.76</v>
      </c>
      <c r="AG123">
        <v>4.6429999999999998</v>
      </c>
      <c r="AH123">
        <v>4.7039999999999997</v>
      </c>
      <c r="AI123">
        <v>4.7069999999999999</v>
      </c>
      <c r="AJ123">
        <v>4.7149999999999999</v>
      </c>
      <c r="AK123">
        <v>4.6790000000000003</v>
      </c>
      <c r="AL123">
        <v>4.5869999999999997</v>
      </c>
      <c r="AM123">
        <v>4.6500000000000004</v>
      </c>
      <c r="AN123">
        <v>4.6120000000000001</v>
      </c>
      <c r="AO123">
        <v>4.4619999999999997</v>
      </c>
      <c r="AP123">
        <v>4.407</v>
      </c>
      <c r="AQ123">
        <v>4.4930000000000003</v>
      </c>
      <c r="AR123">
        <v>4.3600000000000003</v>
      </c>
      <c r="AS123">
        <v>4.3680000000000003</v>
      </c>
      <c r="AT123">
        <v>4.4260000000000002</v>
      </c>
      <c r="AU123">
        <v>4.62</v>
      </c>
      <c r="AV123">
        <v>4.6820000000000004</v>
      </c>
      <c r="AW123">
        <v>4.5069999999999997</v>
      </c>
      <c r="AX123">
        <v>4.4450000000000003</v>
      </c>
      <c r="AY123">
        <v>4.4359999999999999</v>
      </c>
      <c r="AZ123">
        <v>4.4169999999999998</v>
      </c>
      <c r="BA123">
        <v>4.3760000000000003</v>
      </c>
      <c r="BB123">
        <v>4.2309999999999999</v>
      </c>
      <c r="BC123">
        <v>4.194</v>
      </c>
      <c r="BD123">
        <v>4.1890000000000001</v>
      </c>
      <c r="BE123">
        <v>4.1849999999999996</v>
      </c>
      <c r="BF123">
        <v>4.2370000000000001</v>
      </c>
      <c r="BG123">
        <v>4.149</v>
      </c>
      <c r="BH123">
        <v>4.1829999999999998</v>
      </c>
      <c r="BI123">
        <v>4.1529999999999996</v>
      </c>
      <c r="BJ123">
        <v>4.2359999999999998</v>
      </c>
      <c r="BK123">
        <v>4.1449999999999996</v>
      </c>
      <c r="BL123">
        <v>4.1390000000000002</v>
      </c>
      <c r="BM123">
        <v>4.1029999999999998</v>
      </c>
      <c r="BN123">
        <v>4.1500000000000004</v>
      </c>
      <c r="BO123">
        <v>4.04</v>
      </c>
      <c r="BP123">
        <v>4.0449999999999999</v>
      </c>
      <c r="BQ123">
        <v>4.0460000000000003</v>
      </c>
    </row>
    <row r="124" spans="1:69" x14ac:dyDescent="0.25">
      <c r="A124" t="s">
        <v>199</v>
      </c>
      <c r="B124">
        <v>15</v>
      </c>
      <c r="C124">
        <v>15</v>
      </c>
      <c r="D124">
        <v>15</v>
      </c>
      <c r="E124">
        <v>15</v>
      </c>
      <c r="F124">
        <v>15</v>
      </c>
      <c r="G124">
        <v>15</v>
      </c>
      <c r="H124">
        <v>15</v>
      </c>
      <c r="I124">
        <v>15</v>
      </c>
      <c r="J124">
        <v>15</v>
      </c>
      <c r="K124">
        <v>15</v>
      </c>
      <c r="L124">
        <v>15</v>
      </c>
      <c r="M124">
        <v>15</v>
      </c>
      <c r="N124">
        <v>15</v>
      </c>
      <c r="O124">
        <v>15</v>
      </c>
      <c r="P124">
        <v>15</v>
      </c>
      <c r="Q124">
        <v>15</v>
      </c>
      <c r="R124">
        <v>15</v>
      </c>
      <c r="S124">
        <v>15</v>
      </c>
      <c r="T124">
        <v>15</v>
      </c>
      <c r="U124">
        <v>15</v>
      </c>
      <c r="V124">
        <v>15</v>
      </c>
      <c r="W124">
        <v>15</v>
      </c>
      <c r="X124">
        <v>15</v>
      </c>
      <c r="Y124">
        <v>15</v>
      </c>
      <c r="Z124">
        <v>15</v>
      </c>
      <c r="AA124">
        <v>15</v>
      </c>
      <c r="AB124">
        <v>15</v>
      </c>
      <c r="AC124">
        <v>15</v>
      </c>
      <c r="AD124">
        <v>15</v>
      </c>
      <c r="AE124">
        <v>15</v>
      </c>
      <c r="AF124">
        <v>15</v>
      </c>
      <c r="AG124">
        <v>15</v>
      </c>
      <c r="AH124">
        <v>15</v>
      </c>
      <c r="AI124">
        <v>15</v>
      </c>
      <c r="AJ124">
        <v>15</v>
      </c>
      <c r="AK124">
        <v>15</v>
      </c>
      <c r="AL124">
        <v>15</v>
      </c>
      <c r="AM124">
        <v>15</v>
      </c>
      <c r="AN124">
        <v>15</v>
      </c>
      <c r="AO124">
        <v>15</v>
      </c>
      <c r="AP124">
        <v>15</v>
      </c>
      <c r="AQ124">
        <v>15</v>
      </c>
      <c r="AR124">
        <v>15</v>
      </c>
      <c r="AS124">
        <v>15</v>
      </c>
      <c r="AT124">
        <v>15</v>
      </c>
      <c r="AU124">
        <v>15</v>
      </c>
      <c r="AV124">
        <v>15</v>
      </c>
      <c r="AW124">
        <v>15</v>
      </c>
      <c r="AX124">
        <v>15</v>
      </c>
      <c r="AY124">
        <v>15</v>
      </c>
      <c r="AZ124">
        <v>15</v>
      </c>
      <c r="BA124">
        <v>15</v>
      </c>
      <c r="BB124">
        <v>15</v>
      </c>
      <c r="BC124">
        <v>15</v>
      </c>
      <c r="BD124">
        <v>15</v>
      </c>
      <c r="BE124">
        <v>15</v>
      </c>
      <c r="BF124">
        <v>15</v>
      </c>
      <c r="BG124">
        <v>15</v>
      </c>
      <c r="BH124">
        <v>15</v>
      </c>
      <c r="BI124">
        <v>15</v>
      </c>
      <c r="BJ124">
        <v>15</v>
      </c>
      <c r="BK124">
        <v>15</v>
      </c>
      <c r="BL124">
        <v>15</v>
      </c>
      <c r="BM124">
        <v>15</v>
      </c>
      <c r="BN124">
        <v>15</v>
      </c>
      <c r="BO124">
        <v>15</v>
      </c>
      <c r="BP124">
        <v>15</v>
      </c>
      <c r="BQ124">
        <v>15</v>
      </c>
    </row>
    <row r="125" spans="1:69" x14ac:dyDescent="0.25">
      <c r="A125" t="s">
        <v>66</v>
      </c>
      <c r="B125">
        <v>568.51900000000001</v>
      </c>
      <c r="C125">
        <v>574.04100000000005</v>
      </c>
      <c r="D125">
        <v>569.30799999999999</v>
      </c>
      <c r="E125">
        <v>560.16800000000001</v>
      </c>
      <c r="F125">
        <v>560.16800000000001</v>
      </c>
      <c r="G125">
        <v>568.81500000000005</v>
      </c>
      <c r="H125">
        <v>551.87400000000002</v>
      </c>
      <c r="I125">
        <v>563.053</v>
      </c>
      <c r="J125">
        <v>558.59400000000005</v>
      </c>
      <c r="K125">
        <v>567.24099999999999</v>
      </c>
      <c r="L125">
        <v>567.24099999999999</v>
      </c>
      <c r="M125">
        <v>559.30799999999999</v>
      </c>
      <c r="N125">
        <v>560.55100000000004</v>
      </c>
      <c r="O125">
        <v>561.17499999999995</v>
      </c>
      <c r="P125">
        <v>571.98900000000003</v>
      </c>
      <c r="Q125">
        <v>588.46100000000001</v>
      </c>
      <c r="R125">
        <v>577.32500000000005</v>
      </c>
      <c r="S125">
        <v>602.40300000000002</v>
      </c>
      <c r="T125">
        <v>634.08100000000002</v>
      </c>
      <c r="U125">
        <v>642.654</v>
      </c>
      <c r="V125">
        <v>624.84</v>
      </c>
      <c r="W125">
        <v>618.59400000000005</v>
      </c>
      <c r="X125">
        <v>599.65</v>
      </c>
      <c r="Y125">
        <v>595.35</v>
      </c>
      <c r="Z125">
        <v>598.71900000000005</v>
      </c>
      <c r="AA125">
        <v>602.45899999999995</v>
      </c>
      <c r="AB125">
        <v>605.46199999999999</v>
      </c>
      <c r="AC125">
        <v>607.14300000000003</v>
      </c>
      <c r="AD125">
        <v>611.15899999999999</v>
      </c>
      <c r="AE125">
        <v>599.65</v>
      </c>
      <c r="AF125">
        <v>611.72900000000004</v>
      </c>
      <c r="AG125">
        <v>598.88300000000004</v>
      </c>
      <c r="AH125">
        <v>607.98699999999997</v>
      </c>
      <c r="AI125">
        <v>614.71</v>
      </c>
      <c r="AJ125">
        <v>617.13900000000001</v>
      </c>
      <c r="AK125">
        <v>610.64700000000005</v>
      </c>
      <c r="AL125">
        <v>598.61</v>
      </c>
      <c r="AM125">
        <v>591.43200000000002</v>
      </c>
      <c r="AN125">
        <v>608.26900000000001</v>
      </c>
      <c r="AO125">
        <v>601.24400000000003</v>
      </c>
      <c r="AP125">
        <v>597.46500000000003</v>
      </c>
      <c r="AQ125">
        <v>612.47199999999998</v>
      </c>
      <c r="AR125">
        <v>612.12900000000002</v>
      </c>
      <c r="AS125">
        <v>609.28599999999994</v>
      </c>
      <c r="AT125">
        <v>615.40200000000004</v>
      </c>
      <c r="AU125">
        <v>637.65599999999995</v>
      </c>
      <c r="AV125">
        <v>676.73299999999995</v>
      </c>
      <c r="AW125">
        <v>653.79899999999998</v>
      </c>
      <c r="AX125">
        <v>633.22400000000005</v>
      </c>
      <c r="AY125">
        <v>653.40899999999999</v>
      </c>
      <c r="AZ125">
        <v>628.13099999999997</v>
      </c>
      <c r="BA125">
        <v>621.34799999999996</v>
      </c>
      <c r="BB125">
        <v>603.34500000000003</v>
      </c>
      <c r="BC125">
        <v>598.61</v>
      </c>
      <c r="BD125">
        <v>575.70399999999995</v>
      </c>
      <c r="BE125">
        <v>574.49400000000003</v>
      </c>
      <c r="BF125">
        <v>582.19299999999998</v>
      </c>
      <c r="BG125">
        <v>572.08900000000006</v>
      </c>
      <c r="BH125">
        <v>563.97299999999996</v>
      </c>
      <c r="BI125">
        <v>555.89599999999996</v>
      </c>
      <c r="BJ125">
        <v>551.73400000000004</v>
      </c>
      <c r="BK125">
        <v>549.88400000000001</v>
      </c>
      <c r="BL125">
        <v>537.71400000000006</v>
      </c>
      <c r="BM125">
        <v>541.84500000000003</v>
      </c>
      <c r="BN125">
        <v>559.69000000000005</v>
      </c>
      <c r="BO125">
        <v>549.24</v>
      </c>
      <c r="BP125">
        <v>540.46100000000001</v>
      </c>
      <c r="BQ125">
        <v>539.26099999999997</v>
      </c>
    </row>
    <row r="126" spans="1:69" x14ac:dyDescent="0.25">
      <c r="A126" t="s">
        <v>45</v>
      </c>
      <c r="B126">
        <v>0.86699999999999999</v>
      </c>
      <c r="C126">
        <v>0.875</v>
      </c>
      <c r="D126">
        <v>0.86799999999999999</v>
      </c>
      <c r="E126">
        <v>0.85399999999999998</v>
      </c>
      <c r="F126">
        <v>0.85399999999999998</v>
      </c>
      <c r="G126">
        <v>0.86699999999999999</v>
      </c>
      <c r="H126">
        <v>0.84099999999999997</v>
      </c>
      <c r="I126">
        <v>0.85799999999999998</v>
      </c>
      <c r="J126">
        <v>0.85199999999999998</v>
      </c>
      <c r="K126">
        <v>0.86499999999999999</v>
      </c>
      <c r="L126">
        <v>0.86499999999999999</v>
      </c>
      <c r="M126">
        <v>0.85299999999999998</v>
      </c>
      <c r="N126">
        <v>0.85499999999999998</v>
      </c>
      <c r="O126">
        <v>0.85599999999999998</v>
      </c>
      <c r="P126">
        <v>0.872</v>
      </c>
      <c r="Q126">
        <v>0.89700000000000002</v>
      </c>
      <c r="R126">
        <v>0.88</v>
      </c>
      <c r="S126">
        <v>0.91800000000000004</v>
      </c>
      <c r="T126">
        <v>0.96699999999999997</v>
      </c>
      <c r="U126">
        <v>0.98</v>
      </c>
      <c r="V126">
        <v>0.95299999999999996</v>
      </c>
      <c r="W126">
        <v>0.94299999999999995</v>
      </c>
      <c r="X126">
        <v>0.91400000000000003</v>
      </c>
      <c r="Y126">
        <v>0.90800000000000003</v>
      </c>
      <c r="Z126">
        <v>0.91300000000000003</v>
      </c>
      <c r="AA126">
        <v>0.91800000000000004</v>
      </c>
      <c r="AB126">
        <v>0.92300000000000004</v>
      </c>
      <c r="AC126">
        <v>0.92600000000000005</v>
      </c>
      <c r="AD126">
        <v>0.93200000000000005</v>
      </c>
      <c r="AE126">
        <v>0.91400000000000003</v>
      </c>
      <c r="AF126">
        <v>0.93300000000000005</v>
      </c>
      <c r="AG126">
        <v>0.91300000000000003</v>
      </c>
      <c r="AH126">
        <v>0.92700000000000005</v>
      </c>
      <c r="AI126">
        <v>0.93700000000000006</v>
      </c>
      <c r="AJ126">
        <v>0.94099999999999995</v>
      </c>
      <c r="AK126">
        <v>0.93100000000000005</v>
      </c>
      <c r="AL126">
        <v>0.91300000000000003</v>
      </c>
      <c r="AM126">
        <v>0.90200000000000002</v>
      </c>
      <c r="AN126">
        <v>0.92700000000000005</v>
      </c>
      <c r="AO126">
        <v>0.91700000000000004</v>
      </c>
      <c r="AP126">
        <v>0.91100000000000003</v>
      </c>
      <c r="AQ126">
        <v>0.93400000000000005</v>
      </c>
      <c r="AR126">
        <v>0.93300000000000005</v>
      </c>
      <c r="AS126">
        <v>0.92900000000000005</v>
      </c>
      <c r="AT126">
        <v>0.93799999999999994</v>
      </c>
      <c r="AU126">
        <v>0.97199999999999998</v>
      </c>
      <c r="AV126">
        <v>1.032</v>
      </c>
      <c r="AW126">
        <v>0.997</v>
      </c>
      <c r="AX126">
        <v>0.96499999999999997</v>
      </c>
      <c r="AY126">
        <v>0.996</v>
      </c>
      <c r="AZ126">
        <v>0.95799999999999996</v>
      </c>
      <c r="BA126">
        <v>0.94699999999999995</v>
      </c>
      <c r="BB126">
        <v>0.92</v>
      </c>
      <c r="BC126">
        <v>0.91300000000000003</v>
      </c>
      <c r="BD126">
        <v>0.878</v>
      </c>
      <c r="BE126">
        <v>0.876</v>
      </c>
      <c r="BF126">
        <v>0.88800000000000001</v>
      </c>
      <c r="BG126">
        <v>0.872</v>
      </c>
      <c r="BH126">
        <v>0.86</v>
      </c>
      <c r="BI126">
        <v>0.84699999999999998</v>
      </c>
      <c r="BJ126">
        <v>0.84099999999999997</v>
      </c>
      <c r="BK126">
        <v>0.83799999999999997</v>
      </c>
      <c r="BL126">
        <v>0.82</v>
      </c>
      <c r="BM126">
        <v>0.82599999999999996</v>
      </c>
      <c r="BN126">
        <v>0.85299999999999998</v>
      </c>
      <c r="BO126">
        <v>0.83699999999999997</v>
      </c>
      <c r="BP126">
        <v>0.82399999999999995</v>
      </c>
      <c r="BQ126">
        <v>0.82199999999999995</v>
      </c>
    </row>
    <row r="127" spans="1:69" x14ac:dyDescent="0.25">
      <c r="A127" t="s">
        <v>124</v>
      </c>
      <c r="B127">
        <v>1</v>
      </c>
      <c r="C127">
        <v>1</v>
      </c>
      <c r="D127">
        <v>1</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row>
    <row r="128" spans="1:69" x14ac:dyDescent="0.25">
      <c r="A128" t="s">
        <v>45</v>
      </c>
      <c r="B128">
        <v>0.86699999999999999</v>
      </c>
      <c r="C128">
        <v>0.875</v>
      </c>
      <c r="D128">
        <v>0.86799999999999999</v>
      </c>
      <c r="E128">
        <v>0.85399999999999998</v>
      </c>
      <c r="F128">
        <v>0.85399999999999998</v>
      </c>
      <c r="G128">
        <v>0.86699999999999999</v>
      </c>
      <c r="H128">
        <v>0.84099999999999997</v>
      </c>
      <c r="I128">
        <v>0.85799999999999998</v>
      </c>
      <c r="J128">
        <v>0.85199999999999998</v>
      </c>
      <c r="K128">
        <v>0.86499999999999999</v>
      </c>
      <c r="L128">
        <v>0.86499999999999999</v>
      </c>
      <c r="M128">
        <v>0.85299999999999998</v>
      </c>
      <c r="N128">
        <v>0.85499999999999998</v>
      </c>
      <c r="O128">
        <v>0.85599999999999998</v>
      </c>
      <c r="P128">
        <v>0.872</v>
      </c>
      <c r="Q128">
        <v>0.89700000000000002</v>
      </c>
      <c r="R128">
        <v>0.88</v>
      </c>
      <c r="S128">
        <v>0.91800000000000004</v>
      </c>
      <c r="T128">
        <v>0.96699999999999997</v>
      </c>
      <c r="U128">
        <v>0.98</v>
      </c>
      <c r="V128">
        <v>0.95299999999999996</v>
      </c>
      <c r="W128">
        <v>0.94299999999999995</v>
      </c>
      <c r="X128">
        <v>0.91400000000000003</v>
      </c>
      <c r="Y128">
        <v>0.90800000000000003</v>
      </c>
      <c r="Z128">
        <v>0.91300000000000003</v>
      </c>
      <c r="AA128">
        <v>0.91800000000000004</v>
      </c>
      <c r="AB128">
        <v>0.92300000000000004</v>
      </c>
      <c r="AC128">
        <v>0.92600000000000005</v>
      </c>
      <c r="AD128">
        <v>0.93200000000000005</v>
      </c>
      <c r="AE128">
        <v>0.91400000000000003</v>
      </c>
      <c r="AF128">
        <v>0.93300000000000005</v>
      </c>
      <c r="AG128">
        <v>0.91300000000000003</v>
      </c>
      <c r="AH128">
        <v>0.92700000000000005</v>
      </c>
      <c r="AI128">
        <v>0.93700000000000006</v>
      </c>
      <c r="AJ128">
        <v>0.94099999999999995</v>
      </c>
      <c r="AK128">
        <v>0.93100000000000005</v>
      </c>
      <c r="AL128">
        <v>0.91300000000000003</v>
      </c>
      <c r="AM128">
        <v>0.90200000000000002</v>
      </c>
      <c r="AN128">
        <v>0.92700000000000005</v>
      </c>
      <c r="AO128">
        <v>0.91700000000000004</v>
      </c>
      <c r="AP128">
        <v>0.91100000000000003</v>
      </c>
      <c r="AQ128">
        <v>0.93400000000000005</v>
      </c>
      <c r="AR128">
        <v>0.93300000000000005</v>
      </c>
      <c r="AS128">
        <v>0.92900000000000005</v>
      </c>
      <c r="AT128">
        <v>0.93799999999999994</v>
      </c>
      <c r="AU128">
        <v>0.97199999999999998</v>
      </c>
      <c r="AV128">
        <v>1.032</v>
      </c>
      <c r="AW128">
        <v>0.997</v>
      </c>
      <c r="AX128">
        <v>0.96499999999999997</v>
      </c>
      <c r="AY128">
        <v>0.996</v>
      </c>
      <c r="AZ128">
        <v>0.95799999999999996</v>
      </c>
      <c r="BA128">
        <v>0.94699999999999995</v>
      </c>
      <c r="BB128">
        <v>0.92</v>
      </c>
      <c r="BC128">
        <v>0.91300000000000003</v>
      </c>
      <c r="BD128">
        <v>0.878</v>
      </c>
      <c r="BE128">
        <v>0.876</v>
      </c>
      <c r="BF128">
        <v>0.88800000000000001</v>
      </c>
      <c r="BG128">
        <v>0.872</v>
      </c>
      <c r="BH128">
        <v>0.86</v>
      </c>
      <c r="BI128">
        <v>0.84699999999999998</v>
      </c>
      <c r="BJ128">
        <v>0.84099999999999997</v>
      </c>
      <c r="BK128">
        <v>0.83799999999999997</v>
      </c>
      <c r="BL128">
        <v>0.82</v>
      </c>
      <c r="BM128">
        <v>0.82599999999999996</v>
      </c>
      <c r="BN128">
        <v>0.85299999999999998</v>
      </c>
      <c r="BO128">
        <v>0.83699999999999997</v>
      </c>
      <c r="BP128">
        <v>0.82399999999999995</v>
      </c>
      <c r="BQ128">
        <v>0.82199999999999995</v>
      </c>
    </row>
    <row r="129" spans="1:69" x14ac:dyDescent="0.25">
      <c r="A129" t="s">
        <v>196</v>
      </c>
      <c r="B129">
        <v>40.082999999999998</v>
      </c>
      <c r="C129">
        <v>39.841000000000001</v>
      </c>
      <c r="D129">
        <v>39.841000000000001</v>
      </c>
      <c r="E129">
        <v>39.841000000000001</v>
      </c>
      <c r="F129">
        <v>39.841000000000001</v>
      </c>
      <c r="G129">
        <v>39.508000000000003</v>
      </c>
      <c r="H129">
        <v>39.505000000000003</v>
      </c>
      <c r="I129">
        <v>39.566000000000003</v>
      </c>
      <c r="J129">
        <v>39.545999999999999</v>
      </c>
      <c r="K129">
        <v>39.770000000000003</v>
      </c>
      <c r="L129">
        <v>39.880000000000003</v>
      </c>
      <c r="M129">
        <v>39.89</v>
      </c>
      <c r="N129">
        <v>39.880000000000003</v>
      </c>
      <c r="O129">
        <v>39.79</v>
      </c>
      <c r="P129">
        <v>39.590000000000003</v>
      </c>
      <c r="Q129">
        <v>39.659999999999997</v>
      </c>
      <c r="R129">
        <v>39.71</v>
      </c>
      <c r="S129">
        <v>39.78</v>
      </c>
      <c r="T129">
        <v>39.92</v>
      </c>
      <c r="U129">
        <v>39.76</v>
      </c>
      <c r="V129">
        <v>39.630000000000003</v>
      </c>
      <c r="W129">
        <v>39.729999999999997</v>
      </c>
      <c r="X129">
        <v>39.54</v>
      </c>
      <c r="Y129">
        <v>39.590000000000003</v>
      </c>
      <c r="Z129">
        <v>39.61</v>
      </c>
      <c r="AA129">
        <v>39.549999999999997</v>
      </c>
      <c r="AB129">
        <v>39.24</v>
      </c>
      <c r="AC129">
        <v>39.729999999999997</v>
      </c>
      <c r="AD129">
        <v>39.57</v>
      </c>
      <c r="AE129">
        <v>39.81</v>
      </c>
      <c r="AF129">
        <v>40.26</v>
      </c>
      <c r="AG129">
        <v>39.369999999999997</v>
      </c>
      <c r="AH129">
        <v>39.4</v>
      </c>
      <c r="AI129">
        <v>39.21</v>
      </c>
      <c r="AJ129">
        <v>37.9</v>
      </c>
      <c r="AK129">
        <v>37.840000000000003</v>
      </c>
      <c r="AL129">
        <v>37.69</v>
      </c>
      <c r="AM129">
        <v>34.92</v>
      </c>
      <c r="AN129">
        <v>34.26</v>
      </c>
      <c r="AO129">
        <v>34.15</v>
      </c>
      <c r="AP129">
        <v>34.130000000000003</v>
      </c>
      <c r="AQ129">
        <v>34.869999999999997</v>
      </c>
      <c r="AR129">
        <v>35.380000000000003</v>
      </c>
      <c r="AS129">
        <v>36.299999999999997</v>
      </c>
      <c r="AT129">
        <v>37.68</v>
      </c>
      <c r="AU129">
        <v>37.79</v>
      </c>
      <c r="AV129">
        <v>37.630000000000003</v>
      </c>
      <c r="AW129">
        <v>37.590000000000003</v>
      </c>
      <c r="AX129">
        <v>37.01</v>
      </c>
      <c r="AY129">
        <v>37.145000000000003</v>
      </c>
      <c r="AZ129">
        <v>36.29</v>
      </c>
      <c r="BA129">
        <v>36.270000000000003</v>
      </c>
      <c r="BB129">
        <v>36.21</v>
      </c>
      <c r="BC129">
        <v>36.21</v>
      </c>
      <c r="BD129">
        <v>36.15</v>
      </c>
      <c r="BE129">
        <v>36.14</v>
      </c>
      <c r="BF129">
        <v>36.01</v>
      </c>
      <c r="BG129">
        <v>36.03</v>
      </c>
      <c r="BH129">
        <v>36.04</v>
      </c>
      <c r="BI129">
        <v>36.04</v>
      </c>
      <c r="BJ129">
        <v>35.979999999999997</v>
      </c>
      <c r="BK129">
        <v>36.04</v>
      </c>
      <c r="BL129">
        <v>35.85</v>
      </c>
      <c r="BM129">
        <v>35.78</v>
      </c>
      <c r="BN129">
        <v>35.880000000000003</v>
      </c>
      <c r="BO129">
        <v>35.880000000000003</v>
      </c>
      <c r="BP129">
        <v>36.07</v>
      </c>
      <c r="BQ129">
        <v>36.29</v>
      </c>
    </row>
    <row r="130" spans="1:69" x14ac:dyDescent="0.25">
      <c r="A130" t="s">
        <v>198</v>
      </c>
      <c r="B130">
        <v>46.984999999999999</v>
      </c>
      <c r="C130">
        <v>47.076000000000001</v>
      </c>
      <c r="D130">
        <v>47.72</v>
      </c>
      <c r="E130">
        <v>46.637999999999998</v>
      </c>
      <c r="F130">
        <v>46.41</v>
      </c>
      <c r="G130">
        <v>45.756</v>
      </c>
      <c r="H130">
        <v>45.728999999999999</v>
      </c>
      <c r="I130">
        <v>46.436</v>
      </c>
      <c r="J130">
        <v>45.771000000000001</v>
      </c>
      <c r="K130">
        <v>45.716999999999999</v>
      </c>
      <c r="L130">
        <v>45.139000000000003</v>
      </c>
      <c r="M130">
        <v>45.406999999999996</v>
      </c>
      <c r="N130">
        <v>45.27</v>
      </c>
      <c r="O130">
        <v>45.268999999999998</v>
      </c>
      <c r="P130">
        <v>45.347999999999999</v>
      </c>
      <c r="Q130">
        <v>45.731999999999999</v>
      </c>
      <c r="R130">
        <v>43.758000000000003</v>
      </c>
      <c r="S130">
        <v>44.78</v>
      </c>
      <c r="T130">
        <v>46.119</v>
      </c>
      <c r="U130">
        <v>46.177999999999997</v>
      </c>
      <c r="V130">
        <v>45.954000000000001</v>
      </c>
      <c r="W130">
        <v>46.158000000000001</v>
      </c>
      <c r="X130">
        <v>45.94</v>
      </c>
      <c r="Y130">
        <v>45.902000000000001</v>
      </c>
      <c r="Z130">
        <v>45.76</v>
      </c>
      <c r="AA130">
        <v>48.314999999999998</v>
      </c>
      <c r="AB130">
        <v>47.216999999999999</v>
      </c>
      <c r="AC130">
        <v>46.566000000000003</v>
      </c>
      <c r="AD130">
        <v>46.22</v>
      </c>
      <c r="AE130">
        <v>46.3</v>
      </c>
      <c r="AF130">
        <v>46.161000000000001</v>
      </c>
      <c r="AG130">
        <v>44.244999999999997</v>
      </c>
      <c r="AH130">
        <v>44.673999999999999</v>
      </c>
      <c r="AI130">
        <v>44.424999999999997</v>
      </c>
      <c r="AJ130">
        <v>45.5</v>
      </c>
      <c r="AK130">
        <v>44.765999999999998</v>
      </c>
      <c r="AL130">
        <v>44.994999999999997</v>
      </c>
      <c r="AM130">
        <v>45.223999999999997</v>
      </c>
      <c r="AN130">
        <v>45.665999999999997</v>
      </c>
      <c r="AO130">
        <v>44.878999999999998</v>
      </c>
      <c r="AP130">
        <v>44.918999999999997</v>
      </c>
      <c r="AQ130">
        <v>46.64</v>
      </c>
      <c r="AR130">
        <v>45.637</v>
      </c>
      <c r="AS130">
        <v>44.015000000000001</v>
      </c>
      <c r="AT130">
        <v>43.523000000000003</v>
      </c>
      <c r="AU130">
        <v>43.640999999999998</v>
      </c>
      <c r="AV130">
        <v>43.3</v>
      </c>
      <c r="AW130">
        <v>44.695999999999998</v>
      </c>
      <c r="AX130">
        <v>44.472999999999999</v>
      </c>
      <c r="AY130">
        <v>44.448</v>
      </c>
      <c r="AZ130">
        <v>43.65</v>
      </c>
      <c r="BA130">
        <v>42.723999999999997</v>
      </c>
      <c r="BB130">
        <v>42.244</v>
      </c>
      <c r="BC130">
        <v>43.871000000000002</v>
      </c>
      <c r="BD130">
        <v>43.158999999999999</v>
      </c>
      <c r="BE130">
        <v>43.085000000000001</v>
      </c>
      <c r="BF130">
        <v>42.820999999999998</v>
      </c>
      <c r="BG130">
        <v>42.064</v>
      </c>
      <c r="BH130">
        <v>41.924999999999997</v>
      </c>
      <c r="BI130">
        <v>42.17</v>
      </c>
      <c r="BJ130">
        <v>42.372</v>
      </c>
      <c r="BK130">
        <v>41.524999999999999</v>
      </c>
      <c r="BL130">
        <v>39.954999999999998</v>
      </c>
      <c r="BM130">
        <v>39.881</v>
      </c>
      <c r="BN130">
        <v>39.375</v>
      </c>
      <c r="BO130">
        <v>39.326999999999998</v>
      </c>
      <c r="BP130">
        <v>38.908000000000001</v>
      </c>
      <c r="BQ130">
        <v>38.764000000000003</v>
      </c>
    </row>
    <row r="131" spans="1:69" x14ac:dyDescent="0.25">
      <c r="A131" t="s">
        <v>203</v>
      </c>
      <c r="B131">
        <v>17.053999999999998</v>
      </c>
      <c r="C131">
        <v>17.48</v>
      </c>
      <c r="D131">
        <v>17.414000000000001</v>
      </c>
      <c r="E131">
        <v>17.23</v>
      </c>
      <c r="F131">
        <v>17.353000000000002</v>
      </c>
      <c r="G131">
        <v>17.835000000000001</v>
      </c>
      <c r="H131">
        <v>17.145</v>
      </c>
      <c r="I131">
        <v>17.882000000000001</v>
      </c>
      <c r="J131">
        <v>18.100000000000001</v>
      </c>
      <c r="K131">
        <v>18.302</v>
      </c>
      <c r="L131">
        <v>18.448</v>
      </c>
      <c r="M131">
        <v>18.559999999999999</v>
      </c>
      <c r="N131">
        <v>18.59</v>
      </c>
      <c r="O131">
        <v>18.71</v>
      </c>
      <c r="P131">
        <v>18.98</v>
      </c>
      <c r="Q131">
        <v>19.53</v>
      </c>
      <c r="R131">
        <v>20.34</v>
      </c>
      <c r="S131">
        <v>20.2</v>
      </c>
      <c r="T131">
        <v>20.56</v>
      </c>
      <c r="U131">
        <v>20.81</v>
      </c>
      <c r="V131">
        <v>20.23</v>
      </c>
      <c r="W131">
        <v>20.6</v>
      </c>
      <c r="X131">
        <v>19.440000000000001</v>
      </c>
      <c r="Y131">
        <v>19.84</v>
      </c>
      <c r="Z131">
        <v>19.010000000000002</v>
      </c>
      <c r="AA131">
        <v>17.8</v>
      </c>
      <c r="AB131">
        <v>18.88</v>
      </c>
      <c r="AC131">
        <v>16.739999999999998</v>
      </c>
      <c r="AD131">
        <v>16.43</v>
      </c>
      <c r="AE131">
        <v>16.75</v>
      </c>
      <c r="AF131">
        <v>17.170000000000002</v>
      </c>
      <c r="AG131">
        <v>16.98</v>
      </c>
      <c r="AH131">
        <v>17.399999999999999</v>
      </c>
      <c r="AI131">
        <v>17.670000000000002</v>
      </c>
      <c r="AJ131">
        <v>17.8</v>
      </c>
      <c r="AK131">
        <v>17.14</v>
      </c>
      <c r="AL131">
        <v>17.03</v>
      </c>
      <c r="AM131">
        <v>16.84</v>
      </c>
      <c r="AN131">
        <v>17.28</v>
      </c>
      <c r="AO131">
        <v>17.690000000000001</v>
      </c>
      <c r="AP131">
        <v>18.05</v>
      </c>
      <c r="AQ131">
        <v>18.87</v>
      </c>
      <c r="AR131">
        <v>18.63</v>
      </c>
      <c r="AS131">
        <v>19.07</v>
      </c>
      <c r="AT131">
        <v>19.670000000000002</v>
      </c>
      <c r="AU131">
        <v>19.54</v>
      </c>
      <c r="AV131">
        <v>20.05</v>
      </c>
      <c r="AW131">
        <v>20.04</v>
      </c>
      <c r="AX131">
        <v>19.920000000000002</v>
      </c>
      <c r="AY131">
        <v>20.84</v>
      </c>
      <c r="AZ131">
        <v>20.39</v>
      </c>
      <c r="BA131">
        <v>20.27</v>
      </c>
      <c r="BB131">
        <v>19.829999999999998</v>
      </c>
      <c r="BC131">
        <v>20.95</v>
      </c>
      <c r="BD131">
        <v>20.43</v>
      </c>
      <c r="BE131">
        <v>20.36</v>
      </c>
      <c r="BF131">
        <v>21.75</v>
      </c>
      <c r="BG131">
        <v>20.260000000000002</v>
      </c>
      <c r="BH131">
        <v>20.440000000000001</v>
      </c>
      <c r="BI131">
        <v>20.190000000000001</v>
      </c>
      <c r="BJ131">
        <v>19.82</v>
      </c>
      <c r="BK131">
        <v>19.84</v>
      </c>
      <c r="BL131">
        <v>19.91</v>
      </c>
      <c r="BM131">
        <v>20.149999999999999</v>
      </c>
      <c r="BN131">
        <v>20.62</v>
      </c>
      <c r="BO131">
        <v>20.69</v>
      </c>
      <c r="BP131">
        <v>20.350000000000001</v>
      </c>
      <c r="BQ131">
        <v>19.95</v>
      </c>
    </row>
    <row r="132" spans="1:69" x14ac:dyDescent="0.25">
      <c r="A132" t="s">
        <v>124</v>
      </c>
      <c r="B132">
        <v>1</v>
      </c>
      <c r="C132">
        <v>1</v>
      </c>
      <c r="D132">
        <v>1</v>
      </c>
      <c r="E132">
        <v>1</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v>
      </c>
      <c r="BB132">
        <v>1</v>
      </c>
      <c r="BC132">
        <v>1</v>
      </c>
      <c r="BD132">
        <v>1</v>
      </c>
      <c r="BE132">
        <v>1</v>
      </c>
      <c r="BF132">
        <v>1</v>
      </c>
      <c r="BG132">
        <v>1</v>
      </c>
      <c r="BH132">
        <v>1</v>
      </c>
      <c r="BI132">
        <v>1</v>
      </c>
      <c r="BJ132">
        <v>1</v>
      </c>
      <c r="BK132">
        <v>1</v>
      </c>
      <c r="BL132">
        <v>1</v>
      </c>
      <c r="BM132">
        <v>1</v>
      </c>
      <c r="BN132">
        <v>1</v>
      </c>
      <c r="BO132">
        <v>1</v>
      </c>
      <c r="BP132">
        <v>1</v>
      </c>
      <c r="BQ132">
        <v>1</v>
      </c>
    </row>
    <row r="133" spans="1:69" x14ac:dyDescent="0.25">
      <c r="A133" t="s">
        <v>187</v>
      </c>
      <c r="B133">
        <v>17.225000000000001</v>
      </c>
      <c r="C133">
        <v>17.46</v>
      </c>
      <c r="D133">
        <v>17.3</v>
      </c>
      <c r="E133">
        <v>17.03</v>
      </c>
      <c r="F133">
        <v>17.100000000000001</v>
      </c>
      <c r="G133">
        <v>17.21</v>
      </c>
      <c r="H133">
        <v>16.73</v>
      </c>
      <c r="I133">
        <v>16.872</v>
      </c>
      <c r="J133">
        <v>16.866</v>
      </c>
      <c r="K133">
        <v>16.829999999999998</v>
      </c>
      <c r="L133">
        <v>16.760000000000002</v>
      </c>
      <c r="M133">
        <v>16.475999999999999</v>
      </c>
      <c r="N133">
        <v>16.648</v>
      </c>
      <c r="O133">
        <v>16.846</v>
      </c>
      <c r="P133">
        <v>17.14</v>
      </c>
      <c r="Q133">
        <v>17.309000000000001</v>
      </c>
      <c r="R133">
        <v>17.617999999999999</v>
      </c>
      <c r="S133">
        <v>17.78</v>
      </c>
      <c r="T133">
        <v>18.681000000000001</v>
      </c>
      <c r="U133">
        <v>18.61</v>
      </c>
      <c r="V133">
        <v>18.201000000000001</v>
      </c>
      <c r="W133">
        <v>17.896999999999998</v>
      </c>
      <c r="X133">
        <v>17.53</v>
      </c>
      <c r="Y133">
        <v>17.329999999999998</v>
      </c>
      <c r="Z133">
        <v>17.483000000000001</v>
      </c>
      <c r="AA133">
        <v>17.661999999999999</v>
      </c>
      <c r="AB133">
        <v>17.594000000000001</v>
      </c>
      <c r="AC133">
        <v>17.643000000000001</v>
      </c>
      <c r="AD133">
        <v>17.562000000000001</v>
      </c>
      <c r="AE133">
        <v>17.530999999999999</v>
      </c>
      <c r="AF133">
        <v>17.68</v>
      </c>
      <c r="AG133">
        <v>17.614999999999998</v>
      </c>
      <c r="AH133">
        <v>17.736999999999998</v>
      </c>
      <c r="AI133">
        <v>17.86</v>
      </c>
      <c r="AJ133">
        <v>18.085000000000001</v>
      </c>
      <c r="AK133">
        <v>17.896000000000001</v>
      </c>
      <c r="AL133">
        <v>17.555</v>
      </c>
      <c r="AM133">
        <v>18.117999999999999</v>
      </c>
      <c r="AN133">
        <v>17.712</v>
      </c>
      <c r="AO133">
        <v>17.748999999999999</v>
      </c>
      <c r="AP133">
        <v>18.042000000000002</v>
      </c>
      <c r="AQ133">
        <v>18.649000000000001</v>
      </c>
      <c r="AR133">
        <v>18.681000000000001</v>
      </c>
      <c r="AS133">
        <v>19.074000000000002</v>
      </c>
      <c r="AT133">
        <v>19.260000000000002</v>
      </c>
      <c r="AU133">
        <v>19.135999999999999</v>
      </c>
      <c r="AV133">
        <v>19.355</v>
      </c>
      <c r="AW133">
        <v>19.210999999999999</v>
      </c>
      <c r="AX133">
        <v>19.169</v>
      </c>
      <c r="AY133">
        <v>19.210999999999999</v>
      </c>
      <c r="AZ133">
        <v>18.954999999999998</v>
      </c>
      <c r="BA133">
        <v>18.809999999999999</v>
      </c>
      <c r="BB133">
        <v>18.37</v>
      </c>
      <c r="BC133">
        <v>18.36</v>
      </c>
      <c r="BD133">
        <v>17.760000000000002</v>
      </c>
      <c r="BE133">
        <v>17.940000000000001</v>
      </c>
      <c r="BF133">
        <v>17.655000000000001</v>
      </c>
      <c r="BG133">
        <v>17.445</v>
      </c>
      <c r="BH133">
        <v>17.59</v>
      </c>
      <c r="BI133">
        <v>17.71</v>
      </c>
      <c r="BJ133">
        <v>17.79</v>
      </c>
      <c r="BK133">
        <v>17.899999999999999</v>
      </c>
      <c r="BL133">
        <v>17.535</v>
      </c>
      <c r="BM133">
        <v>17.66</v>
      </c>
      <c r="BN133">
        <v>17.934999999999999</v>
      </c>
      <c r="BO133">
        <v>17.353000000000002</v>
      </c>
      <c r="BP133">
        <v>17.2</v>
      </c>
      <c r="BQ133">
        <v>17.14</v>
      </c>
    </row>
    <row r="134" spans="1:69" x14ac:dyDescent="0.25">
      <c r="A134" t="s">
        <v>45</v>
      </c>
      <c r="B134">
        <v>0.86699999999999999</v>
      </c>
      <c r="C134">
        <v>0.875</v>
      </c>
      <c r="D134">
        <v>0.86799999999999999</v>
      </c>
      <c r="E134">
        <v>0.85399999999999998</v>
      </c>
      <c r="F134">
        <v>0.85399999999999998</v>
      </c>
      <c r="G134">
        <v>0.86699999999999999</v>
      </c>
      <c r="H134">
        <v>0.84099999999999997</v>
      </c>
      <c r="I134">
        <v>0.85799999999999998</v>
      </c>
      <c r="J134">
        <v>0.85199999999999998</v>
      </c>
      <c r="K134">
        <v>0.86499999999999999</v>
      </c>
      <c r="L134">
        <v>0.86499999999999999</v>
      </c>
      <c r="M134">
        <v>0.85299999999999998</v>
      </c>
      <c r="N134">
        <v>0.85499999999999998</v>
      </c>
      <c r="O134">
        <v>0.85599999999999998</v>
      </c>
      <c r="P134">
        <v>0.872</v>
      </c>
      <c r="Q134">
        <v>0.89700000000000002</v>
      </c>
      <c r="R134">
        <v>0.88</v>
      </c>
      <c r="S134">
        <v>0.91800000000000004</v>
      </c>
      <c r="T134">
        <v>0.96699999999999997</v>
      </c>
      <c r="U134">
        <v>0.98</v>
      </c>
      <c r="V134">
        <v>0.95299999999999996</v>
      </c>
      <c r="W134">
        <v>0.94299999999999995</v>
      </c>
      <c r="X134">
        <v>0.91400000000000003</v>
      </c>
      <c r="Y134">
        <v>0.90800000000000003</v>
      </c>
      <c r="Z134">
        <v>0.91300000000000003</v>
      </c>
      <c r="AA134">
        <v>0.91800000000000004</v>
      </c>
      <c r="AB134">
        <v>0.92300000000000004</v>
      </c>
      <c r="AC134">
        <v>0.92600000000000005</v>
      </c>
      <c r="AD134">
        <v>0.93200000000000005</v>
      </c>
      <c r="AE134">
        <v>0.91400000000000003</v>
      </c>
      <c r="AF134">
        <v>0.93300000000000005</v>
      </c>
      <c r="AG134">
        <v>0.91300000000000003</v>
      </c>
      <c r="AH134">
        <v>0.92700000000000005</v>
      </c>
      <c r="AI134">
        <v>0.93700000000000006</v>
      </c>
      <c r="AJ134">
        <v>0.94099999999999995</v>
      </c>
      <c r="AK134">
        <v>0.93100000000000005</v>
      </c>
      <c r="AL134">
        <v>0.91300000000000003</v>
      </c>
      <c r="AM134">
        <v>0.90200000000000002</v>
      </c>
      <c r="AN134">
        <v>0.92700000000000005</v>
      </c>
      <c r="AO134">
        <v>0.91700000000000004</v>
      </c>
      <c r="AP134">
        <v>0.91100000000000003</v>
      </c>
      <c r="AQ134">
        <v>0.93400000000000005</v>
      </c>
      <c r="AR134">
        <v>0.93300000000000005</v>
      </c>
      <c r="AS134">
        <v>0.92900000000000005</v>
      </c>
      <c r="AT134">
        <v>0.93799999999999994</v>
      </c>
      <c r="AU134">
        <v>0.97199999999999998</v>
      </c>
      <c r="AV134">
        <v>1.032</v>
      </c>
      <c r="AW134">
        <v>0.997</v>
      </c>
      <c r="AX134">
        <v>0.96499999999999997</v>
      </c>
      <c r="AY134">
        <v>0.996</v>
      </c>
      <c r="AZ134">
        <v>0.95799999999999996</v>
      </c>
      <c r="BA134">
        <v>0.94699999999999995</v>
      </c>
      <c r="BB134">
        <v>0.92</v>
      </c>
      <c r="BC134">
        <v>0.91300000000000003</v>
      </c>
      <c r="BD134">
        <v>0.878</v>
      </c>
      <c r="BE134">
        <v>0.876</v>
      </c>
      <c r="BF134">
        <v>0.88800000000000001</v>
      </c>
      <c r="BG134">
        <v>0.872</v>
      </c>
      <c r="BH134">
        <v>0.86</v>
      </c>
      <c r="BI134">
        <v>0.84699999999999998</v>
      </c>
      <c r="BJ134">
        <v>0.84099999999999997</v>
      </c>
      <c r="BK134">
        <v>0.83799999999999997</v>
      </c>
      <c r="BL134">
        <v>0.82</v>
      </c>
      <c r="BM134">
        <v>0.82599999999999996</v>
      </c>
      <c r="BN134">
        <v>0.85299999999999998</v>
      </c>
      <c r="BO134">
        <v>0.83699999999999997</v>
      </c>
      <c r="BP134">
        <v>0.82399999999999995</v>
      </c>
      <c r="BQ134">
        <v>0.82199999999999995</v>
      </c>
    </row>
    <row r="135" spans="1:69" x14ac:dyDescent="0.25">
      <c r="A135" t="s">
        <v>194</v>
      </c>
      <c r="B135">
        <v>3588</v>
      </c>
      <c r="C135">
        <v>3577</v>
      </c>
      <c r="D135">
        <v>3569</v>
      </c>
      <c r="E135">
        <v>3569</v>
      </c>
      <c r="F135">
        <v>3564.5</v>
      </c>
      <c r="G135">
        <v>3559</v>
      </c>
      <c r="H135">
        <v>3559</v>
      </c>
      <c r="I135">
        <v>3551</v>
      </c>
      <c r="J135">
        <v>3537.5</v>
      </c>
      <c r="K135">
        <v>3572.63</v>
      </c>
      <c r="L135">
        <v>3587</v>
      </c>
      <c r="M135">
        <v>3587</v>
      </c>
      <c r="N135">
        <v>3584</v>
      </c>
      <c r="O135">
        <v>3573.5</v>
      </c>
      <c r="P135">
        <v>3569</v>
      </c>
      <c r="Q135">
        <v>3567</v>
      </c>
      <c r="R135">
        <v>3523</v>
      </c>
      <c r="S135">
        <v>3460.07</v>
      </c>
      <c r="T135">
        <v>3450.77</v>
      </c>
      <c r="U135">
        <v>3418</v>
      </c>
      <c r="V135">
        <v>3417.21</v>
      </c>
      <c r="W135">
        <v>3404</v>
      </c>
      <c r="X135">
        <v>3380.89</v>
      </c>
      <c r="Y135">
        <v>3375.24</v>
      </c>
      <c r="Z135">
        <v>3373.86</v>
      </c>
      <c r="AA135">
        <v>3375.75</v>
      </c>
      <c r="AB135">
        <v>3369.68</v>
      </c>
      <c r="AC135">
        <v>3367.48</v>
      </c>
      <c r="AD135">
        <v>3366</v>
      </c>
      <c r="AE135">
        <v>3376.16</v>
      </c>
      <c r="AF135">
        <v>3390</v>
      </c>
      <c r="AG135">
        <v>3402.5</v>
      </c>
      <c r="AH135">
        <v>3434.95</v>
      </c>
      <c r="AI135">
        <v>3439.23</v>
      </c>
      <c r="AJ135">
        <v>3446.5</v>
      </c>
      <c r="AK135">
        <v>3460</v>
      </c>
      <c r="AL135">
        <v>3446.98</v>
      </c>
      <c r="AM135">
        <v>3424.17</v>
      </c>
      <c r="AN135">
        <v>3432</v>
      </c>
      <c r="AO135">
        <v>3459</v>
      </c>
      <c r="AP135">
        <v>3492.98</v>
      </c>
      <c r="AQ135">
        <v>3516.74</v>
      </c>
      <c r="AR135">
        <v>3500</v>
      </c>
      <c r="AS135">
        <v>3436.58</v>
      </c>
      <c r="AT135">
        <v>3420</v>
      </c>
      <c r="AU135">
        <v>3395.03</v>
      </c>
      <c r="AV135">
        <v>3357.18</v>
      </c>
      <c r="AW135">
        <v>3223.74</v>
      </c>
      <c r="AX135">
        <v>3173.82</v>
      </c>
      <c r="AY135">
        <v>3144</v>
      </c>
      <c r="AZ135">
        <v>3113</v>
      </c>
      <c r="BA135">
        <v>3099</v>
      </c>
      <c r="BB135">
        <v>3021</v>
      </c>
      <c r="BC135">
        <v>2877</v>
      </c>
      <c r="BD135">
        <v>2846.67</v>
      </c>
      <c r="BE135">
        <v>2841.87</v>
      </c>
      <c r="BF135">
        <v>2842.7</v>
      </c>
      <c r="BG135">
        <v>2842.41</v>
      </c>
      <c r="BH135">
        <v>2835.41</v>
      </c>
      <c r="BI135">
        <v>2835.42</v>
      </c>
      <c r="BJ135">
        <v>2837.37</v>
      </c>
      <c r="BK135">
        <v>2826.43</v>
      </c>
      <c r="BL135">
        <v>2845</v>
      </c>
      <c r="BM135">
        <v>2837.49</v>
      </c>
      <c r="BN135">
        <v>2841</v>
      </c>
      <c r="BO135">
        <v>2844</v>
      </c>
      <c r="BP135">
        <v>2824.56</v>
      </c>
      <c r="BQ135">
        <v>2820.23</v>
      </c>
    </row>
    <row r="136" spans="1:69" x14ac:dyDescent="0.25">
      <c r="A136" t="s">
        <v>45</v>
      </c>
      <c r="B136">
        <v>0.86699999999999999</v>
      </c>
      <c r="C136">
        <v>0.875</v>
      </c>
      <c r="D136">
        <v>0.86799999999999999</v>
      </c>
      <c r="E136">
        <v>0.85399999999999998</v>
      </c>
      <c r="F136">
        <v>0.85399999999999998</v>
      </c>
      <c r="G136">
        <v>0.86699999999999999</v>
      </c>
      <c r="H136">
        <v>0.84099999999999997</v>
      </c>
      <c r="I136">
        <v>0.85799999999999998</v>
      </c>
      <c r="J136">
        <v>0.85199999999999998</v>
      </c>
      <c r="K136">
        <v>0.86499999999999999</v>
      </c>
      <c r="L136">
        <v>0.86499999999999999</v>
      </c>
      <c r="M136">
        <v>0.85299999999999998</v>
      </c>
      <c r="N136">
        <v>0.85499999999999998</v>
      </c>
      <c r="O136">
        <v>0.85599999999999998</v>
      </c>
      <c r="P136">
        <v>0.872</v>
      </c>
      <c r="Q136">
        <v>0.89700000000000002</v>
      </c>
      <c r="R136">
        <v>0.88</v>
      </c>
      <c r="S136">
        <v>0.91800000000000004</v>
      </c>
      <c r="T136">
        <v>0.96699999999999997</v>
      </c>
      <c r="U136">
        <v>0.98</v>
      </c>
      <c r="V136">
        <v>0.95299999999999996</v>
      </c>
      <c r="W136">
        <v>0.94299999999999995</v>
      </c>
      <c r="X136">
        <v>0.91400000000000003</v>
      </c>
      <c r="Y136">
        <v>0.90800000000000003</v>
      </c>
      <c r="Z136">
        <v>0.91300000000000003</v>
      </c>
      <c r="AA136">
        <v>0.91800000000000004</v>
      </c>
      <c r="AB136">
        <v>0.92300000000000004</v>
      </c>
      <c r="AC136">
        <v>0.92600000000000005</v>
      </c>
      <c r="AD136">
        <v>0.93200000000000005</v>
      </c>
      <c r="AE136">
        <v>0.91400000000000003</v>
      </c>
      <c r="AF136">
        <v>0.93300000000000005</v>
      </c>
      <c r="AG136">
        <v>0.91300000000000003</v>
      </c>
      <c r="AH136">
        <v>0.92700000000000005</v>
      </c>
      <c r="AI136">
        <v>0.93700000000000006</v>
      </c>
      <c r="AJ136">
        <v>0.94099999999999995</v>
      </c>
      <c r="AK136">
        <v>0.93100000000000005</v>
      </c>
      <c r="AL136">
        <v>0.91300000000000003</v>
      </c>
      <c r="AM136">
        <v>0.90200000000000002</v>
      </c>
      <c r="AN136">
        <v>0.92700000000000005</v>
      </c>
      <c r="AO136">
        <v>0.91700000000000004</v>
      </c>
      <c r="AP136">
        <v>0.91100000000000003</v>
      </c>
      <c r="AQ136">
        <v>0.93400000000000005</v>
      </c>
      <c r="AR136">
        <v>0.93300000000000005</v>
      </c>
      <c r="AS136">
        <v>0.92900000000000005</v>
      </c>
      <c r="AT136">
        <v>0.93799999999999994</v>
      </c>
      <c r="AU136">
        <v>0.97199999999999998</v>
      </c>
      <c r="AV136">
        <v>1.032</v>
      </c>
      <c r="AW136">
        <v>0.997</v>
      </c>
      <c r="AX136">
        <v>0.96499999999999997</v>
      </c>
      <c r="AY136">
        <v>0.996</v>
      </c>
      <c r="AZ136">
        <v>0.95799999999999996</v>
      </c>
      <c r="BA136">
        <v>0.94699999999999995</v>
      </c>
      <c r="BB136">
        <v>0.92</v>
      </c>
      <c r="BC136">
        <v>0.91300000000000003</v>
      </c>
      <c r="BD136">
        <v>0.878</v>
      </c>
      <c r="BE136">
        <v>0.876</v>
      </c>
      <c r="BF136">
        <v>0.88800000000000001</v>
      </c>
      <c r="BG136">
        <v>0.872</v>
      </c>
      <c r="BH136">
        <v>0.86</v>
      </c>
      <c r="BI136">
        <v>0.84699999999999998</v>
      </c>
      <c r="BJ136">
        <v>0.84099999999999997</v>
      </c>
      <c r="BK136">
        <v>0.83799999999999997</v>
      </c>
      <c r="BL136">
        <v>0.82</v>
      </c>
      <c r="BM136">
        <v>0.82599999999999996</v>
      </c>
      <c r="BN136">
        <v>0.85299999999999998</v>
      </c>
      <c r="BO136">
        <v>0.83699999999999997</v>
      </c>
      <c r="BP136">
        <v>0.82399999999999995</v>
      </c>
      <c r="BQ136">
        <v>0.82199999999999995</v>
      </c>
    </row>
    <row r="137" spans="1:69" x14ac:dyDescent="0.25">
      <c r="A137" t="s">
        <v>286</v>
      </c>
      <c r="B137">
        <v>2.7</v>
      </c>
      <c r="C137">
        <v>2.7</v>
      </c>
      <c r="D137">
        <v>2.7</v>
      </c>
      <c r="E137">
        <v>2.7</v>
      </c>
      <c r="F137">
        <v>2.7</v>
      </c>
      <c r="G137">
        <v>2.7</v>
      </c>
      <c r="H137">
        <v>2.7</v>
      </c>
      <c r="I137">
        <v>2.7</v>
      </c>
      <c r="J137">
        <v>2.7</v>
      </c>
      <c r="K137">
        <v>2.7</v>
      </c>
      <c r="L137">
        <v>2.7</v>
      </c>
      <c r="M137">
        <v>2.7</v>
      </c>
      <c r="N137">
        <v>2.7</v>
      </c>
      <c r="O137">
        <v>2.7</v>
      </c>
      <c r="P137">
        <v>2.7</v>
      </c>
      <c r="Q137">
        <v>2.7</v>
      </c>
      <c r="R137">
        <v>2.7</v>
      </c>
      <c r="S137">
        <v>2.7</v>
      </c>
      <c r="T137">
        <v>2.7</v>
      </c>
      <c r="U137">
        <v>2.7</v>
      </c>
      <c r="V137">
        <v>2.7</v>
      </c>
      <c r="W137">
        <v>2.7</v>
      </c>
      <c r="X137">
        <v>2.7</v>
      </c>
      <c r="Y137">
        <v>2.7</v>
      </c>
      <c r="Z137">
        <v>2.7</v>
      </c>
      <c r="AA137">
        <v>2.7</v>
      </c>
      <c r="AB137">
        <v>2.7</v>
      </c>
      <c r="AC137">
        <v>2.7</v>
      </c>
      <c r="AD137">
        <v>2.7</v>
      </c>
      <c r="AE137">
        <v>2.7</v>
      </c>
      <c r="AF137">
        <v>2.7</v>
      </c>
      <c r="AG137">
        <v>2.7</v>
      </c>
      <c r="AH137">
        <v>2.7</v>
      </c>
      <c r="AI137">
        <v>2.7</v>
      </c>
      <c r="AJ137">
        <v>2.7</v>
      </c>
      <c r="AK137">
        <v>2.7</v>
      </c>
      <c r="AL137">
        <v>2.7</v>
      </c>
      <c r="AM137">
        <v>2.7</v>
      </c>
      <c r="AN137">
        <v>2.7</v>
      </c>
      <c r="AO137">
        <v>2.7</v>
      </c>
      <c r="AP137">
        <v>2.7</v>
      </c>
      <c r="AQ137">
        <v>2.7</v>
      </c>
      <c r="AR137">
        <v>2.7</v>
      </c>
      <c r="AS137">
        <v>2.7</v>
      </c>
      <c r="AT137">
        <v>2.7</v>
      </c>
      <c r="AU137">
        <v>2.7</v>
      </c>
      <c r="AV137">
        <v>2.7</v>
      </c>
      <c r="AW137">
        <v>2.7</v>
      </c>
      <c r="AX137">
        <v>2.7</v>
      </c>
      <c r="AY137">
        <v>2.7</v>
      </c>
      <c r="AZ137">
        <v>2.7</v>
      </c>
      <c r="BA137">
        <v>2.7</v>
      </c>
      <c r="BB137">
        <v>2.7</v>
      </c>
      <c r="BC137">
        <v>2.7</v>
      </c>
      <c r="BD137">
        <v>2.7</v>
      </c>
      <c r="BE137">
        <v>2.7</v>
      </c>
      <c r="BF137">
        <v>2.7</v>
      </c>
      <c r="BG137">
        <v>2.7</v>
      </c>
      <c r="BH137">
        <v>2.7</v>
      </c>
      <c r="BI137">
        <v>2.7</v>
      </c>
      <c r="BJ137">
        <v>2.7</v>
      </c>
      <c r="BK137">
        <v>2.7</v>
      </c>
      <c r="BL137">
        <v>2.7</v>
      </c>
      <c r="BM137">
        <v>2.7</v>
      </c>
      <c r="BN137">
        <v>2.7</v>
      </c>
      <c r="BO137">
        <v>2.7</v>
      </c>
      <c r="BP137">
        <v>2.7</v>
      </c>
      <c r="BQ137">
        <v>2.7</v>
      </c>
    </row>
    <row r="138" spans="1:69" x14ac:dyDescent="0.25">
      <c r="A138" t="s">
        <v>185</v>
      </c>
      <c r="B138">
        <v>9.2919999999999998</v>
      </c>
      <c r="C138">
        <v>9.3170000000000002</v>
      </c>
      <c r="D138">
        <v>9.282</v>
      </c>
      <c r="E138">
        <v>9.1639999999999997</v>
      </c>
      <c r="F138">
        <v>9.2829999999999995</v>
      </c>
      <c r="G138">
        <v>9.3879999999999999</v>
      </c>
      <c r="H138">
        <v>9.1289999999999996</v>
      </c>
      <c r="I138">
        <v>9.2119999999999997</v>
      </c>
      <c r="J138">
        <v>9.1760000000000002</v>
      </c>
      <c r="K138">
        <v>9.2940000000000005</v>
      </c>
      <c r="L138">
        <v>9.1910000000000007</v>
      </c>
      <c r="M138">
        <v>9.0030000000000001</v>
      </c>
      <c r="N138">
        <v>9.0039999999999996</v>
      </c>
      <c r="O138">
        <v>9.01</v>
      </c>
      <c r="P138">
        <v>9.1460000000000008</v>
      </c>
      <c r="Q138">
        <v>9.3079999999999998</v>
      </c>
      <c r="R138">
        <v>9.2910000000000004</v>
      </c>
      <c r="S138">
        <v>9.6850000000000005</v>
      </c>
      <c r="T138">
        <v>10.013999999999999</v>
      </c>
      <c r="U138">
        <v>10.087</v>
      </c>
      <c r="V138">
        <v>9.9830000000000005</v>
      </c>
      <c r="W138">
        <v>9.9369999999999994</v>
      </c>
      <c r="X138">
        <v>9.8049999999999997</v>
      </c>
      <c r="Y138">
        <v>9.766</v>
      </c>
      <c r="Z138">
        <v>9.7959999999999994</v>
      </c>
      <c r="AA138">
        <v>9.8190000000000008</v>
      </c>
      <c r="AB138">
        <v>9.9410000000000007</v>
      </c>
      <c r="AC138">
        <v>10.016999999999999</v>
      </c>
      <c r="AD138">
        <v>10.026</v>
      </c>
      <c r="AE138">
        <v>10.019</v>
      </c>
      <c r="AF138">
        <v>10.063000000000001</v>
      </c>
      <c r="AG138">
        <v>9.9489999999999998</v>
      </c>
      <c r="AH138">
        <v>10.188000000000001</v>
      </c>
      <c r="AI138">
        <v>10.222</v>
      </c>
      <c r="AJ138">
        <v>10.218999999999999</v>
      </c>
      <c r="AK138">
        <v>10.164999999999999</v>
      </c>
      <c r="AL138">
        <v>9.8770000000000007</v>
      </c>
      <c r="AM138">
        <v>9.7439999999999998</v>
      </c>
      <c r="AN138">
        <v>10.102</v>
      </c>
      <c r="AO138">
        <v>10.061</v>
      </c>
      <c r="AP138">
        <v>10.151</v>
      </c>
      <c r="AQ138">
        <v>10.388999999999999</v>
      </c>
      <c r="AR138">
        <v>10.263</v>
      </c>
      <c r="AS138">
        <v>10.199999999999999</v>
      </c>
      <c r="AT138">
        <v>10.478999999999999</v>
      </c>
      <c r="AU138">
        <v>10.736000000000001</v>
      </c>
      <c r="AV138">
        <v>11.028</v>
      </c>
      <c r="AW138">
        <v>10.750999999999999</v>
      </c>
      <c r="AX138">
        <v>10.236000000000001</v>
      </c>
      <c r="AY138">
        <v>10.288</v>
      </c>
      <c r="AZ138">
        <v>10.018000000000001</v>
      </c>
      <c r="BA138">
        <v>10.026999999999999</v>
      </c>
      <c r="BB138">
        <v>9.8140000000000001</v>
      </c>
      <c r="BC138">
        <v>9.7140000000000004</v>
      </c>
      <c r="BD138">
        <v>9.34</v>
      </c>
      <c r="BE138">
        <v>9.2159999999999993</v>
      </c>
      <c r="BF138">
        <v>9.2590000000000003</v>
      </c>
      <c r="BG138">
        <v>9.0220000000000002</v>
      </c>
      <c r="BH138">
        <v>9.032</v>
      </c>
      <c r="BI138">
        <v>8.8840000000000003</v>
      </c>
      <c r="BJ138">
        <v>8.8800000000000008</v>
      </c>
      <c r="BK138">
        <v>8.8930000000000007</v>
      </c>
      <c r="BL138">
        <v>8.8369999999999997</v>
      </c>
      <c r="BM138">
        <v>8.9060000000000006</v>
      </c>
      <c r="BN138">
        <v>9.0640000000000001</v>
      </c>
      <c r="BO138">
        <v>8.875</v>
      </c>
      <c r="BP138">
        <v>8.9559999999999995</v>
      </c>
      <c r="BQ138">
        <v>8.9160000000000004</v>
      </c>
    </row>
    <row r="139" spans="1:69" x14ac:dyDescent="0.25">
      <c r="A139" t="s">
        <v>207</v>
      </c>
      <c r="B139">
        <v>63.27</v>
      </c>
      <c r="C139">
        <v>63.209000000000003</v>
      </c>
      <c r="D139">
        <v>63.29</v>
      </c>
      <c r="E139">
        <v>63.222000000000001</v>
      </c>
      <c r="F139">
        <v>63.298999999999999</v>
      </c>
      <c r="G139">
        <v>63.25</v>
      </c>
      <c r="H139">
        <v>63.25</v>
      </c>
      <c r="I139">
        <v>63.25</v>
      </c>
      <c r="J139">
        <v>63.29</v>
      </c>
      <c r="K139">
        <v>63.25</v>
      </c>
      <c r="L139">
        <v>63.25</v>
      </c>
      <c r="M139">
        <v>63.25</v>
      </c>
      <c r="N139">
        <v>63.25</v>
      </c>
      <c r="O139">
        <v>63.25</v>
      </c>
      <c r="P139">
        <v>63.25</v>
      </c>
      <c r="Q139">
        <v>63.25</v>
      </c>
      <c r="R139">
        <v>63.25</v>
      </c>
      <c r="S139">
        <v>63.25</v>
      </c>
      <c r="T139">
        <v>63.25</v>
      </c>
      <c r="U139">
        <v>63.25</v>
      </c>
      <c r="V139">
        <v>63.25</v>
      </c>
      <c r="W139">
        <v>63.25</v>
      </c>
      <c r="X139">
        <v>63.25</v>
      </c>
      <c r="Y139">
        <v>63.25</v>
      </c>
      <c r="Z139">
        <v>63.25</v>
      </c>
      <c r="AA139">
        <v>63.25</v>
      </c>
      <c r="AB139">
        <v>63.25</v>
      </c>
      <c r="AC139">
        <v>63.25</v>
      </c>
      <c r="AD139">
        <v>64.180999999999997</v>
      </c>
      <c r="AE139">
        <v>63.957000000000001</v>
      </c>
      <c r="AF139">
        <v>63.25</v>
      </c>
      <c r="AG139">
        <v>63.920999999999999</v>
      </c>
      <c r="AH139">
        <v>63.25</v>
      </c>
      <c r="AI139">
        <v>63.25</v>
      </c>
      <c r="AJ139">
        <v>63.25</v>
      </c>
      <c r="AK139">
        <v>63.25</v>
      </c>
      <c r="AL139">
        <v>63.25</v>
      </c>
      <c r="AM139">
        <v>63.25</v>
      </c>
      <c r="AN139">
        <v>63.25</v>
      </c>
      <c r="AO139">
        <v>63.25</v>
      </c>
      <c r="AP139">
        <v>63.25</v>
      </c>
      <c r="AQ139">
        <v>63.25</v>
      </c>
      <c r="AR139">
        <v>63.688000000000002</v>
      </c>
      <c r="AS139">
        <v>63.832000000000001</v>
      </c>
      <c r="AT139">
        <v>63.25</v>
      </c>
      <c r="AU139">
        <v>63.25</v>
      </c>
      <c r="AV139">
        <v>63.25</v>
      </c>
      <c r="AW139">
        <v>63.25</v>
      </c>
      <c r="AX139">
        <v>63.25</v>
      </c>
      <c r="AY139">
        <v>63.25</v>
      </c>
      <c r="AZ139">
        <v>63.883000000000003</v>
      </c>
      <c r="BA139">
        <v>63.808</v>
      </c>
      <c r="BB139">
        <v>63.875999999999998</v>
      </c>
      <c r="BC139">
        <v>63.2</v>
      </c>
      <c r="BD139">
        <v>63.2</v>
      </c>
      <c r="BE139">
        <v>63.2</v>
      </c>
      <c r="BF139">
        <v>63.2</v>
      </c>
      <c r="BG139">
        <v>63.2</v>
      </c>
      <c r="BH139">
        <v>63.2</v>
      </c>
      <c r="BI139">
        <v>63.1</v>
      </c>
      <c r="BJ139">
        <v>62.5</v>
      </c>
      <c r="BK139">
        <v>62.5</v>
      </c>
      <c r="BL139">
        <v>59.15</v>
      </c>
      <c r="BM139">
        <v>55</v>
      </c>
      <c r="BN139">
        <v>58.07</v>
      </c>
      <c r="BO139">
        <v>74.45</v>
      </c>
      <c r="BP139">
        <v>74.150000000000006</v>
      </c>
      <c r="BQ139">
        <v>73.7</v>
      </c>
    </row>
    <row r="140" spans="1:69" x14ac:dyDescent="0.25">
      <c r="A140" t="s">
        <v>193</v>
      </c>
      <c r="B140">
        <v>4192</v>
      </c>
      <c r="C140">
        <v>4150</v>
      </c>
      <c r="D140">
        <v>4211</v>
      </c>
      <c r="E140">
        <v>4212</v>
      </c>
      <c r="F140">
        <v>4125</v>
      </c>
      <c r="G140">
        <v>3905</v>
      </c>
      <c r="H140">
        <v>3915</v>
      </c>
      <c r="I140">
        <v>3820</v>
      </c>
      <c r="J140">
        <v>3950</v>
      </c>
      <c r="K140">
        <v>3950</v>
      </c>
      <c r="L140">
        <v>4000</v>
      </c>
      <c r="M140">
        <v>4200</v>
      </c>
      <c r="N140">
        <v>4200</v>
      </c>
      <c r="O140">
        <v>4200</v>
      </c>
      <c r="P140">
        <v>4195</v>
      </c>
      <c r="Q140">
        <v>4185</v>
      </c>
      <c r="R140">
        <v>4185</v>
      </c>
      <c r="S140">
        <v>4185</v>
      </c>
      <c r="T140">
        <v>4185</v>
      </c>
      <c r="U140">
        <v>4185</v>
      </c>
      <c r="V140">
        <v>4180</v>
      </c>
      <c r="W140">
        <v>4100</v>
      </c>
      <c r="X140">
        <v>4300</v>
      </c>
      <c r="Y140">
        <v>4160</v>
      </c>
      <c r="Z140">
        <v>3508.5</v>
      </c>
      <c r="AA140">
        <v>3556</v>
      </c>
      <c r="AB140">
        <v>3537.5</v>
      </c>
      <c r="AC140">
        <v>3509</v>
      </c>
      <c r="AD140">
        <v>3472.5</v>
      </c>
      <c r="AE140">
        <v>3455</v>
      </c>
      <c r="AF140">
        <v>3390</v>
      </c>
      <c r="AG140">
        <v>3420</v>
      </c>
      <c r="AH140">
        <v>3430</v>
      </c>
      <c r="AI140">
        <v>2100</v>
      </c>
      <c r="AJ140">
        <v>2100</v>
      </c>
      <c r="AK140">
        <v>2100</v>
      </c>
      <c r="AL140">
        <v>2100</v>
      </c>
      <c r="AM140">
        <v>2100</v>
      </c>
      <c r="AN140">
        <v>2100</v>
      </c>
      <c r="AO140">
        <v>2100</v>
      </c>
      <c r="AP140">
        <v>2100</v>
      </c>
      <c r="AQ140">
        <v>2100</v>
      </c>
      <c r="AR140">
        <v>2100</v>
      </c>
      <c r="AS140">
        <v>2100</v>
      </c>
      <c r="AT140">
        <v>2100</v>
      </c>
      <c r="AU140">
        <v>2100</v>
      </c>
      <c r="AV140">
        <v>2100</v>
      </c>
      <c r="AW140">
        <v>2100</v>
      </c>
      <c r="AX140">
        <v>2100</v>
      </c>
      <c r="AY140">
        <v>1850</v>
      </c>
      <c r="AZ140">
        <v>1850</v>
      </c>
      <c r="BA140">
        <v>1850</v>
      </c>
      <c r="BB140">
        <v>1850</v>
      </c>
      <c r="BC140">
        <v>1776</v>
      </c>
      <c r="BD140">
        <v>1776</v>
      </c>
      <c r="BE140">
        <v>1776</v>
      </c>
      <c r="BF140">
        <v>1780</v>
      </c>
      <c r="BG140">
        <v>1800</v>
      </c>
      <c r="BH140">
        <v>1815</v>
      </c>
      <c r="BI140">
        <v>1652</v>
      </c>
      <c r="BJ140">
        <v>1636</v>
      </c>
      <c r="BK140">
        <v>1582</v>
      </c>
      <c r="BL140">
        <v>1651</v>
      </c>
      <c r="BM140">
        <v>1548</v>
      </c>
      <c r="BN140">
        <v>1434</v>
      </c>
      <c r="BO140">
        <v>1413</v>
      </c>
      <c r="BP140">
        <v>1333</v>
      </c>
      <c r="BQ140">
        <v>1353</v>
      </c>
    </row>
    <row r="141" spans="1:69" x14ac:dyDescent="0.25">
      <c r="A141" t="s">
        <v>208</v>
      </c>
      <c r="B141">
        <v>16.131</v>
      </c>
      <c r="C141">
        <v>16.356000000000002</v>
      </c>
      <c r="D141">
        <v>16.521999999999998</v>
      </c>
      <c r="E141">
        <v>16.457000000000001</v>
      </c>
      <c r="F141">
        <v>16.501000000000001</v>
      </c>
      <c r="G141">
        <v>16.675000000000001</v>
      </c>
      <c r="H141">
        <v>15.827</v>
      </c>
      <c r="I141">
        <v>16.433</v>
      </c>
      <c r="J141">
        <v>16.890999999999998</v>
      </c>
      <c r="K141">
        <v>17.085999999999999</v>
      </c>
      <c r="L141">
        <v>17.312000000000001</v>
      </c>
      <c r="M141">
        <v>17.445</v>
      </c>
      <c r="N141">
        <v>17.523</v>
      </c>
      <c r="O141">
        <v>17.911999999999999</v>
      </c>
      <c r="P141">
        <v>17.712</v>
      </c>
      <c r="Q141">
        <v>18.420999999999999</v>
      </c>
      <c r="R141">
        <v>19.183</v>
      </c>
      <c r="S141">
        <v>18.373999999999999</v>
      </c>
      <c r="T141">
        <v>18.533000000000001</v>
      </c>
      <c r="U141">
        <v>19.071999999999999</v>
      </c>
      <c r="V141">
        <v>17.757000000000001</v>
      </c>
      <c r="W141">
        <v>18.071000000000002</v>
      </c>
      <c r="X141">
        <v>17.463000000000001</v>
      </c>
      <c r="Y141">
        <v>17.931999999999999</v>
      </c>
      <c r="Z141">
        <v>18.149999999999999</v>
      </c>
      <c r="AA141">
        <v>17.96</v>
      </c>
      <c r="AB141">
        <v>18.466999999999999</v>
      </c>
      <c r="AC141">
        <v>18.298999999999999</v>
      </c>
      <c r="AD141">
        <v>18.733000000000001</v>
      </c>
      <c r="AE141">
        <v>18.64</v>
      </c>
      <c r="AF141">
        <v>19.055</v>
      </c>
      <c r="AG141">
        <v>18.649999999999999</v>
      </c>
      <c r="AH141">
        <v>19.035</v>
      </c>
      <c r="AI141">
        <v>18.785</v>
      </c>
      <c r="AJ141">
        <v>18.826000000000001</v>
      </c>
      <c r="AK141">
        <v>18.824000000000002</v>
      </c>
      <c r="AL141">
        <v>18.925999999999998</v>
      </c>
      <c r="AM141">
        <v>18.244</v>
      </c>
      <c r="AN141">
        <v>18.591999999999999</v>
      </c>
      <c r="AO141">
        <v>19.242000000000001</v>
      </c>
      <c r="AP141">
        <v>18.363</v>
      </c>
      <c r="AQ141">
        <v>18.198</v>
      </c>
      <c r="AR141">
        <v>17.84</v>
      </c>
      <c r="AS141">
        <v>16.960999999999999</v>
      </c>
      <c r="AT141">
        <v>17.350999999999999</v>
      </c>
      <c r="AU141">
        <v>17.285</v>
      </c>
      <c r="AV141">
        <v>18.266999999999999</v>
      </c>
      <c r="AW141">
        <v>17.346</v>
      </c>
      <c r="AX141">
        <v>16.141999999999999</v>
      </c>
      <c r="AY141">
        <v>16.997</v>
      </c>
      <c r="AZ141">
        <v>16.134</v>
      </c>
      <c r="BA141">
        <v>16.058</v>
      </c>
      <c r="BB141">
        <v>14.504</v>
      </c>
      <c r="BC141">
        <v>15.023</v>
      </c>
      <c r="BD141">
        <v>15.112</v>
      </c>
      <c r="BE141">
        <v>15.377000000000001</v>
      </c>
      <c r="BF141">
        <v>16.152999999999999</v>
      </c>
      <c r="BG141">
        <v>15.255000000000001</v>
      </c>
      <c r="BH141">
        <v>15.146000000000001</v>
      </c>
      <c r="BI141">
        <v>14.137</v>
      </c>
      <c r="BJ141">
        <v>14.606</v>
      </c>
      <c r="BK141">
        <v>14.24</v>
      </c>
      <c r="BL141">
        <v>13.733000000000001</v>
      </c>
      <c r="BM141">
        <v>14.356</v>
      </c>
      <c r="BN141">
        <v>14.935</v>
      </c>
      <c r="BO141">
        <v>14.93</v>
      </c>
      <c r="BP141">
        <v>14.628</v>
      </c>
      <c r="BQ141">
        <v>15.241</v>
      </c>
    </row>
    <row r="142" spans="1:69" x14ac:dyDescent="0.25">
      <c r="A142" t="s">
        <v>42</v>
      </c>
      <c r="B142">
        <v>1.417</v>
      </c>
      <c r="C142">
        <v>1.4410000000000001</v>
      </c>
      <c r="D142">
        <v>1.4319999999999999</v>
      </c>
      <c r="E142">
        <v>1.38</v>
      </c>
      <c r="F142">
        <v>1.415</v>
      </c>
      <c r="G142">
        <v>1.4079999999999999</v>
      </c>
      <c r="H142">
        <v>1.403</v>
      </c>
      <c r="I142">
        <v>1.4970000000000001</v>
      </c>
      <c r="J142">
        <v>1.4990000000000001</v>
      </c>
      <c r="K142">
        <v>1.53</v>
      </c>
      <c r="L142">
        <v>1.5349999999999999</v>
      </c>
      <c r="M142">
        <v>1.5089999999999999</v>
      </c>
      <c r="N142">
        <v>1.5269999999999999</v>
      </c>
      <c r="O142">
        <v>1.52</v>
      </c>
      <c r="P142">
        <v>1.534</v>
      </c>
      <c r="Q142">
        <v>1.5549999999999999</v>
      </c>
      <c r="R142">
        <v>1.591</v>
      </c>
      <c r="S142">
        <v>1.59</v>
      </c>
      <c r="T142">
        <v>1.599</v>
      </c>
      <c r="U142">
        <v>1.6240000000000001</v>
      </c>
      <c r="V142">
        <v>1.5720000000000001</v>
      </c>
      <c r="W142">
        <v>1.5369999999999999</v>
      </c>
      <c r="X142">
        <v>1.484</v>
      </c>
      <c r="Y142">
        <v>1.504</v>
      </c>
      <c r="Z142">
        <v>1.5129999999999999</v>
      </c>
      <c r="AA142">
        <v>1.4730000000000001</v>
      </c>
      <c r="AB142">
        <v>1.494</v>
      </c>
      <c r="AC142">
        <v>1.51</v>
      </c>
      <c r="AD142">
        <v>1.53</v>
      </c>
      <c r="AE142">
        <v>1.5109999999999999</v>
      </c>
      <c r="AF142">
        <v>1.546</v>
      </c>
      <c r="AG142">
        <v>1.498</v>
      </c>
      <c r="AH142">
        <v>1.522</v>
      </c>
      <c r="AI142">
        <v>1.571</v>
      </c>
      <c r="AJ142">
        <v>1.556</v>
      </c>
      <c r="AK142">
        <v>1.5569999999999999</v>
      </c>
      <c r="AL142">
        <v>1.538</v>
      </c>
      <c r="AM142">
        <v>1.4770000000000001</v>
      </c>
      <c r="AN142">
        <v>1.4770000000000001</v>
      </c>
      <c r="AO142">
        <v>1.4930000000000001</v>
      </c>
      <c r="AP142">
        <v>1.4930000000000001</v>
      </c>
      <c r="AQ142">
        <v>1.5009999999999999</v>
      </c>
      <c r="AR142">
        <v>1.4370000000000001</v>
      </c>
      <c r="AS142">
        <v>1.448</v>
      </c>
      <c r="AT142">
        <v>1.4510000000000001</v>
      </c>
      <c r="AU142">
        <v>1.4970000000000001</v>
      </c>
      <c r="AV142">
        <v>1.5980000000000001</v>
      </c>
      <c r="AW142">
        <v>1.472</v>
      </c>
      <c r="AX142">
        <v>1.403</v>
      </c>
      <c r="AY142">
        <v>1.4810000000000001</v>
      </c>
      <c r="AZ142">
        <v>1.4359999999999999</v>
      </c>
      <c r="BA142">
        <v>1.423</v>
      </c>
      <c r="BB142">
        <v>1.339</v>
      </c>
      <c r="BC142">
        <v>1.365</v>
      </c>
      <c r="BD142">
        <v>1.3939999999999999</v>
      </c>
      <c r="BE142">
        <v>1.3759999999999999</v>
      </c>
      <c r="BF142">
        <v>1.401</v>
      </c>
      <c r="BG142">
        <v>1.369</v>
      </c>
      <c r="BH142">
        <v>1.39</v>
      </c>
      <c r="BI142">
        <v>1.357</v>
      </c>
      <c r="BJ142">
        <v>1.353</v>
      </c>
      <c r="BK142">
        <v>1.3220000000000001</v>
      </c>
      <c r="BL142">
        <v>1.2909999999999999</v>
      </c>
      <c r="BM142">
        <v>1.2869999999999999</v>
      </c>
      <c r="BN142">
        <v>1.3140000000000001</v>
      </c>
      <c r="BO142">
        <v>1.2889999999999999</v>
      </c>
      <c r="BP142">
        <v>1.288</v>
      </c>
      <c r="BQ142">
        <v>1.294</v>
      </c>
    </row>
    <row r="143" spans="1:69" x14ac:dyDescent="0.25">
      <c r="A143" t="s">
        <v>216</v>
      </c>
      <c r="B143">
        <v>152.65199999999999</v>
      </c>
      <c r="C143">
        <v>152.69499999999999</v>
      </c>
      <c r="D143">
        <v>152.95500000000001</v>
      </c>
      <c r="E143">
        <v>152.83000000000001</v>
      </c>
      <c r="F143">
        <v>149.392</v>
      </c>
      <c r="G143">
        <v>147.179</v>
      </c>
      <c r="H143">
        <v>144.94399999999999</v>
      </c>
      <c r="I143">
        <v>144.03899999999999</v>
      </c>
      <c r="J143">
        <v>144.24299999999999</v>
      </c>
      <c r="K143">
        <v>141.72200000000001</v>
      </c>
      <c r="L143">
        <v>141.71199999999999</v>
      </c>
      <c r="M143">
        <v>141.21</v>
      </c>
      <c r="N143">
        <v>139.93299999999999</v>
      </c>
      <c r="O143">
        <v>137.27199999999999</v>
      </c>
      <c r="P143">
        <v>136.809</v>
      </c>
      <c r="Q143">
        <v>136.53100000000001</v>
      </c>
      <c r="R143">
        <v>137.65600000000001</v>
      </c>
      <c r="S143">
        <v>139.52000000000001</v>
      </c>
      <c r="T143">
        <v>139.00200000000001</v>
      </c>
      <c r="U143">
        <v>138.51</v>
      </c>
      <c r="V143">
        <v>135.726</v>
      </c>
      <c r="W143">
        <v>134.99100000000001</v>
      </c>
      <c r="X143">
        <v>134.47900000000001</v>
      </c>
      <c r="Y143">
        <v>134.209</v>
      </c>
      <c r="Z143">
        <v>134.33500000000001</v>
      </c>
      <c r="AA143">
        <v>133.51499999999999</v>
      </c>
      <c r="AB143">
        <v>133.655</v>
      </c>
      <c r="AC143">
        <v>133.47300000000001</v>
      </c>
      <c r="AD143">
        <v>133.017</v>
      </c>
      <c r="AE143">
        <v>132.40899999999999</v>
      </c>
      <c r="AF143">
        <v>132.65600000000001</v>
      </c>
      <c r="AG143">
        <v>132.839</v>
      </c>
      <c r="AH143">
        <v>133.30699999999999</v>
      </c>
      <c r="AI143">
        <v>133.239</v>
      </c>
      <c r="AJ143">
        <v>132.989</v>
      </c>
      <c r="AK143">
        <v>132.583</v>
      </c>
      <c r="AL143">
        <v>132.244</v>
      </c>
      <c r="AM143">
        <v>131.541</v>
      </c>
      <c r="AN143">
        <v>131.727</v>
      </c>
      <c r="AO143">
        <v>131.33600000000001</v>
      </c>
      <c r="AP143">
        <v>131.25899999999999</v>
      </c>
      <c r="AQ143">
        <v>131.26900000000001</v>
      </c>
      <c r="AR143">
        <v>132.35</v>
      </c>
      <c r="AS143">
        <v>130.51599999999999</v>
      </c>
      <c r="AT143">
        <v>132.48400000000001</v>
      </c>
      <c r="AU143">
        <v>129.274</v>
      </c>
      <c r="AV143">
        <v>131.62799999999999</v>
      </c>
      <c r="AW143">
        <v>126.628</v>
      </c>
      <c r="AX143">
        <v>127.29300000000001</v>
      </c>
      <c r="AY143">
        <v>127.254</v>
      </c>
      <c r="AZ143">
        <v>124.85</v>
      </c>
      <c r="BA143">
        <v>123.44</v>
      </c>
      <c r="BB143">
        <v>121.51900000000001</v>
      </c>
      <c r="BC143">
        <v>122.17</v>
      </c>
      <c r="BD143">
        <v>120.37</v>
      </c>
      <c r="BE143">
        <v>118.051</v>
      </c>
      <c r="BF143">
        <v>120.04</v>
      </c>
      <c r="BG143">
        <v>119.75</v>
      </c>
      <c r="BH143">
        <v>118.4014</v>
      </c>
      <c r="BI143">
        <v>117.2189</v>
      </c>
      <c r="BJ143">
        <v>118.71</v>
      </c>
      <c r="BK143">
        <v>118.4813</v>
      </c>
      <c r="BL143">
        <v>116.14</v>
      </c>
      <c r="BM143">
        <v>118.45</v>
      </c>
      <c r="BN143">
        <v>116.56480000000001</v>
      </c>
      <c r="BO143">
        <v>115.5</v>
      </c>
      <c r="BP143">
        <v>116.7</v>
      </c>
      <c r="BQ143">
        <v>117.15</v>
      </c>
    </row>
    <row r="144" spans="1:69" x14ac:dyDescent="0.25">
      <c r="A144" t="s">
        <v>45</v>
      </c>
      <c r="B144">
        <v>0.86699999999999999</v>
      </c>
      <c r="C144">
        <v>0.875</v>
      </c>
      <c r="D144">
        <v>0.86799999999999999</v>
      </c>
      <c r="E144">
        <v>0.85399999999999998</v>
      </c>
      <c r="F144">
        <v>0.85399999999999998</v>
      </c>
      <c r="G144">
        <v>0.86699999999999999</v>
      </c>
      <c r="H144">
        <v>0.84099999999999997</v>
      </c>
      <c r="I144">
        <v>0.85799999999999998</v>
      </c>
      <c r="J144">
        <v>0.85199999999999998</v>
      </c>
      <c r="K144">
        <v>0.86499999999999999</v>
      </c>
      <c r="L144">
        <v>0.86499999999999999</v>
      </c>
      <c r="M144">
        <v>0.85299999999999998</v>
      </c>
      <c r="N144">
        <v>0.85499999999999998</v>
      </c>
      <c r="O144">
        <v>0.85599999999999998</v>
      </c>
      <c r="P144">
        <v>0.872</v>
      </c>
      <c r="Q144">
        <v>0.89700000000000002</v>
      </c>
      <c r="R144">
        <v>0.88</v>
      </c>
      <c r="S144">
        <v>0.91800000000000004</v>
      </c>
      <c r="T144">
        <v>0.96699999999999997</v>
      </c>
      <c r="U144">
        <v>0.98</v>
      </c>
      <c r="V144">
        <v>0.95299999999999996</v>
      </c>
      <c r="W144">
        <v>0.94299999999999995</v>
      </c>
      <c r="X144">
        <v>0.91400000000000003</v>
      </c>
      <c r="Y144">
        <v>0.90800000000000003</v>
      </c>
      <c r="Z144">
        <v>0.91300000000000003</v>
      </c>
      <c r="AA144">
        <v>0.91800000000000004</v>
      </c>
      <c r="AB144">
        <v>0.92300000000000004</v>
      </c>
      <c r="AC144">
        <v>0.92600000000000005</v>
      </c>
      <c r="AD144">
        <v>0.93200000000000005</v>
      </c>
      <c r="AE144">
        <v>0.91400000000000003</v>
      </c>
      <c r="AF144">
        <v>0.93300000000000005</v>
      </c>
      <c r="AG144">
        <v>0.91300000000000003</v>
      </c>
      <c r="AH144">
        <v>0.92700000000000005</v>
      </c>
      <c r="AI144">
        <v>0.93700000000000006</v>
      </c>
      <c r="AJ144">
        <v>0.94099999999999995</v>
      </c>
      <c r="AK144">
        <v>0.93100000000000005</v>
      </c>
      <c r="AL144">
        <v>0.91300000000000003</v>
      </c>
      <c r="AM144">
        <v>0.90200000000000002</v>
      </c>
      <c r="AN144">
        <v>0.92700000000000005</v>
      </c>
      <c r="AO144">
        <v>0.91700000000000004</v>
      </c>
      <c r="AP144">
        <v>0.91100000000000003</v>
      </c>
      <c r="AQ144">
        <v>0.93400000000000005</v>
      </c>
      <c r="AR144">
        <v>0.93300000000000005</v>
      </c>
      <c r="AS144">
        <v>0.92900000000000005</v>
      </c>
      <c r="AT144">
        <v>0.93799999999999994</v>
      </c>
      <c r="AU144">
        <v>0.97199999999999998</v>
      </c>
      <c r="AV144">
        <v>1.032</v>
      </c>
      <c r="AW144">
        <v>0.997</v>
      </c>
      <c r="AX144">
        <v>0.96499999999999997</v>
      </c>
      <c r="AY144">
        <v>0.996</v>
      </c>
      <c r="AZ144">
        <v>0.95799999999999996</v>
      </c>
      <c r="BA144">
        <v>0.94699999999999995</v>
      </c>
      <c r="BB144">
        <v>0.92</v>
      </c>
      <c r="BC144">
        <v>0.91300000000000003</v>
      </c>
      <c r="BD144">
        <v>0.878</v>
      </c>
      <c r="BE144">
        <v>0.876</v>
      </c>
      <c r="BF144">
        <v>0.88800000000000001</v>
      </c>
      <c r="BG144">
        <v>0.872</v>
      </c>
      <c r="BH144">
        <v>0.86</v>
      </c>
      <c r="BI144">
        <v>0.84699999999999998</v>
      </c>
      <c r="BJ144">
        <v>0.84099999999999997</v>
      </c>
      <c r="BK144">
        <v>0.83799999999999997</v>
      </c>
      <c r="BL144">
        <v>0.82</v>
      </c>
      <c r="BM144">
        <v>0.82599999999999996</v>
      </c>
      <c r="BN144">
        <v>0.85299999999999998</v>
      </c>
      <c r="BO144">
        <v>0.83699999999999997</v>
      </c>
      <c r="BP144">
        <v>0.82399999999999995</v>
      </c>
      <c r="BQ144">
        <v>0.82199999999999995</v>
      </c>
    </row>
    <row r="145" spans="1:69" x14ac:dyDescent="0.25">
      <c r="A145" t="s">
        <v>247</v>
      </c>
      <c r="B145">
        <v>103.425</v>
      </c>
      <c r="C145">
        <v>104.43</v>
      </c>
      <c r="D145">
        <v>103.569</v>
      </c>
      <c r="E145">
        <v>101.90600000000001</v>
      </c>
      <c r="F145">
        <v>101.90600000000001</v>
      </c>
      <c r="G145">
        <v>103.479</v>
      </c>
      <c r="H145">
        <v>100.39700000000001</v>
      </c>
      <c r="I145">
        <v>102.431</v>
      </c>
      <c r="J145">
        <v>101.62</v>
      </c>
      <c r="K145">
        <v>103.193</v>
      </c>
      <c r="L145">
        <v>103.193</v>
      </c>
      <c r="M145">
        <v>101.75</v>
      </c>
      <c r="N145">
        <v>101.976</v>
      </c>
      <c r="O145">
        <v>102.089</v>
      </c>
      <c r="P145">
        <v>104.057</v>
      </c>
      <c r="Q145">
        <v>107.053</v>
      </c>
      <c r="R145">
        <v>105.027</v>
      </c>
      <c r="S145">
        <v>109.589</v>
      </c>
      <c r="T145">
        <v>115.352</v>
      </c>
      <c r="U145">
        <v>116.91200000000001</v>
      </c>
      <c r="V145">
        <v>113.67100000000001</v>
      </c>
      <c r="W145">
        <v>112.535</v>
      </c>
      <c r="X145">
        <v>109.089</v>
      </c>
      <c r="Y145">
        <v>108.306</v>
      </c>
      <c r="Z145">
        <v>108.919</v>
      </c>
      <c r="AA145">
        <v>109.6</v>
      </c>
      <c r="AB145">
        <v>110.146</v>
      </c>
      <c r="AC145">
        <v>110.452</v>
      </c>
      <c r="AD145">
        <v>111.182</v>
      </c>
      <c r="AE145">
        <v>109.089</v>
      </c>
      <c r="AF145">
        <v>111.286</v>
      </c>
      <c r="AG145">
        <v>108.949</v>
      </c>
      <c r="AH145">
        <v>110.605</v>
      </c>
      <c r="AI145">
        <v>111.828</v>
      </c>
      <c r="AJ145">
        <v>112.27</v>
      </c>
      <c r="AK145">
        <v>111.089</v>
      </c>
      <c r="AL145">
        <v>108.899</v>
      </c>
      <c r="AM145">
        <v>107.59399999999999</v>
      </c>
      <c r="AN145">
        <v>110.657</v>
      </c>
      <c r="AO145">
        <v>109.379</v>
      </c>
      <c r="AP145">
        <v>108.691</v>
      </c>
      <c r="AQ145">
        <v>111.42100000000001</v>
      </c>
      <c r="AR145">
        <v>111.35899999999999</v>
      </c>
      <c r="AS145">
        <v>110.842</v>
      </c>
      <c r="AT145">
        <v>111.95399999999999</v>
      </c>
      <c r="AU145">
        <v>116.003</v>
      </c>
      <c r="AV145">
        <v>123.11199999999999</v>
      </c>
      <c r="AW145">
        <v>118.93899999999999</v>
      </c>
      <c r="AX145">
        <v>115.196</v>
      </c>
      <c r="AY145">
        <v>118.86799999999999</v>
      </c>
      <c r="AZ145">
        <v>114.27</v>
      </c>
      <c r="BA145">
        <v>113.036</v>
      </c>
      <c r="BB145">
        <v>109.761</v>
      </c>
      <c r="BC145">
        <v>108.899</v>
      </c>
      <c r="BD145">
        <v>104.732</v>
      </c>
      <c r="BE145">
        <v>104.512</v>
      </c>
      <c r="BF145">
        <v>105.913</v>
      </c>
      <c r="BG145">
        <v>104.075</v>
      </c>
      <c r="BH145">
        <v>102.598</v>
      </c>
      <c r="BI145">
        <v>101.129</v>
      </c>
      <c r="BJ145">
        <v>100.372</v>
      </c>
      <c r="BK145">
        <v>100.035</v>
      </c>
      <c r="BL145">
        <v>97.820999999999998</v>
      </c>
      <c r="BM145">
        <v>98.572999999999993</v>
      </c>
      <c r="BN145">
        <v>101.819</v>
      </c>
      <c r="BO145">
        <v>99.918000000000006</v>
      </c>
      <c r="BP145">
        <v>98.320999999999998</v>
      </c>
      <c r="BQ145">
        <v>98.102999999999994</v>
      </c>
    </row>
    <row r="146" spans="1:69" x14ac:dyDescent="0.25">
      <c r="A146" t="s">
        <v>218</v>
      </c>
      <c r="B146">
        <v>1.7110000000000001</v>
      </c>
      <c r="C146">
        <v>1.7290000000000001</v>
      </c>
      <c r="D146">
        <v>1.732</v>
      </c>
      <c r="E146">
        <v>1.6870000000000001</v>
      </c>
      <c r="F146">
        <v>1.7110000000000001</v>
      </c>
      <c r="G146">
        <v>1.7010000000000001</v>
      </c>
      <c r="H146">
        <v>1.649</v>
      </c>
      <c r="I146">
        <v>1.7410000000000001</v>
      </c>
      <c r="J146">
        <v>1.716</v>
      </c>
      <c r="K146">
        <v>1.7669999999999999</v>
      </c>
      <c r="L146">
        <v>1.7470000000000001</v>
      </c>
      <c r="M146">
        <v>1.6830000000000001</v>
      </c>
      <c r="N146">
        <v>1.6719999999999999</v>
      </c>
      <c r="O146">
        <v>1.6639999999999999</v>
      </c>
      <c r="P146">
        <v>1.6539999999999999</v>
      </c>
      <c r="Q146">
        <v>1.6910000000000001</v>
      </c>
      <c r="R146">
        <v>1.712</v>
      </c>
      <c r="S146">
        <v>1.752</v>
      </c>
      <c r="T146">
        <v>1.7809999999999999</v>
      </c>
      <c r="U146">
        <v>1.8</v>
      </c>
      <c r="V146">
        <v>1.7290000000000001</v>
      </c>
      <c r="W146">
        <v>1.6919999999999999</v>
      </c>
      <c r="X146">
        <v>1.641</v>
      </c>
      <c r="Y146">
        <v>1.6319999999999999</v>
      </c>
      <c r="Z146">
        <v>1.65</v>
      </c>
      <c r="AA146">
        <v>1.6319999999999999</v>
      </c>
      <c r="AB146">
        <v>1.609</v>
      </c>
      <c r="AC146">
        <v>1.66</v>
      </c>
      <c r="AD146">
        <v>1.6679999999999999</v>
      </c>
      <c r="AE146">
        <v>1.6240000000000001</v>
      </c>
      <c r="AF146">
        <v>1.6479999999999999</v>
      </c>
      <c r="AG146">
        <v>1.607</v>
      </c>
      <c r="AH146">
        <v>1.6359999999999999</v>
      </c>
      <c r="AI146">
        <v>1.7030000000000001</v>
      </c>
      <c r="AJ146">
        <v>1.659</v>
      </c>
      <c r="AK146">
        <v>1.6890000000000001</v>
      </c>
      <c r="AL146">
        <v>1.671</v>
      </c>
      <c r="AM146">
        <v>1.5960000000000001</v>
      </c>
      <c r="AN146">
        <v>1.6279999999999999</v>
      </c>
      <c r="AO146">
        <v>1.5860000000000001</v>
      </c>
      <c r="AP146">
        <v>1.607</v>
      </c>
      <c r="AQ146">
        <v>1.607</v>
      </c>
      <c r="AR146">
        <v>1.5720000000000001</v>
      </c>
      <c r="AS146">
        <v>1.573</v>
      </c>
      <c r="AT146">
        <v>1.5349999999999999</v>
      </c>
      <c r="AU146">
        <v>1.6439999999999999</v>
      </c>
      <c r="AV146">
        <v>1.788</v>
      </c>
      <c r="AW146">
        <v>1.655</v>
      </c>
      <c r="AX146">
        <v>1.5489999999999999</v>
      </c>
      <c r="AY146">
        <v>1.6359999999999999</v>
      </c>
      <c r="AZ146">
        <v>1.591</v>
      </c>
      <c r="BA146">
        <v>1.571</v>
      </c>
      <c r="BB146">
        <v>1.4570000000000001</v>
      </c>
      <c r="BC146">
        <v>1.462</v>
      </c>
      <c r="BD146">
        <v>1.4950000000000001</v>
      </c>
      <c r="BE146">
        <v>1.4630000000000001</v>
      </c>
      <c r="BF146">
        <v>1.47</v>
      </c>
      <c r="BG146">
        <v>1.421</v>
      </c>
      <c r="BH146">
        <v>1.452</v>
      </c>
      <c r="BI146">
        <v>1.4059999999999999</v>
      </c>
      <c r="BJ146">
        <v>1.429</v>
      </c>
      <c r="BK146">
        <v>1.42</v>
      </c>
      <c r="BL146">
        <v>1.37</v>
      </c>
      <c r="BM146">
        <v>1.3819999999999999</v>
      </c>
      <c r="BN146">
        <v>1.4330000000000001</v>
      </c>
      <c r="BO146">
        <v>1.3859999999999999</v>
      </c>
      <c r="BP146">
        <v>1.381</v>
      </c>
      <c r="BQ146">
        <v>1.3939999999999999</v>
      </c>
    </row>
    <row r="147" spans="1:69" x14ac:dyDescent="0.25">
      <c r="A147" t="s">
        <v>212</v>
      </c>
      <c r="B147">
        <v>36.527999999999999</v>
      </c>
      <c r="C147">
        <v>36.546999999999997</v>
      </c>
      <c r="D147">
        <v>36.511000000000003</v>
      </c>
      <c r="E147">
        <v>36.527999999999999</v>
      </c>
      <c r="F147">
        <v>36.517000000000003</v>
      </c>
      <c r="G147">
        <v>36.564</v>
      </c>
      <c r="H147">
        <v>36.536999999999999</v>
      </c>
      <c r="I147">
        <v>36.549999999999997</v>
      </c>
      <c r="J147">
        <v>36.478999999999999</v>
      </c>
      <c r="K147">
        <v>36.527999999999999</v>
      </c>
      <c r="L147">
        <v>36.494</v>
      </c>
      <c r="M147">
        <v>36.563000000000002</v>
      </c>
      <c r="N147">
        <v>36.548000000000002</v>
      </c>
      <c r="O147">
        <v>36.531999999999996</v>
      </c>
      <c r="P147">
        <v>36.585000000000001</v>
      </c>
      <c r="Q147">
        <v>36.53</v>
      </c>
      <c r="R147">
        <v>36.548999999999999</v>
      </c>
      <c r="S147">
        <v>36.533999999999999</v>
      </c>
      <c r="T147">
        <v>36.563000000000002</v>
      </c>
      <c r="U147">
        <v>36.579000000000001</v>
      </c>
      <c r="V147">
        <v>36.523000000000003</v>
      </c>
      <c r="W147">
        <v>36.518999999999998</v>
      </c>
      <c r="X147">
        <v>36.561</v>
      </c>
      <c r="Y147">
        <v>36.567</v>
      </c>
      <c r="Z147">
        <v>36.566000000000003</v>
      </c>
      <c r="AA147">
        <v>36.54</v>
      </c>
      <c r="AB147">
        <v>36.582000000000001</v>
      </c>
      <c r="AC147">
        <v>36.588000000000001</v>
      </c>
      <c r="AD147">
        <v>36.534999999999997</v>
      </c>
      <c r="AE147">
        <v>36.543999999999997</v>
      </c>
      <c r="AF147">
        <v>36.543999999999997</v>
      </c>
      <c r="AG147">
        <v>36.311999999999998</v>
      </c>
      <c r="AH147">
        <v>36.201999999999998</v>
      </c>
      <c r="AI147">
        <v>36.265000000000001</v>
      </c>
      <c r="AJ147">
        <v>36.168999999999997</v>
      </c>
      <c r="AK147">
        <v>36.19</v>
      </c>
      <c r="AL147">
        <v>36.177</v>
      </c>
      <c r="AM147">
        <v>36.165999999999997</v>
      </c>
      <c r="AN147">
        <v>36.128</v>
      </c>
      <c r="AO147">
        <v>36.231000000000002</v>
      </c>
      <c r="AP147">
        <v>36.128999999999998</v>
      </c>
      <c r="AQ147">
        <v>36.122999999999998</v>
      </c>
      <c r="AR147">
        <v>36.179000000000002</v>
      </c>
      <c r="AS147">
        <v>36.049999999999997</v>
      </c>
      <c r="AT147">
        <v>36.046999999999997</v>
      </c>
      <c r="AU147">
        <v>35.868000000000002</v>
      </c>
      <c r="AV147">
        <v>35.85</v>
      </c>
      <c r="AW147">
        <v>35.771000000000001</v>
      </c>
      <c r="AX147">
        <v>35.744</v>
      </c>
      <c r="AY147">
        <v>35.64</v>
      </c>
      <c r="AZ147">
        <v>35.667999999999999</v>
      </c>
      <c r="BA147">
        <v>35.564</v>
      </c>
      <c r="BB147">
        <v>35.569000000000003</v>
      </c>
      <c r="BC147">
        <v>35.49</v>
      </c>
      <c r="BD147">
        <v>35.493000000000002</v>
      </c>
      <c r="BE147">
        <v>35.384999999999998</v>
      </c>
      <c r="BF147">
        <v>35.292000000000002</v>
      </c>
      <c r="BG147">
        <v>35.134999999999998</v>
      </c>
      <c r="BH147">
        <v>35.107999999999997</v>
      </c>
      <c r="BI147">
        <v>34.984999999999999</v>
      </c>
      <c r="BJ147">
        <v>35.034999999999997</v>
      </c>
      <c r="BK147">
        <v>34.686999999999998</v>
      </c>
      <c r="BL147">
        <v>34.683999999999997</v>
      </c>
      <c r="BM147">
        <v>34.677</v>
      </c>
      <c r="BN147">
        <v>34.844999999999999</v>
      </c>
      <c r="BO147">
        <v>34.704999999999998</v>
      </c>
      <c r="BP147">
        <v>34.643000000000001</v>
      </c>
      <c r="BQ147">
        <v>34.701999999999998</v>
      </c>
    </row>
    <row r="148" spans="1:69" x14ac:dyDescent="0.25">
      <c r="A148" t="s">
        <v>66</v>
      </c>
      <c r="B148">
        <v>568.51900000000001</v>
      </c>
      <c r="C148">
        <v>574.04100000000005</v>
      </c>
      <c r="D148">
        <v>569.30799999999999</v>
      </c>
      <c r="E148">
        <v>560.16800000000001</v>
      </c>
      <c r="F148">
        <v>560.16800000000001</v>
      </c>
      <c r="G148">
        <v>568.81500000000005</v>
      </c>
      <c r="H148">
        <v>551.87400000000002</v>
      </c>
      <c r="I148">
        <v>563.053</v>
      </c>
      <c r="J148">
        <v>558.59400000000005</v>
      </c>
      <c r="K148">
        <v>567.24099999999999</v>
      </c>
      <c r="L148">
        <v>567.24099999999999</v>
      </c>
      <c r="M148">
        <v>559.30799999999999</v>
      </c>
      <c r="N148">
        <v>560.55100000000004</v>
      </c>
      <c r="O148">
        <v>561.17499999999995</v>
      </c>
      <c r="P148">
        <v>571.98900000000003</v>
      </c>
      <c r="Q148">
        <v>588.46100000000001</v>
      </c>
      <c r="R148">
        <v>577.32500000000005</v>
      </c>
      <c r="S148">
        <v>602.40300000000002</v>
      </c>
      <c r="T148">
        <v>634.08100000000002</v>
      </c>
      <c r="U148">
        <v>642.654</v>
      </c>
      <c r="V148">
        <v>624.84</v>
      </c>
      <c r="W148">
        <v>618.59400000000005</v>
      </c>
      <c r="X148">
        <v>599.65</v>
      </c>
      <c r="Y148">
        <v>595.35</v>
      </c>
      <c r="Z148">
        <v>598.71900000000005</v>
      </c>
      <c r="AA148">
        <v>602.45899999999995</v>
      </c>
      <c r="AB148">
        <v>605.46199999999999</v>
      </c>
      <c r="AC148">
        <v>607.14300000000003</v>
      </c>
      <c r="AD148">
        <v>611.15899999999999</v>
      </c>
      <c r="AE148">
        <v>599.65</v>
      </c>
      <c r="AF148">
        <v>611.72900000000004</v>
      </c>
      <c r="AG148">
        <v>598.88300000000004</v>
      </c>
      <c r="AH148">
        <v>607.98699999999997</v>
      </c>
      <c r="AI148">
        <v>614.71</v>
      </c>
      <c r="AJ148">
        <v>617.13900000000001</v>
      </c>
      <c r="AK148">
        <v>610.64700000000005</v>
      </c>
      <c r="AL148">
        <v>598.61</v>
      </c>
      <c r="AM148">
        <v>591.43200000000002</v>
      </c>
      <c r="AN148">
        <v>608.26900000000001</v>
      </c>
      <c r="AO148">
        <v>601.24400000000003</v>
      </c>
      <c r="AP148">
        <v>597.46500000000003</v>
      </c>
      <c r="AQ148">
        <v>612.47199999999998</v>
      </c>
      <c r="AR148">
        <v>612.12900000000002</v>
      </c>
      <c r="AS148">
        <v>609.28599999999994</v>
      </c>
      <c r="AT148">
        <v>615.40200000000004</v>
      </c>
      <c r="AU148">
        <v>637.65599999999995</v>
      </c>
      <c r="AV148">
        <v>676.73299999999995</v>
      </c>
      <c r="AW148">
        <v>653.79899999999998</v>
      </c>
      <c r="AX148">
        <v>633.22400000000005</v>
      </c>
      <c r="AY148">
        <v>653.40899999999999</v>
      </c>
      <c r="AZ148">
        <v>628.13099999999997</v>
      </c>
      <c r="BA148">
        <v>621.34799999999996</v>
      </c>
      <c r="BB148">
        <v>603.34500000000003</v>
      </c>
      <c r="BC148">
        <v>598.61</v>
      </c>
      <c r="BD148">
        <v>575.70399999999995</v>
      </c>
      <c r="BE148">
        <v>574.49400000000003</v>
      </c>
      <c r="BF148">
        <v>582.19299999999998</v>
      </c>
      <c r="BG148">
        <v>572.08900000000006</v>
      </c>
      <c r="BH148">
        <v>563.97299999999996</v>
      </c>
      <c r="BI148">
        <v>555.89599999999996</v>
      </c>
      <c r="BJ148">
        <v>551.73400000000004</v>
      </c>
      <c r="BK148">
        <v>549.88400000000001</v>
      </c>
      <c r="BL148">
        <v>537.71400000000006</v>
      </c>
      <c r="BM148">
        <v>541.84500000000003</v>
      </c>
      <c r="BN148">
        <v>559.69000000000005</v>
      </c>
      <c r="BO148">
        <v>549.24</v>
      </c>
      <c r="BP148">
        <v>540.46100000000001</v>
      </c>
      <c r="BQ148">
        <v>539.26099999999997</v>
      </c>
    </row>
    <row r="149" spans="1:69" x14ac:dyDescent="0.25">
      <c r="A149" t="s">
        <v>210</v>
      </c>
      <c r="B149">
        <v>1360.29</v>
      </c>
      <c r="C149">
        <v>1380.16</v>
      </c>
      <c r="D149">
        <v>1361.25</v>
      </c>
      <c r="E149">
        <v>1370.15</v>
      </c>
      <c r="F149">
        <v>1357.07</v>
      </c>
      <c r="G149">
        <v>1383.46</v>
      </c>
      <c r="H149">
        <v>1353.86</v>
      </c>
      <c r="I149">
        <v>1419</v>
      </c>
      <c r="J149">
        <v>1451.65</v>
      </c>
      <c r="K149">
        <v>1438.5</v>
      </c>
      <c r="L149">
        <v>1454.25</v>
      </c>
      <c r="M149">
        <v>1501.07</v>
      </c>
      <c r="N149">
        <v>1532.66</v>
      </c>
      <c r="O149">
        <v>1526.22</v>
      </c>
      <c r="P149">
        <v>1538.16</v>
      </c>
      <c r="Q149">
        <v>1597.34</v>
      </c>
      <c r="R149">
        <v>1613.42</v>
      </c>
      <c r="S149">
        <v>1532.55</v>
      </c>
      <c r="T149">
        <v>1509.12</v>
      </c>
      <c r="U149">
        <v>1547.24</v>
      </c>
      <c r="V149">
        <v>1534.98</v>
      </c>
      <c r="W149">
        <v>1673.67</v>
      </c>
      <c r="X149">
        <v>1615.18</v>
      </c>
      <c r="Y149">
        <v>1640.69</v>
      </c>
      <c r="Z149">
        <v>1564.02</v>
      </c>
      <c r="AA149">
        <v>1574.62</v>
      </c>
      <c r="AB149">
        <v>1500.39</v>
      </c>
      <c r="AC149">
        <v>1420.31</v>
      </c>
      <c r="AD149">
        <v>1241.72</v>
      </c>
      <c r="AE149">
        <v>1591.42</v>
      </c>
      <c r="AF149">
        <v>1475.5</v>
      </c>
      <c r="AG149">
        <v>951.13</v>
      </c>
      <c r="AH149">
        <v>839.35</v>
      </c>
      <c r="AI149">
        <v>839.48</v>
      </c>
      <c r="AJ149">
        <v>766.41</v>
      </c>
      <c r="AK149">
        <v>769.1</v>
      </c>
      <c r="AL149">
        <v>768.7</v>
      </c>
      <c r="AM149">
        <v>783.06</v>
      </c>
      <c r="AN149">
        <v>472.2</v>
      </c>
      <c r="AO149">
        <v>463.42</v>
      </c>
      <c r="AP149">
        <v>462.39</v>
      </c>
      <c r="AQ149">
        <v>460.7</v>
      </c>
      <c r="AR149">
        <v>460.2</v>
      </c>
      <c r="AS149">
        <v>460.57</v>
      </c>
      <c r="AT149">
        <v>444.6</v>
      </c>
      <c r="AU149">
        <v>442.98</v>
      </c>
      <c r="AV149">
        <v>440.48</v>
      </c>
      <c r="AW149">
        <v>434.86</v>
      </c>
      <c r="AX149">
        <v>424.83</v>
      </c>
      <c r="AY149">
        <v>423.62</v>
      </c>
      <c r="AZ149">
        <v>416.6</v>
      </c>
      <c r="BA149">
        <v>415.41</v>
      </c>
      <c r="BB149">
        <v>414.94</v>
      </c>
      <c r="BC149">
        <v>415.71</v>
      </c>
      <c r="BD149">
        <v>416</v>
      </c>
      <c r="BE149">
        <v>414.43</v>
      </c>
      <c r="BF149">
        <v>413.56</v>
      </c>
      <c r="BG149">
        <v>418.6</v>
      </c>
      <c r="BH149">
        <v>413.53</v>
      </c>
      <c r="BI149">
        <v>411.33</v>
      </c>
      <c r="BJ149">
        <v>411.19</v>
      </c>
      <c r="BK149">
        <v>410.98</v>
      </c>
      <c r="BL149">
        <v>411</v>
      </c>
      <c r="BM149">
        <v>409.77</v>
      </c>
      <c r="BN149">
        <v>407.68</v>
      </c>
      <c r="BO149">
        <v>410.29</v>
      </c>
      <c r="BP149">
        <v>392.86</v>
      </c>
      <c r="BQ149">
        <v>392.42</v>
      </c>
    </row>
    <row r="150" spans="1:69" x14ac:dyDescent="0.25">
      <c r="A150" t="s">
        <v>218</v>
      </c>
      <c r="B150">
        <v>1.7110000000000001</v>
      </c>
      <c r="C150">
        <v>1.7290000000000001</v>
      </c>
      <c r="D150">
        <v>1.732</v>
      </c>
      <c r="E150">
        <v>1.6870000000000001</v>
      </c>
      <c r="F150">
        <v>1.7110000000000001</v>
      </c>
      <c r="G150">
        <v>1.7010000000000001</v>
      </c>
      <c r="H150">
        <v>1.649</v>
      </c>
      <c r="I150">
        <v>1.7410000000000001</v>
      </c>
      <c r="J150">
        <v>1.716</v>
      </c>
      <c r="K150">
        <v>1.7669999999999999</v>
      </c>
      <c r="L150">
        <v>1.7470000000000001</v>
      </c>
      <c r="M150">
        <v>1.6830000000000001</v>
      </c>
      <c r="N150">
        <v>1.6719999999999999</v>
      </c>
      <c r="O150">
        <v>1.6639999999999999</v>
      </c>
      <c r="P150">
        <v>1.6539999999999999</v>
      </c>
      <c r="Q150">
        <v>1.6910000000000001</v>
      </c>
      <c r="R150">
        <v>1.712</v>
      </c>
      <c r="S150">
        <v>1.752</v>
      </c>
      <c r="T150">
        <v>1.7809999999999999</v>
      </c>
      <c r="U150">
        <v>1.8</v>
      </c>
      <c r="V150">
        <v>1.7290000000000001</v>
      </c>
      <c r="W150">
        <v>1.6919999999999999</v>
      </c>
      <c r="X150">
        <v>1.641</v>
      </c>
      <c r="Y150">
        <v>1.6319999999999999</v>
      </c>
      <c r="Z150">
        <v>1.65</v>
      </c>
      <c r="AA150">
        <v>1.6319999999999999</v>
      </c>
      <c r="AB150">
        <v>1.609</v>
      </c>
      <c r="AC150">
        <v>1.66</v>
      </c>
      <c r="AD150">
        <v>1.6679999999999999</v>
      </c>
      <c r="AE150">
        <v>1.6240000000000001</v>
      </c>
      <c r="AF150">
        <v>1.6479999999999999</v>
      </c>
      <c r="AG150">
        <v>1.607</v>
      </c>
      <c r="AH150">
        <v>1.6359999999999999</v>
      </c>
      <c r="AI150">
        <v>1.7030000000000001</v>
      </c>
      <c r="AJ150">
        <v>1.659</v>
      </c>
      <c r="AK150">
        <v>1.6890000000000001</v>
      </c>
      <c r="AL150">
        <v>1.671</v>
      </c>
      <c r="AM150">
        <v>1.5960000000000001</v>
      </c>
      <c r="AN150">
        <v>1.6279999999999999</v>
      </c>
      <c r="AO150">
        <v>1.5860000000000001</v>
      </c>
      <c r="AP150">
        <v>1.607</v>
      </c>
      <c r="AQ150">
        <v>1.607</v>
      </c>
      <c r="AR150">
        <v>1.5720000000000001</v>
      </c>
      <c r="AS150">
        <v>1.573</v>
      </c>
      <c r="AT150">
        <v>1.5349999999999999</v>
      </c>
      <c r="AU150">
        <v>1.6439999999999999</v>
      </c>
      <c r="AV150">
        <v>1.788</v>
      </c>
      <c r="AW150">
        <v>1.655</v>
      </c>
      <c r="AX150">
        <v>1.5489999999999999</v>
      </c>
      <c r="AY150">
        <v>1.6359999999999999</v>
      </c>
      <c r="AZ150">
        <v>1.591</v>
      </c>
      <c r="BA150">
        <v>1.571</v>
      </c>
      <c r="BB150">
        <v>1.4570000000000001</v>
      </c>
      <c r="BC150">
        <v>1.462</v>
      </c>
      <c r="BD150">
        <v>1.4950000000000001</v>
      </c>
      <c r="BE150">
        <v>1.4630000000000001</v>
      </c>
      <c r="BF150">
        <v>1.47</v>
      </c>
      <c r="BG150">
        <v>1.421</v>
      </c>
      <c r="BH150">
        <v>1.452</v>
      </c>
      <c r="BI150">
        <v>1.4059999999999999</v>
      </c>
      <c r="BJ150">
        <v>1.429</v>
      </c>
      <c r="BK150">
        <v>1.42</v>
      </c>
      <c r="BL150">
        <v>1.37</v>
      </c>
      <c r="BM150">
        <v>1.3819999999999999</v>
      </c>
      <c r="BN150">
        <v>1.4330000000000001</v>
      </c>
      <c r="BO150">
        <v>1.3859999999999999</v>
      </c>
      <c r="BP150">
        <v>1.381</v>
      </c>
      <c r="BQ150">
        <v>1.3939999999999999</v>
      </c>
    </row>
    <row r="151" spans="1:69" x14ac:dyDescent="0.25">
      <c r="A151" t="s">
        <v>191</v>
      </c>
      <c r="B151">
        <v>53.098999999999997</v>
      </c>
      <c r="C151">
        <v>53.765999999999998</v>
      </c>
      <c r="D151">
        <v>53.326000000000001</v>
      </c>
      <c r="E151">
        <v>52.459000000000003</v>
      </c>
      <c r="F151">
        <v>52.628999999999998</v>
      </c>
      <c r="G151">
        <v>53.28</v>
      </c>
      <c r="H151">
        <v>51.72</v>
      </c>
      <c r="I151">
        <v>52.74</v>
      </c>
      <c r="J151">
        <v>52.35</v>
      </c>
      <c r="K151">
        <v>53.134999999999998</v>
      </c>
      <c r="L151">
        <v>53.15</v>
      </c>
      <c r="M151">
        <v>52.198999999999998</v>
      </c>
      <c r="N151">
        <v>52.277999999999999</v>
      </c>
      <c r="O151">
        <v>52.59</v>
      </c>
      <c r="P151">
        <v>53.478000000000002</v>
      </c>
      <c r="Q151">
        <v>55.15</v>
      </c>
      <c r="R151">
        <v>54.084000000000003</v>
      </c>
      <c r="S151">
        <v>56.46</v>
      </c>
      <c r="T151">
        <v>59.118000000000002</v>
      </c>
      <c r="U151">
        <v>60.085999999999999</v>
      </c>
      <c r="V151">
        <v>58.387</v>
      </c>
      <c r="W151">
        <v>57.790999999999997</v>
      </c>
      <c r="X151">
        <v>56.11</v>
      </c>
      <c r="Y151">
        <v>55.661000000000001</v>
      </c>
      <c r="Z151">
        <v>56.36</v>
      </c>
      <c r="AA151">
        <v>56.392000000000003</v>
      </c>
      <c r="AB151">
        <v>56.74</v>
      </c>
      <c r="AC151">
        <v>56.972999999999999</v>
      </c>
      <c r="AD151">
        <v>57.07</v>
      </c>
      <c r="AE151">
        <v>56.094999999999999</v>
      </c>
      <c r="AF151">
        <v>57.223999999999997</v>
      </c>
      <c r="AG151">
        <v>55.917999999999999</v>
      </c>
      <c r="AH151">
        <v>56.859000000000002</v>
      </c>
      <c r="AI151">
        <v>57.478999999999999</v>
      </c>
      <c r="AJ151">
        <v>57.591000000000001</v>
      </c>
      <c r="AK151">
        <v>57.2</v>
      </c>
      <c r="AL151">
        <v>55.732999999999997</v>
      </c>
      <c r="AM151">
        <v>55.43</v>
      </c>
      <c r="AN151">
        <v>56.884999999999998</v>
      </c>
      <c r="AO151">
        <v>56.177999999999997</v>
      </c>
      <c r="AP151">
        <v>55.981000000000002</v>
      </c>
      <c r="AQ151">
        <v>57.368000000000002</v>
      </c>
      <c r="AR151">
        <v>57.228000000000002</v>
      </c>
      <c r="AS151">
        <v>56.951999999999998</v>
      </c>
      <c r="AT151">
        <v>57.655000000000001</v>
      </c>
      <c r="AU151">
        <v>59.478000000000002</v>
      </c>
      <c r="AV151">
        <v>63.234999999999999</v>
      </c>
      <c r="AW151">
        <v>61.112000000000002</v>
      </c>
      <c r="AX151">
        <v>59.213000000000001</v>
      </c>
      <c r="AY151">
        <v>61.192</v>
      </c>
      <c r="AZ151">
        <v>58.642000000000003</v>
      </c>
      <c r="BA151">
        <v>58.176000000000002</v>
      </c>
      <c r="BB151">
        <v>56.54</v>
      </c>
      <c r="BC151">
        <v>56.04</v>
      </c>
      <c r="BD151">
        <v>53.838999999999999</v>
      </c>
      <c r="BE151">
        <v>53.731000000000002</v>
      </c>
      <c r="BF151">
        <v>54.500999999999998</v>
      </c>
      <c r="BG151">
        <v>52.566000000000003</v>
      </c>
      <c r="BH151">
        <v>52.774999999999999</v>
      </c>
      <c r="BI151">
        <v>51.941000000000003</v>
      </c>
      <c r="BJ151">
        <v>51.597000000000001</v>
      </c>
      <c r="BK151">
        <v>51.41</v>
      </c>
      <c r="BL151">
        <v>50.277999999999999</v>
      </c>
      <c r="BM151">
        <v>50.664999999999999</v>
      </c>
      <c r="BN151">
        <v>52.347999999999999</v>
      </c>
      <c r="BO151">
        <v>50.052999999999997</v>
      </c>
      <c r="BP151">
        <v>50.578000000000003</v>
      </c>
      <c r="BQ151">
        <v>49.795000000000002</v>
      </c>
    </row>
    <row r="152" spans="1:69" x14ac:dyDescent="0.25">
      <c r="A152" t="s">
        <v>124</v>
      </c>
      <c r="B152">
        <v>1</v>
      </c>
      <c r="C152">
        <v>1</v>
      </c>
      <c r="D152">
        <v>1</v>
      </c>
      <c r="E152">
        <v>1</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c r="BO152">
        <v>1</v>
      </c>
      <c r="BP152">
        <v>1</v>
      </c>
      <c r="BQ152">
        <v>1</v>
      </c>
    </row>
    <row r="153" spans="1:69" x14ac:dyDescent="0.25">
      <c r="A153" t="s">
        <v>214</v>
      </c>
      <c r="B153">
        <v>9.5079999999999991</v>
      </c>
      <c r="C153">
        <v>9.7650000000000006</v>
      </c>
      <c r="D153">
        <v>9.5239999999999991</v>
      </c>
      <c r="E153">
        <v>9.18</v>
      </c>
      <c r="F153">
        <v>9.48</v>
      </c>
      <c r="G153">
        <v>9.6720000000000006</v>
      </c>
      <c r="H153">
        <v>9.468</v>
      </c>
      <c r="I153">
        <v>10.083</v>
      </c>
      <c r="J153">
        <v>10.08</v>
      </c>
      <c r="K153">
        <v>10.093</v>
      </c>
      <c r="L153">
        <v>10.095000000000001</v>
      </c>
      <c r="M153">
        <v>9.9160000000000004</v>
      </c>
      <c r="N153">
        <v>10.19</v>
      </c>
      <c r="O153">
        <v>10.125</v>
      </c>
      <c r="P153">
        <v>10.084</v>
      </c>
      <c r="Q153">
        <v>10.391</v>
      </c>
      <c r="R153">
        <v>10.646000000000001</v>
      </c>
      <c r="S153">
        <v>10.664999999999999</v>
      </c>
      <c r="T153">
        <v>11.281000000000001</v>
      </c>
      <c r="U153">
        <v>11.472</v>
      </c>
      <c r="V153">
        <v>11.146000000000001</v>
      </c>
      <c r="W153">
        <v>11.106</v>
      </c>
      <c r="X153">
        <v>10.706</v>
      </c>
      <c r="Y153">
        <v>10.853999999999999</v>
      </c>
      <c r="Z153">
        <v>10.78</v>
      </c>
      <c r="AA153">
        <v>10.686999999999999</v>
      </c>
      <c r="AB153">
        <v>10.497</v>
      </c>
      <c r="AC153">
        <v>10.816000000000001</v>
      </c>
      <c r="AD153">
        <v>10.824</v>
      </c>
      <c r="AE153">
        <v>10.476000000000001</v>
      </c>
      <c r="AF153">
        <v>10.608000000000001</v>
      </c>
      <c r="AG153">
        <v>10.335000000000001</v>
      </c>
      <c r="AH153">
        <v>10.952</v>
      </c>
      <c r="AI153">
        <v>11.129</v>
      </c>
      <c r="AJ153">
        <v>10.824999999999999</v>
      </c>
      <c r="AK153">
        <v>10.682</v>
      </c>
      <c r="AL153">
        <v>10.455</v>
      </c>
      <c r="AM153">
        <v>10.173</v>
      </c>
      <c r="AN153">
        <v>10.694000000000001</v>
      </c>
      <c r="AO153">
        <v>10.644</v>
      </c>
      <c r="AP153">
        <v>10.444000000000001</v>
      </c>
      <c r="AQ153">
        <v>10.629</v>
      </c>
      <c r="AR153">
        <v>10.108000000000001</v>
      </c>
      <c r="AS153">
        <v>9.9640000000000004</v>
      </c>
      <c r="AT153">
        <v>9.76</v>
      </c>
      <c r="AU153">
        <v>9.9480000000000004</v>
      </c>
      <c r="AV153">
        <v>10.773</v>
      </c>
      <c r="AW153">
        <v>10.02</v>
      </c>
      <c r="AX153">
        <v>9.4719999999999995</v>
      </c>
      <c r="AY153">
        <v>10.237</v>
      </c>
      <c r="AZ153">
        <v>9.8699999999999992</v>
      </c>
      <c r="BA153">
        <v>9.6489999999999991</v>
      </c>
      <c r="BB153">
        <v>8.7530000000000001</v>
      </c>
      <c r="BC153">
        <v>8.94</v>
      </c>
      <c r="BD153">
        <v>8.8190000000000008</v>
      </c>
      <c r="BE153">
        <v>8.6880000000000006</v>
      </c>
      <c r="BF153">
        <v>9.048</v>
      </c>
      <c r="BG153">
        <v>8.673</v>
      </c>
      <c r="BH153">
        <v>8.7390000000000008</v>
      </c>
      <c r="BI153">
        <v>8.6440000000000001</v>
      </c>
      <c r="BJ153">
        <v>8.7490000000000006</v>
      </c>
      <c r="BK153">
        <v>8.5169999999999995</v>
      </c>
      <c r="BL153">
        <v>8.3520000000000003</v>
      </c>
      <c r="BM153">
        <v>8.2029999999999994</v>
      </c>
      <c r="BN153">
        <v>8.5630000000000006</v>
      </c>
      <c r="BO153">
        <v>8.4529999999999994</v>
      </c>
      <c r="BP153">
        <v>8.4529999999999994</v>
      </c>
      <c r="BQ153">
        <v>8.5009999999999994</v>
      </c>
    </row>
    <row r="154" spans="1:69" x14ac:dyDescent="0.25">
      <c r="A154" t="s">
        <v>220</v>
      </c>
      <c r="B154">
        <v>0.38400000000000001</v>
      </c>
      <c r="C154">
        <v>0.38400000000000001</v>
      </c>
      <c r="D154">
        <v>0.38400000000000001</v>
      </c>
      <c r="E154">
        <v>0.38500000000000001</v>
      </c>
      <c r="F154">
        <v>0.38500000000000001</v>
      </c>
      <c r="G154">
        <v>0.38500000000000001</v>
      </c>
      <c r="H154">
        <v>0.38500000000000001</v>
      </c>
      <c r="I154">
        <v>0.38500000000000001</v>
      </c>
      <c r="J154">
        <v>0.38500000000000001</v>
      </c>
      <c r="K154">
        <v>0.38500000000000001</v>
      </c>
      <c r="L154">
        <v>0.38400000000000001</v>
      </c>
      <c r="M154">
        <v>0.38500000000000001</v>
      </c>
      <c r="N154">
        <v>0.38500000000000001</v>
      </c>
      <c r="O154">
        <v>0.38500000000000001</v>
      </c>
      <c r="P154">
        <v>0.38500000000000001</v>
      </c>
      <c r="Q154">
        <v>0.38500000000000001</v>
      </c>
      <c r="R154">
        <v>0.38500000000000001</v>
      </c>
      <c r="S154">
        <v>0.38500000000000001</v>
      </c>
      <c r="T154">
        <v>0.38500000000000001</v>
      </c>
      <c r="U154">
        <v>0.38500000000000001</v>
      </c>
      <c r="V154">
        <v>0.38500000000000001</v>
      </c>
      <c r="W154">
        <v>0.38500000000000001</v>
      </c>
      <c r="X154">
        <v>0.38500000000000001</v>
      </c>
      <c r="Y154">
        <v>0.38500000000000001</v>
      </c>
      <c r="Z154">
        <v>0.38500000000000001</v>
      </c>
      <c r="AA154">
        <v>0.38500000000000001</v>
      </c>
      <c r="AB154">
        <v>0.38500000000000001</v>
      </c>
      <c r="AC154">
        <v>0.38500000000000001</v>
      </c>
      <c r="AD154">
        <v>0.38500000000000001</v>
      </c>
      <c r="AE154">
        <v>0.38400000000000001</v>
      </c>
      <c r="AF154">
        <v>0.38400000000000001</v>
      </c>
      <c r="AG154">
        <v>0.38500000000000001</v>
      </c>
      <c r="AH154">
        <v>0.38500000000000001</v>
      </c>
      <c r="AI154">
        <v>0.38500000000000001</v>
      </c>
      <c r="AJ154">
        <v>0.38500000000000001</v>
      </c>
      <c r="AK154">
        <v>0.38500000000000001</v>
      </c>
      <c r="AL154">
        <v>0.38500000000000001</v>
      </c>
      <c r="AM154">
        <v>0.38400000000000001</v>
      </c>
      <c r="AN154">
        <v>0.38400000000000001</v>
      </c>
      <c r="AO154">
        <v>0.38500000000000001</v>
      </c>
      <c r="AP154">
        <v>0.38500000000000001</v>
      </c>
      <c r="AQ154">
        <v>0.38400000000000001</v>
      </c>
      <c r="AR154">
        <v>0.38400000000000001</v>
      </c>
      <c r="AS154">
        <v>0.38400000000000001</v>
      </c>
      <c r="AT154">
        <v>0.38500000000000001</v>
      </c>
      <c r="AU154">
        <v>0.38500000000000001</v>
      </c>
      <c r="AV154">
        <v>0.38500000000000001</v>
      </c>
      <c r="AW154">
        <v>0.38500000000000001</v>
      </c>
      <c r="AX154">
        <v>0.38400000000000001</v>
      </c>
      <c r="AY154">
        <v>0.38500000000000001</v>
      </c>
      <c r="AZ154">
        <v>0.38400000000000001</v>
      </c>
      <c r="BA154">
        <v>0.38400000000000001</v>
      </c>
      <c r="BB154">
        <v>0.38500000000000001</v>
      </c>
      <c r="BC154">
        <v>0.38500000000000001</v>
      </c>
      <c r="BD154">
        <v>0.38500000000000001</v>
      </c>
      <c r="BE154">
        <v>0.38500000000000001</v>
      </c>
      <c r="BF154">
        <v>0.38500000000000001</v>
      </c>
      <c r="BG154">
        <v>0.38500000000000001</v>
      </c>
      <c r="BH154">
        <v>0.38400000000000001</v>
      </c>
      <c r="BI154">
        <v>0.38400000000000001</v>
      </c>
      <c r="BJ154">
        <v>0.38500000000000001</v>
      </c>
      <c r="BK154">
        <v>0.38500000000000001</v>
      </c>
      <c r="BL154">
        <v>0.38500000000000001</v>
      </c>
      <c r="BM154">
        <v>0.38400000000000001</v>
      </c>
      <c r="BN154">
        <v>0.38500000000000001</v>
      </c>
      <c r="BO154">
        <v>0.38500000000000001</v>
      </c>
      <c r="BP154">
        <v>0.38400000000000001</v>
      </c>
      <c r="BQ154">
        <v>0.38400000000000001</v>
      </c>
    </row>
    <row r="155" spans="1:69" x14ac:dyDescent="0.25">
      <c r="A155" t="s">
        <v>229</v>
      </c>
      <c r="B155">
        <v>277.55</v>
      </c>
      <c r="C155">
        <v>278.02499999999998</v>
      </c>
      <c r="D155">
        <v>278.22500000000002</v>
      </c>
      <c r="E155">
        <v>278.52499999999998</v>
      </c>
      <c r="F155">
        <v>279.12099999999998</v>
      </c>
      <c r="G155">
        <v>279.33</v>
      </c>
      <c r="H155">
        <v>279.52300000000002</v>
      </c>
      <c r="I155">
        <v>279.947</v>
      </c>
      <c r="J155">
        <v>280.35000000000002</v>
      </c>
      <c r="K155">
        <v>280.94799999999998</v>
      </c>
      <c r="L155">
        <v>281.39999999999998</v>
      </c>
      <c r="M155">
        <v>281.47500000000002</v>
      </c>
      <c r="N155">
        <v>282.07499999999999</v>
      </c>
      <c r="O155">
        <v>284.274</v>
      </c>
      <c r="P155">
        <v>282.39999999999998</v>
      </c>
      <c r="Q155">
        <v>281.56700000000001</v>
      </c>
      <c r="R155">
        <v>280.21300000000002</v>
      </c>
      <c r="S155">
        <v>279.59399999999999</v>
      </c>
      <c r="T155">
        <v>278.899</v>
      </c>
      <c r="U155">
        <v>278.625</v>
      </c>
      <c r="V155">
        <v>277.89999999999998</v>
      </c>
      <c r="W155">
        <v>277.875</v>
      </c>
      <c r="X155">
        <v>277.91800000000001</v>
      </c>
      <c r="Y155">
        <v>278.7</v>
      </c>
      <c r="Z155">
        <v>278.52600000000001</v>
      </c>
      <c r="AA155">
        <v>278.52999999999997</v>
      </c>
      <c r="AB155">
        <v>278.17599999999999</v>
      </c>
      <c r="AC155">
        <v>278.11599999999999</v>
      </c>
      <c r="AD155">
        <v>277.87</v>
      </c>
      <c r="AE155">
        <v>279.25</v>
      </c>
      <c r="AF155">
        <v>279.25</v>
      </c>
      <c r="AG155">
        <v>280.75</v>
      </c>
      <c r="AH155">
        <v>283.01299999999998</v>
      </c>
      <c r="AI155">
        <v>285.34100000000001</v>
      </c>
      <c r="AJ155">
        <v>279.10000000000002</v>
      </c>
      <c r="AK155">
        <v>295.90899999999999</v>
      </c>
      <c r="AL155">
        <v>287.54000000000002</v>
      </c>
      <c r="AM155">
        <v>276.47300000000001</v>
      </c>
      <c r="AN155">
        <v>283.56</v>
      </c>
      <c r="AO155">
        <v>295.5</v>
      </c>
      <c r="AP155">
        <v>287.03500000000003</v>
      </c>
      <c r="AQ155">
        <v>281.34300000000002</v>
      </c>
      <c r="AR155">
        <v>269.375</v>
      </c>
      <c r="AS155">
        <v>227.75</v>
      </c>
      <c r="AT155">
        <v>224.75</v>
      </c>
      <c r="AU155">
        <v>221.25</v>
      </c>
      <c r="AV155">
        <v>217.161</v>
      </c>
      <c r="AW155">
        <v>231.93600000000001</v>
      </c>
      <c r="AX155">
        <v>217</v>
      </c>
      <c r="AY155">
        <v>209.99</v>
      </c>
      <c r="AZ155">
        <v>203.69499999999999</v>
      </c>
      <c r="BA155">
        <v>189.88</v>
      </c>
      <c r="BB155">
        <v>181.34</v>
      </c>
      <c r="BC155">
        <v>178.55</v>
      </c>
      <c r="BD155">
        <v>174.43</v>
      </c>
      <c r="BE155">
        <v>176.03100000000001</v>
      </c>
      <c r="BF155">
        <v>175.977</v>
      </c>
      <c r="BG155">
        <v>171.73</v>
      </c>
      <c r="BH155">
        <v>170.24299999999999</v>
      </c>
      <c r="BI155">
        <v>165.27</v>
      </c>
      <c r="BJ155">
        <v>161.5</v>
      </c>
      <c r="BK155">
        <v>157.59800000000001</v>
      </c>
      <c r="BL155">
        <v>154.316</v>
      </c>
      <c r="BM155">
        <v>153.18899999999999</v>
      </c>
      <c r="BN155">
        <v>152.63999999999999</v>
      </c>
      <c r="BO155">
        <v>158.02000000000001</v>
      </c>
      <c r="BP155">
        <v>160.21899999999999</v>
      </c>
      <c r="BQ155">
        <v>160</v>
      </c>
    </row>
    <row r="156" spans="1:69" x14ac:dyDescent="0.25">
      <c r="A156" t="s">
        <v>124</v>
      </c>
      <c r="B156">
        <v>1</v>
      </c>
      <c r="C156">
        <v>1</v>
      </c>
      <c r="D156">
        <v>1</v>
      </c>
      <c r="E156">
        <v>1</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row>
    <row r="157" spans="1:69" x14ac:dyDescent="0.25">
      <c r="A157" t="s">
        <v>222</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row>
    <row r="158" spans="1:69" x14ac:dyDescent="0.25">
      <c r="A158" t="s">
        <v>226</v>
      </c>
      <c r="B158">
        <v>4.3310000000000004</v>
      </c>
      <c r="C158">
        <v>4.2939999999999996</v>
      </c>
      <c r="D158">
        <v>4.25</v>
      </c>
      <c r="E158">
        <v>4.2430000000000003</v>
      </c>
      <c r="F158">
        <v>4.2050000000000001</v>
      </c>
      <c r="G158">
        <v>4.1890000000000001</v>
      </c>
      <c r="H158">
        <v>4.1820000000000004</v>
      </c>
      <c r="I158">
        <v>4.165</v>
      </c>
      <c r="J158">
        <v>4.1529999999999996</v>
      </c>
      <c r="K158">
        <v>4.2119999999999997</v>
      </c>
      <c r="L158">
        <v>4.1909999999999998</v>
      </c>
      <c r="M158">
        <v>4.1719999999999997</v>
      </c>
      <c r="N158">
        <v>4.1269999999999998</v>
      </c>
      <c r="O158">
        <v>4.1280000000000001</v>
      </c>
      <c r="P158">
        <v>4.1050000000000004</v>
      </c>
      <c r="Q158">
        <v>4.085</v>
      </c>
      <c r="R158">
        <v>4.0629999999999997</v>
      </c>
      <c r="S158">
        <v>4.0209999999999999</v>
      </c>
      <c r="T158">
        <v>4.01</v>
      </c>
      <c r="U158">
        <v>3.992</v>
      </c>
      <c r="V158">
        <v>3.9790000000000001</v>
      </c>
      <c r="W158">
        <v>3.9540000000000002</v>
      </c>
      <c r="X158">
        <v>3.8879999999999999</v>
      </c>
      <c r="Y158">
        <v>3.8879999999999999</v>
      </c>
      <c r="Z158">
        <v>3.8540000000000001</v>
      </c>
      <c r="AA158">
        <v>3.8370000000000002</v>
      </c>
      <c r="AB158">
        <v>3.8370000000000002</v>
      </c>
      <c r="AC158">
        <v>3.8039999999999998</v>
      </c>
      <c r="AD158">
        <v>3.7789999999999999</v>
      </c>
      <c r="AE158">
        <v>3.7650000000000001</v>
      </c>
      <c r="AF158">
        <v>3.7269999999999999</v>
      </c>
      <c r="AG158">
        <v>3.7269999999999999</v>
      </c>
      <c r="AH158">
        <v>3.7240000000000002</v>
      </c>
      <c r="AI158">
        <v>3.7109999999999999</v>
      </c>
      <c r="AJ158">
        <v>3.6629999999999998</v>
      </c>
      <c r="AK158">
        <v>3.61</v>
      </c>
      <c r="AL158">
        <v>3.5840000000000001</v>
      </c>
      <c r="AM158">
        <v>3.5710000000000002</v>
      </c>
      <c r="AN158">
        <v>3.5459999999999998</v>
      </c>
      <c r="AO158">
        <v>3.5209999999999999</v>
      </c>
      <c r="AP158">
        <v>3.5209999999999999</v>
      </c>
      <c r="AQ158">
        <v>3.5209999999999999</v>
      </c>
      <c r="AR158">
        <v>3.5209999999999999</v>
      </c>
      <c r="AS158">
        <v>3.5209999999999999</v>
      </c>
      <c r="AT158">
        <v>3.5209999999999999</v>
      </c>
      <c r="AU158">
        <v>3.5209999999999999</v>
      </c>
      <c r="AV158">
        <v>3.5209999999999999</v>
      </c>
      <c r="AW158">
        <v>3.5209999999999999</v>
      </c>
      <c r="AX158">
        <v>3.5209999999999999</v>
      </c>
      <c r="AY158">
        <v>3.5209999999999999</v>
      </c>
      <c r="AZ158">
        <v>3.5209999999999999</v>
      </c>
      <c r="BA158">
        <v>3.5209999999999999</v>
      </c>
      <c r="BB158">
        <v>3.5209999999999999</v>
      </c>
      <c r="BC158">
        <v>3.5209999999999999</v>
      </c>
      <c r="BD158">
        <v>3.5089999999999999</v>
      </c>
      <c r="BE158">
        <v>3.5089999999999999</v>
      </c>
      <c r="BF158">
        <v>3.5089999999999999</v>
      </c>
      <c r="BG158">
        <v>3.5089999999999999</v>
      </c>
      <c r="BH158">
        <v>3.5089999999999999</v>
      </c>
      <c r="BI158">
        <v>3.5089999999999999</v>
      </c>
      <c r="BJ158">
        <v>3.5089999999999999</v>
      </c>
      <c r="BK158">
        <v>3.5089999999999999</v>
      </c>
      <c r="BL158">
        <v>3.5089999999999999</v>
      </c>
      <c r="BM158">
        <v>3.5089999999999999</v>
      </c>
      <c r="BN158">
        <v>3.508</v>
      </c>
      <c r="BO158">
        <v>3.508</v>
      </c>
      <c r="BP158">
        <v>3.508</v>
      </c>
      <c r="BQ158">
        <v>3.5089999999999999</v>
      </c>
    </row>
    <row r="159" spans="1:69" x14ac:dyDescent="0.25">
      <c r="A159" t="s">
        <v>233</v>
      </c>
      <c r="B159">
        <v>5967.9</v>
      </c>
      <c r="C159">
        <v>6060</v>
      </c>
      <c r="D159">
        <v>6121.8</v>
      </c>
      <c r="E159">
        <v>6106.8</v>
      </c>
      <c r="F159">
        <v>6385</v>
      </c>
      <c r="G159">
        <v>6435</v>
      </c>
      <c r="H159">
        <v>6540</v>
      </c>
      <c r="I159">
        <v>6769.4</v>
      </c>
      <c r="J159">
        <v>6685</v>
      </c>
      <c r="K159">
        <v>7025</v>
      </c>
      <c r="L159">
        <v>7017.5</v>
      </c>
      <c r="M159">
        <v>7143</v>
      </c>
      <c r="N159">
        <v>7213</v>
      </c>
      <c r="O159">
        <v>7657</v>
      </c>
      <c r="P159">
        <v>7979</v>
      </c>
      <c r="Q159">
        <v>7980</v>
      </c>
      <c r="R159">
        <v>7995</v>
      </c>
      <c r="S159">
        <v>7932</v>
      </c>
      <c r="T159">
        <v>7867</v>
      </c>
      <c r="U159">
        <v>7882</v>
      </c>
      <c r="V159">
        <v>7821</v>
      </c>
      <c r="W159">
        <v>7808</v>
      </c>
      <c r="X159">
        <v>7811</v>
      </c>
      <c r="Y159">
        <v>7725</v>
      </c>
      <c r="Z159">
        <v>7560</v>
      </c>
      <c r="AA159">
        <v>7530</v>
      </c>
      <c r="AB159">
        <v>7513</v>
      </c>
      <c r="AC159">
        <v>7494</v>
      </c>
      <c r="AD159">
        <v>7385</v>
      </c>
      <c r="AE159">
        <v>7293</v>
      </c>
      <c r="AF159">
        <v>7278</v>
      </c>
      <c r="AG159">
        <v>7272</v>
      </c>
      <c r="AH159">
        <v>7321</v>
      </c>
      <c r="AI159">
        <v>7440</v>
      </c>
      <c r="AJ159">
        <v>7318</v>
      </c>
      <c r="AK159">
        <v>7273</v>
      </c>
      <c r="AL159">
        <v>7272</v>
      </c>
      <c r="AM159">
        <v>7258</v>
      </c>
      <c r="AN159">
        <v>7237</v>
      </c>
      <c r="AO159">
        <v>7195</v>
      </c>
      <c r="AP159">
        <v>7155</v>
      </c>
      <c r="AQ159">
        <v>7189</v>
      </c>
      <c r="AR159">
        <v>7280</v>
      </c>
      <c r="AS159">
        <v>7379</v>
      </c>
      <c r="AT159">
        <v>7160</v>
      </c>
      <c r="AU159">
        <v>7017</v>
      </c>
      <c r="AV159">
        <v>7105</v>
      </c>
      <c r="AW159">
        <v>6910</v>
      </c>
      <c r="AX159">
        <v>6870</v>
      </c>
      <c r="AY159">
        <v>6850</v>
      </c>
      <c r="AZ159">
        <v>6847</v>
      </c>
      <c r="BA159">
        <v>6865</v>
      </c>
      <c r="BB159">
        <v>6776</v>
      </c>
      <c r="BC159">
        <v>6933</v>
      </c>
      <c r="BD159">
        <v>6925</v>
      </c>
      <c r="BE159">
        <v>6945</v>
      </c>
      <c r="BF159">
        <v>6820</v>
      </c>
      <c r="BG159">
        <v>6905</v>
      </c>
      <c r="BH159">
        <v>6871</v>
      </c>
      <c r="BI159">
        <v>6912</v>
      </c>
      <c r="BJ159">
        <v>6902</v>
      </c>
      <c r="BK159">
        <v>6720</v>
      </c>
      <c r="BL159">
        <v>6752</v>
      </c>
      <c r="BM159">
        <v>6540</v>
      </c>
      <c r="BN159">
        <v>6263</v>
      </c>
      <c r="BO159">
        <v>6610</v>
      </c>
      <c r="BP159">
        <v>6959</v>
      </c>
      <c r="BQ159">
        <v>6787</v>
      </c>
    </row>
    <row r="160" spans="1:69" x14ac:dyDescent="0.25">
      <c r="A160" t="s">
        <v>224</v>
      </c>
      <c r="B160">
        <v>3.3620000000000001</v>
      </c>
      <c r="C160">
        <v>3.3929999999999998</v>
      </c>
      <c r="D160">
        <v>3.407</v>
      </c>
      <c r="E160">
        <v>3.431</v>
      </c>
      <c r="F160">
        <v>3.363</v>
      </c>
      <c r="G160">
        <v>3.43</v>
      </c>
      <c r="H160">
        <v>3.3519999999999999</v>
      </c>
      <c r="I160">
        <v>3.3570000000000002</v>
      </c>
      <c r="J160">
        <v>3.3639999999999999</v>
      </c>
      <c r="K160">
        <v>3.367</v>
      </c>
      <c r="L160">
        <v>3.4220000000000002</v>
      </c>
      <c r="M160">
        <v>3.48</v>
      </c>
      <c r="N160">
        <v>3.5270000000000001</v>
      </c>
      <c r="O160">
        <v>3.5449999999999999</v>
      </c>
      <c r="P160">
        <v>3.6339999999999999</v>
      </c>
      <c r="Q160">
        <v>3.6579999999999999</v>
      </c>
      <c r="R160">
        <v>3.7320000000000002</v>
      </c>
      <c r="S160">
        <v>3.661</v>
      </c>
      <c r="T160">
        <v>3.71</v>
      </c>
      <c r="U160">
        <v>3.7770000000000001</v>
      </c>
      <c r="V160">
        <v>3.718</v>
      </c>
      <c r="W160">
        <v>3.794</v>
      </c>
      <c r="X160">
        <v>3.7690000000000001</v>
      </c>
      <c r="Y160">
        <v>3.8039999999999998</v>
      </c>
      <c r="Z160">
        <v>3.7440000000000002</v>
      </c>
      <c r="AA160">
        <v>3.7719999999999998</v>
      </c>
      <c r="AB160">
        <v>3.77</v>
      </c>
      <c r="AC160">
        <v>3.714</v>
      </c>
      <c r="AD160">
        <v>3.714</v>
      </c>
      <c r="AE160">
        <v>3.68</v>
      </c>
      <c r="AF160">
        <v>3.879</v>
      </c>
      <c r="AG160">
        <v>3.6930000000000001</v>
      </c>
      <c r="AH160">
        <v>3.7839999999999998</v>
      </c>
      <c r="AI160">
        <v>3.8140000000000001</v>
      </c>
      <c r="AJ160">
        <v>3.82</v>
      </c>
      <c r="AK160">
        <v>3.7080000000000002</v>
      </c>
      <c r="AL160">
        <v>3.6619999999999999</v>
      </c>
      <c r="AM160">
        <v>3.605</v>
      </c>
      <c r="AN160">
        <v>3.6360000000000001</v>
      </c>
      <c r="AO160">
        <v>3.6760000000000002</v>
      </c>
      <c r="AP160">
        <v>3.78</v>
      </c>
      <c r="AQ160">
        <v>3.8010000000000002</v>
      </c>
      <c r="AR160">
        <v>3.8490000000000002</v>
      </c>
      <c r="AS160">
        <v>3.7730000000000001</v>
      </c>
      <c r="AT160">
        <v>3.827</v>
      </c>
      <c r="AU160">
        <v>3.855</v>
      </c>
      <c r="AV160">
        <v>3.9780000000000002</v>
      </c>
      <c r="AW160">
        <v>3.871</v>
      </c>
      <c r="AX160">
        <v>3.8969999999999998</v>
      </c>
      <c r="AY160">
        <v>3.9390000000000001</v>
      </c>
      <c r="AZ160">
        <v>3.7959999999999998</v>
      </c>
      <c r="BA160">
        <v>3.78</v>
      </c>
      <c r="BB160">
        <v>3.7120000000000002</v>
      </c>
      <c r="BC160">
        <v>3.6850000000000001</v>
      </c>
      <c r="BD160">
        <v>3.726</v>
      </c>
      <c r="BE160">
        <v>3.895</v>
      </c>
      <c r="BF160">
        <v>4.04</v>
      </c>
      <c r="BG160">
        <v>3.976</v>
      </c>
      <c r="BH160">
        <v>4.125</v>
      </c>
      <c r="BI160">
        <v>4.08</v>
      </c>
      <c r="BJ160">
        <v>3.927</v>
      </c>
      <c r="BK160">
        <v>3.9670000000000001</v>
      </c>
      <c r="BL160">
        <v>3.847</v>
      </c>
      <c r="BM160">
        <v>3.7669999999999999</v>
      </c>
      <c r="BN160">
        <v>3.7530000000000001</v>
      </c>
      <c r="BO160">
        <v>3.6429999999999998</v>
      </c>
      <c r="BP160">
        <v>3.645</v>
      </c>
      <c r="BQ160">
        <v>3.6160000000000001</v>
      </c>
    </row>
    <row r="161" spans="1:69" x14ac:dyDescent="0.25">
      <c r="A161" t="s">
        <v>228</v>
      </c>
      <c r="B161">
        <v>61.337000000000003</v>
      </c>
      <c r="C161">
        <v>61.56</v>
      </c>
      <c r="D161">
        <v>61.347000000000001</v>
      </c>
      <c r="E161">
        <v>61.375</v>
      </c>
      <c r="F161">
        <v>60.14</v>
      </c>
      <c r="G161">
        <v>59.378</v>
      </c>
      <c r="H161">
        <v>58.094999999999999</v>
      </c>
      <c r="I161">
        <v>59.317999999999998</v>
      </c>
      <c r="J161">
        <v>58.98</v>
      </c>
      <c r="K161">
        <v>59.17</v>
      </c>
      <c r="L161">
        <v>58.23</v>
      </c>
      <c r="M161">
        <v>57.18</v>
      </c>
      <c r="N161">
        <v>56.75</v>
      </c>
      <c r="O161">
        <v>56.47</v>
      </c>
      <c r="P161">
        <v>55.847000000000001</v>
      </c>
      <c r="Q161">
        <v>55.750999999999998</v>
      </c>
      <c r="R161">
        <v>56.97</v>
      </c>
      <c r="S161">
        <v>57.343000000000004</v>
      </c>
      <c r="T161">
        <v>58.174999999999997</v>
      </c>
      <c r="U161">
        <v>58.69</v>
      </c>
      <c r="V161">
        <v>58.28</v>
      </c>
      <c r="W161">
        <v>58.710999999999999</v>
      </c>
      <c r="X161">
        <v>57.2</v>
      </c>
      <c r="Y161">
        <v>55.938000000000002</v>
      </c>
      <c r="Z161">
        <v>56.95</v>
      </c>
      <c r="AA161">
        <v>58.284999999999997</v>
      </c>
      <c r="AB161">
        <v>58.582999999999998</v>
      </c>
      <c r="AC161">
        <v>57.835000000000001</v>
      </c>
      <c r="AD161">
        <v>56.49</v>
      </c>
      <c r="AE161">
        <v>55.38</v>
      </c>
      <c r="AF161">
        <v>55.94</v>
      </c>
      <c r="AG161">
        <v>55.975999999999999</v>
      </c>
      <c r="AH161">
        <v>56.057000000000002</v>
      </c>
      <c r="AI161">
        <v>56.030999999999999</v>
      </c>
      <c r="AJ161">
        <v>56.74</v>
      </c>
      <c r="AK161">
        <v>56.704000000000001</v>
      </c>
      <c r="AL161">
        <v>56.313000000000002</v>
      </c>
      <c r="AM161">
        <v>54.920999999999999</v>
      </c>
      <c r="AN161">
        <v>55.921999999999997</v>
      </c>
      <c r="AO161">
        <v>55.75</v>
      </c>
      <c r="AP161">
        <v>55.22</v>
      </c>
      <c r="AQ161">
        <v>54.94</v>
      </c>
      <c r="AR161">
        <v>54.74</v>
      </c>
      <c r="AS161">
        <v>54.78</v>
      </c>
      <c r="AT161">
        <v>55.89</v>
      </c>
      <c r="AU161">
        <v>57.243000000000002</v>
      </c>
      <c r="AV161">
        <v>58.95</v>
      </c>
      <c r="AW161">
        <v>56.774999999999999</v>
      </c>
      <c r="AX161">
        <v>55.28</v>
      </c>
      <c r="AY161">
        <v>56.249000000000002</v>
      </c>
      <c r="AZ161">
        <v>53.29</v>
      </c>
      <c r="BA161">
        <v>52.274999999999999</v>
      </c>
      <c r="BB161">
        <v>52.1</v>
      </c>
      <c r="BC161">
        <v>52.28</v>
      </c>
      <c r="BD161">
        <v>51.314999999999998</v>
      </c>
      <c r="BE161">
        <v>51.19</v>
      </c>
      <c r="BF161">
        <v>50.363999999999997</v>
      </c>
      <c r="BG161">
        <v>50.7</v>
      </c>
      <c r="BH161">
        <v>50.85</v>
      </c>
      <c r="BI161">
        <v>49.82</v>
      </c>
      <c r="BJ161">
        <v>50.305</v>
      </c>
      <c r="BK161">
        <v>48.645000000000003</v>
      </c>
      <c r="BL161">
        <v>48</v>
      </c>
      <c r="BM161">
        <v>48.298000000000002</v>
      </c>
      <c r="BN161">
        <v>48.54</v>
      </c>
      <c r="BO161">
        <v>48.618000000000002</v>
      </c>
      <c r="BP161">
        <v>48.106000000000002</v>
      </c>
      <c r="BQ161">
        <v>48.021000000000001</v>
      </c>
    </row>
    <row r="162" spans="1:69" x14ac:dyDescent="0.25">
      <c r="A162" t="s">
        <v>231</v>
      </c>
      <c r="B162">
        <v>3.73</v>
      </c>
      <c r="C162">
        <v>3.7839999999999998</v>
      </c>
      <c r="D162">
        <v>3.6930000000000001</v>
      </c>
      <c r="E162">
        <v>3.629</v>
      </c>
      <c r="F162">
        <v>3.6280000000000001</v>
      </c>
      <c r="G162">
        <v>3.6989999999999998</v>
      </c>
      <c r="H162">
        <v>3.5449999999999999</v>
      </c>
      <c r="I162">
        <v>3.6150000000000002</v>
      </c>
      <c r="J162">
        <v>3.5979999999999999</v>
      </c>
      <c r="K162">
        <v>3.6579999999999999</v>
      </c>
      <c r="L162">
        <v>3.6829999999999998</v>
      </c>
      <c r="M162">
        <v>3.6339999999999999</v>
      </c>
      <c r="N162">
        <v>3.6360000000000001</v>
      </c>
      <c r="O162">
        <v>3.641</v>
      </c>
      <c r="P162">
        <v>3.7130000000000001</v>
      </c>
      <c r="Q162">
        <v>3.81</v>
      </c>
      <c r="R162">
        <v>3.7759999999999998</v>
      </c>
      <c r="S162">
        <v>3.8540000000000001</v>
      </c>
      <c r="T162">
        <v>4.0339999999999998</v>
      </c>
      <c r="U162">
        <v>4.1840000000000002</v>
      </c>
      <c r="V162">
        <v>4.0650000000000004</v>
      </c>
      <c r="W162">
        <v>4.0990000000000002</v>
      </c>
      <c r="X162">
        <v>3.9239999999999999</v>
      </c>
      <c r="Y162">
        <v>3.8889999999999998</v>
      </c>
      <c r="Z162">
        <v>3.9159999999999999</v>
      </c>
      <c r="AA162">
        <v>3.907</v>
      </c>
      <c r="AB162">
        <v>3.9969999999999999</v>
      </c>
      <c r="AC162">
        <v>3.97</v>
      </c>
      <c r="AD162">
        <v>3.9689999999999999</v>
      </c>
      <c r="AE162">
        <v>3.915</v>
      </c>
      <c r="AF162">
        <v>4.0460000000000003</v>
      </c>
      <c r="AG162">
        <v>3.9689999999999999</v>
      </c>
      <c r="AH162">
        <v>4.0060000000000002</v>
      </c>
      <c r="AI162">
        <v>4.1459999999999999</v>
      </c>
      <c r="AJ162">
        <v>4.2539999999999996</v>
      </c>
      <c r="AK162">
        <v>4.2939999999999996</v>
      </c>
      <c r="AL162">
        <v>4.0540000000000003</v>
      </c>
      <c r="AM162">
        <v>4.0049999999999999</v>
      </c>
      <c r="AN162">
        <v>4.1550000000000002</v>
      </c>
      <c r="AO162">
        <v>4.1550000000000002</v>
      </c>
      <c r="AP162">
        <v>4.2469999999999999</v>
      </c>
      <c r="AQ162">
        <v>4.3730000000000002</v>
      </c>
      <c r="AR162">
        <v>4.4640000000000004</v>
      </c>
      <c r="AS162">
        <v>4.3470000000000004</v>
      </c>
      <c r="AT162">
        <v>4.4020000000000001</v>
      </c>
      <c r="AU162">
        <v>4.5490000000000004</v>
      </c>
      <c r="AV162">
        <v>5</v>
      </c>
      <c r="AW162">
        <v>4.6959999999999997</v>
      </c>
      <c r="AX162">
        <v>4.516</v>
      </c>
      <c r="AY162">
        <v>4.806</v>
      </c>
      <c r="AZ162">
        <v>4.4539999999999997</v>
      </c>
      <c r="BA162">
        <v>4.4160000000000004</v>
      </c>
      <c r="BB162">
        <v>4.2750000000000004</v>
      </c>
      <c r="BC162">
        <v>4.367</v>
      </c>
      <c r="BD162">
        <v>3.9740000000000002</v>
      </c>
      <c r="BE162">
        <v>3.968</v>
      </c>
      <c r="BF162">
        <v>4.16</v>
      </c>
      <c r="BG162">
        <v>3.964</v>
      </c>
      <c r="BH162">
        <v>3.984</v>
      </c>
      <c r="BI162">
        <v>3.8740000000000001</v>
      </c>
      <c r="BJ162">
        <v>3.8490000000000002</v>
      </c>
      <c r="BK162">
        <v>3.7730000000000001</v>
      </c>
      <c r="BL162">
        <v>3.677</v>
      </c>
      <c r="BM162">
        <v>3.774</v>
      </c>
      <c r="BN162">
        <v>3.9729999999999999</v>
      </c>
      <c r="BO162">
        <v>3.6829999999999998</v>
      </c>
      <c r="BP162">
        <v>3.7469999999999999</v>
      </c>
      <c r="BQ162">
        <v>3.7069999999999999</v>
      </c>
    </row>
    <row r="163" spans="1:69" x14ac:dyDescent="0.25">
      <c r="A163" t="s">
        <v>45</v>
      </c>
      <c r="B163">
        <v>0.86699999999999999</v>
      </c>
      <c r="C163">
        <v>0.875</v>
      </c>
      <c r="D163">
        <v>0.86799999999999999</v>
      </c>
      <c r="E163">
        <v>0.85399999999999998</v>
      </c>
      <c r="F163">
        <v>0.85399999999999998</v>
      </c>
      <c r="G163">
        <v>0.86699999999999999</v>
      </c>
      <c r="H163">
        <v>0.84099999999999997</v>
      </c>
      <c r="I163">
        <v>0.85799999999999998</v>
      </c>
      <c r="J163">
        <v>0.85199999999999998</v>
      </c>
      <c r="K163">
        <v>0.86499999999999999</v>
      </c>
      <c r="L163">
        <v>0.86499999999999999</v>
      </c>
      <c r="M163">
        <v>0.85299999999999998</v>
      </c>
      <c r="N163">
        <v>0.85499999999999998</v>
      </c>
      <c r="O163">
        <v>0.85599999999999998</v>
      </c>
      <c r="P163">
        <v>0.872</v>
      </c>
      <c r="Q163">
        <v>0.89700000000000002</v>
      </c>
      <c r="R163">
        <v>0.88</v>
      </c>
      <c r="S163">
        <v>0.91800000000000004</v>
      </c>
      <c r="T163">
        <v>0.96699999999999997</v>
      </c>
      <c r="U163">
        <v>0.98</v>
      </c>
      <c r="V163">
        <v>0.95299999999999996</v>
      </c>
      <c r="W163">
        <v>0.94299999999999995</v>
      </c>
      <c r="X163">
        <v>0.91400000000000003</v>
      </c>
      <c r="Y163">
        <v>0.90800000000000003</v>
      </c>
      <c r="Z163">
        <v>0.91300000000000003</v>
      </c>
      <c r="AA163">
        <v>0.91800000000000004</v>
      </c>
      <c r="AB163">
        <v>0.92300000000000004</v>
      </c>
      <c r="AC163">
        <v>0.92600000000000005</v>
      </c>
      <c r="AD163">
        <v>0.93200000000000005</v>
      </c>
      <c r="AE163">
        <v>0.91400000000000003</v>
      </c>
      <c r="AF163">
        <v>0.93300000000000005</v>
      </c>
      <c r="AG163">
        <v>0.91300000000000003</v>
      </c>
      <c r="AH163">
        <v>0.92700000000000005</v>
      </c>
      <c r="AI163">
        <v>0.93700000000000006</v>
      </c>
      <c r="AJ163">
        <v>0.94099999999999995</v>
      </c>
      <c r="AK163">
        <v>0.93100000000000005</v>
      </c>
      <c r="AL163">
        <v>0.91300000000000003</v>
      </c>
      <c r="AM163">
        <v>0.90200000000000002</v>
      </c>
      <c r="AN163">
        <v>0.92700000000000005</v>
      </c>
      <c r="AO163">
        <v>0.91700000000000004</v>
      </c>
      <c r="AP163">
        <v>0.91100000000000003</v>
      </c>
      <c r="AQ163">
        <v>0.93400000000000005</v>
      </c>
      <c r="AR163">
        <v>0.93300000000000005</v>
      </c>
      <c r="AS163">
        <v>0.92900000000000005</v>
      </c>
      <c r="AT163">
        <v>0.93799999999999994</v>
      </c>
      <c r="AU163">
        <v>0.97199999999999998</v>
      </c>
      <c r="AV163">
        <v>1.032</v>
      </c>
      <c r="AW163">
        <v>0.997</v>
      </c>
      <c r="AX163">
        <v>0.96499999999999997</v>
      </c>
      <c r="AY163">
        <v>0.996</v>
      </c>
      <c r="AZ163">
        <v>0.95799999999999996</v>
      </c>
      <c r="BA163">
        <v>0.94699999999999995</v>
      </c>
      <c r="BB163">
        <v>0.92</v>
      </c>
      <c r="BC163">
        <v>0.91300000000000003</v>
      </c>
      <c r="BD163">
        <v>0.878</v>
      </c>
      <c r="BE163">
        <v>0.876</v>
      </c>
      <c r="BF163">
        <v>0.88800000000000001</v>
      </c>
      <c r="BG163">
        <v>0.872</v>
      </c>
      <c r="BH163">
        <v>0.86</v>
      </c>
      <c r="BI163">
        <v>0.84699999999999998</v>
      </c>
      <c r="BJ163">
        <v>0.84099999999999997</v>
      </c>
      <c r="BK163">
        <v>0.83799999999999997</v>
      </c>
      <c r="BL163">
        <v>0.82</v>
      </c>
      <c r="BM163">
        <v>0.82599999999999996</v>
      </c>
      <c r="BN163">
        <v>0.85299999999999998</v>
      </c>
      <c r="BO163">
        <v>0.83699999999999997</v>
      </c>
      <c r="BP163">
        <v>0.82399999999999995</v>
      </c>
      <c r="BQ163">
        <v>0.82199999999999995</v>
      </c>
    </row>
    <row r="164" spans="1:69" x14ac:dyDescent="0.25">
      <c r="A164" t="s">
        <v>124</v>
      </c>
      <c r="B164">
        <v>1</v>
      </c>
      <c r="C164">
        <v>1</v>
      </c>
      <c r="D164">
        <v>1</v>
      </c>
      <c r="E164">
        <v>1</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row>
    <row r="165" spans="1:69" x14ac:dyDescent="0.25">
      <c r="A165" t="s">
        <v>235</v>
      </c>
      <c r="B165">
        <v>3.641</v>
      </c>
      <c r="C165">
        <v>3.641</v>
      </c>
      <c r="D165">
        <v>3.641</v>
      </c>
      <c r="E165">
        <v>3.641</v>
      </c>
      <c r="F165">
        <v>3.645</v>
      </c>
      <c r="G165">
        <v>3.6459999999999999</v>
      </c>
      <c r="H165">
        <v>3.6459999999999999</v>
      </c>
      <c r="I165">
        <v>3.6469999999999998</v>
      </c>
      <c r="J165">
        <v>3.6440000000000001</v>
      </c>
      <c r="K165">
        <v>3.645</v>
      </c>
      <c r="L165">
        <v>3.645</v>
      </c>
      <c r="M165">
        <v>3.645</v>
      </c>
      <c r="N165">
        <v>3.6440000000000001</v>
      </c>
      <c r="O165">
        <v>3.645</v>
      </c>
      <c r="P165">
        <v>3.645</v>
      </c>
      <c r="Q165">
        <v>3.645</v>
      </c>
      <c r="R165">
        <v>3.645</v>
      </c>
      <c r="S165">
        <v>3.645</v>
      </c>
      <c r="T165">
        <v>3.645</v>
      </c>
      <c r="U165">
        <v>3.645</v>
      </c>
      <c r="V165">
        <v>3.645</v>
      </c>
      <c r="W165">
        <v>3.645</v>
      </c>
      <c r="X165">
        <v>3.645</v>
      </c>
      <c r="Y165">
        <v>3.645</v>
      </c>
      <c r="Z165">
        <v>3.6469999999999998</v>
      </c>
      <c r="AA165">
        <v>3.6459999999999999</v>
      </c>
      <c r="AB165">
        <v>3.645</v>
      </c>
      <c r="AC165">
        <v>3.6459999999999999</v>
      </c>
      <c r="AD165">
        <v>3.645</v>
      </c>
      <c r="AE165">
        <v>3.6469999999999998</v>
      </c>
      <c r="AF165">
        <v>3.6419999999999999</v>
      </c>
      <c r="AG165">
        <v>3.645</v>
      </c>
      <c r="AH165">
        <v>3.6469999999999998</v>
      </c>
      <c r="AI165">
        <v>3.6480000000000001</v>
      </c>
      <c r="AJ165">
        <v>3.6459999999999999</v>
      </c>
      <c r="AK165">
        <v>3.6469999999999998</v>
      </c>
      <c r="AL165">
        <v>3.6459999999999999</v>
      </c>
      <c r="AM165">
        <v>3.6459999999999999</v>
      </c>
      <c r="AN165">
        <v>3.6469999999999998</v>
      </c>
      <c r="AO165">
        <v>3.6480000000000001</v>
      </c>
      <c r="AP165">
        <v>3.6669999999999998</v>
      </c>
      <c r="AQ165">
        <v>3.6549999999999998</v>
      </c>
      <c r="AR165">
        <v>3.641</v>
      </c>
      <c r="AS165">
        <v>3.641</v>
      </c>
      <c r="AT165">
        <v>3.6720000000000002</v>
      </c>
      <c r="AU165">
        <v>3.669</v>
      </c>
      <c r="AV165">
        <v>3.6789999999999998</v>
      </c>
      <c r="AW165">
        <v>3.641</v>
      </c>
      <c r="AX165">
        <v>3.6789999999999998</v>
      </c>
      <c r="AY165">
        <v>3.6760000000000002</v>
      </c>
      <c r="AZ165">
        <v>3.66</v>
      </c>
      <c r="BA165">
        <v>3.6520000000000001</v>
      </c>
      <c r="BB165">
        <v>3.6549999999999998</v>
      </c>
      <c r="BC165">
        <v>3.649</v>
      </c>
      <c r="BD165">
        <v>3.649</v>
      </c>
      <c r="BE165">
        <v>3.6659999999999999</v>
      </c>
      <c r="BF165">
        <v>3.669</v>
      </c>
      <c r="BG165">
        <v>3.653</v>
      </c>
      <c r="BH165">
        <v>3.6720000000000002</v>
      </c>
      <c r="BI165">
        <v>3.694</v>
      </c>
      <c r="BJ165">
        <v>3.6890000000000001</v>
      </c>
      <c r="BK165">
        <v>3.7</v>
      </c>
      <c r="BL165">
        <v>3.6829999999999998</v>
      </c>
      <c r="BM165">
        <v>3.6739999999999999</v>
      </c>
      <c r="BN165">
        <v>3.6739999999999999</v>
      </c>
      <c r="BO165">
        <v>3.67</v>
      </c>
      <c r="BP165">
        <v>3.653</v>
      </c>
      <c r="BQ165">
        <v>3.6709999999999998</v>
      </c>
    </row>
    <row r="166" spans="1:69" x14ac:dyDescent="0.25">
      <c r="A166" t="s">
        <v>45</v>
      </c>
      <c r="B166">
        <v>0.86699999999999999</v>
      </c>
      <c r="C166">
        <v>0.875</v>
      </c>
      <c r="D166">
        <v>0.86799999999999999</v>
      </c>
      <c r="E166">
        <v>0.85399999999999998</v>
      </c>
      <c r="F166">
        <v>0.85399999999999998</v>
      </c>
      <c r="G166">
        <v>0.86699999999999999</v>
      </c>
      <c r="H166">
        <v>0.84099999999999997</v>
      </c>
      <c r="I166">
        <v>0.85799999999999998</v>
      </c>
      <c r="J166">
        <v>0.85199999999999998</v>
      </c>
      <c r="K166">
        <v>0.86499999999999999</v>
      </c>
      <c r="L166">
        <v>0.86499999999999999</v>
      </c>
      <c r="M166">
        <v>0.85299999999999998</v>
      </c>
      <c r="N166">
        <v>0.85499999999999998</v>
      </c>
      <c r="O166">
        <v>0.85599999999999998</v>
      </c>
      <c r="P166">
        <v>0.872</v>
      </c>
      <c r="Q166">
        <v>0.89700000000000002</v>
      </c>
      <c r="R166">
        <v>0.88</v>
      </c>
      <c r="S166">
        <v>0.91800000000000004</v>
      </c>
      <c r="T166">
        <v>0.96699999999999997</v>
      </c>
      <c r="U166">
        <v>0.98</v>
      </c>
      <c r="V166">
        <v>0.95299999999999996</v>
      </c>
      <c r="W166">
        <v>0.94299999999999995</v>
      </c>
      <c r="X166">
        <v>0.91400000000000003</v>
      </c>
      <c r="Y166">
        <v>0.90800000000000003</v>
      </c>
      <c r="Z166">
        <v>0.91300000000000003</v>
      </c>
      <c r="AA166">
        <v>0.91800000000000004</v>
      </c>
      <c r="AB166">
        <v>0.92300000000000004</v>
      </c>
      <c r="AC166">
        <v>0.92600000000000005</v>
      </c>
      <c r="AD166">
        <v>0.93200000000000005</v>
      </c>
      <c r="AE166">
        <v>0.91400000000000003</v>
      </c>
      <c r="AF166">
        <v>0.93300000000000005</v>
      </c>
      <c r="AG166">
        <v>0.91300000000000003</v>
      </c>
      <c r="AH166">
        <v>0.92700000000000005</v>
      </c>
      <c r="AI166">
        <v>0.93700000000000006</v>
      </c>
      <c r="AJ166">
        <v>0.94099999999999995</v>
      </c>
      <c r="AK166">
        <v>0.93100000000000005</v>
      </c>
      <c r="AL166">
        <v>0.91300000000000003</v>
      </c>
      <c r="AM166">
        <v>0.90200000000000002</v>
      </c>
      <c r="AN166">
        <v>0.92700000000000005</v>
      </c>
      <c r="AO166">
        <v>0.91700000000000004</v>
      </c>
      <c r="AP166">
        <v>0.91100000000000003</v>
      </c>
      <c r="AQ166">
        <v>0.93400000000000005</v>
      </c>
      <c r="AR166">
        <v>0.93300000000000005</v>
      </c>
      <c r="AS166">
        <v>0.92900000000000005</v>
      </c>
      <c r="AT166">
        <v>0.93799999999999994</v>
      </c>
      <c r="AU166">
        <v>0.97199999999999998</v>
      </c>
      <c r="AV166">
        <v>1.032</v>
      </c>
      <c r="AW166">
        <v>0.997</v>
      </c>
      <c r="AX166">
        <v>0.96499999999999997</v>
      </c>
      <c r="AY166">
        <v>0.996</v>
      </c>
      <c r="AZ166">
        <v>0.95799999999999996</v>
      </c>
      <c r="BA166">
        <v>0.94699999999999995</v>
      </c>
      <c r="BB166">
        <v>0.92</v>
      </c>
      <c r="BC166">
        <v>0.91300000000000003</v>
      </c>
      <c r="BD166">
        <v>0.878</v>
      </c>
      <c r="BE166">
        <v>0.876</v>
      </c>
      <c r="BF166">
        <v>0.88800000000000001</v>
      </c>
      <c r="BG166">
        <v>0.872</v>
      </c>
      <c r="BH166">
        <v>0.86</v>
      </c>
      <c r="BI166">
        <v>0.84699999999999998</v>
      </c>
      <c r="BJ166">
        <v>0.84099999999999997</v>
      </c>
      <c r="BK166">
        <v>0.83799999999999997</v>
      </c>
      <c r="BL166">
        <v>0.82</v>
      </c>
      <c r="BM166">
        <v>0.82599999999999996</v>
      </c>
      <c r="BN166">
        <v>0.85299999999999998</v>
      </c>
      <c r="BO166">
        <v>0.83699999999999997</v>
      </c>
      <c r="BP166">
        <v>0.82399999999999995</v>
      </c>
      <c r="BQ166">
        <v>0.82199999999999995</v>
      </c>
    </row>
    <row r="167" spans="1:69" x14ac:dyDescent="0.25">
      <c r="A167" t="s">
        <v>237</v>
      </c>
      <c r="B167">
        <v>4.5430000000000001</v>
      </c>
      <c r="C167">
        <v>4.5780000000000003</v>
      </c>
      <c r="D167">
        <v>4.5460000000000003</v>
      </c>
      <c r="E167">
        <v>4.4480000000000004</v>
      </c>
      <c r="F167">
        <v>4.3479999999999999</v>
      </c>
      <c r="G167">
        <v>4.4160000000000004</v>
      </c>
      <c r="H167">
        <v>4.2830000000000004</v>
      </c>
      <c r="I167">
        <v>4.3689999999999998</v>
      </c>
      <c r="J167">
        <v>4.3330000000000002</v>
      </c>
      <c r="K167">
        <v>4.3949999999999996</v>
      </c>
      <c r="L167">
        <v>4.3959999999999999</v>
      </c>
      <c r="M167">
        <v>4.3220000000000001</v>
      </c>
      <c r="N167">
        <v>4.3239999999999998</v>
      </c>
      <c r="O167">
        <v>4.3440000000000003</v>
      </c>
      <c r="P167">
        <v>4.3819999999999997</v>
      </c>
      <c r="Q167">
        <v>4.5780000000000003</v>
      </c>
      <c r="R167">
        <v>4.3789999999999996</v>
      </c>
      <c r="S167">
        <v>4.569</v>
      </c>
      <c r="T167">
        <v>4.8079999999999998</v>
      </c>
      <c r="U167">
        <v>4.87</v>
      </c>
      <c r="V167">
        <v>4.7300000000000004</v>
      </c>
      <c r="W167">
        <v>4.6920000000000002</v>
      </c>
      <c r="X167">
        <v>4.548</v>
      </c>
      <c r="Y167">
        <v>4.5119999999999996</v>
      </c>
      <c r="Z167">
        <v>4.54</v>
      </c>
      <c r="AA167">
        <v>4.5659999999999998</v>
      </c>
      <c r="AB167">
        <v>4.5919999999999996</v>
      </c>
      <c r="AC167">
        <v>4.6040000000000001</v>
      </c>
      <c r="AD167">
        <v>4.63</v>
      </c>
      <c r="AE167">
        <v>4.54</v>
      </c>
      <c r="AF167">
        <v>4.6390000000000002</v>
      </c>
      <c r="AG167">
        <v>4.5380000000000003</v>
      </c>
      <c r="AH167">
        <v>4.6070000000000002</v>
      </c>
      <c r="AI167">
        <v>4.657</v>
      </c>
      <c r="AJ167">
        <v>4.6710000000000003</v>
      </c>
      <c r="AK167">
        <v>4.6230000000000002</v>
      </c>
      <c r="AL167">
        <v>4.5060000000000002</v>
      </c>
      <c r="AM167">
        <v>4.4610000000000003</v>
      </c>
      <c r="AN167">
        <v>4.5999999999999996</v>
      </c>
      <c r="AO167">
        <v>4.5190000000000001</v>
      </c>
      <c r="AP167">
        <v>4.4960000000000004</v>
      </c>
      <c r="AQ167">
        <v>4.5890000000000004</v>
      </c>
      <c r="AR167">
        <v>4.5720000000000001</v>
      </c>
      <c r="AS167">
        <v>4.5819999999999999</v>
      </c>
      <c r="AT167">
        <v>4.6230000000000002</v>
      </c>
      <c r="AU167">
        <v>4.7530000000000001</v>
      </c>
      <c r="AV167">
        <v>5.0960000000000001</v>
      </c>
      <c r="AW167">
        <v>4.9020000000000001</v>
      </c>
      <c r="AX167">
        <v>4.7290000000000001</v>
      </c>
      <c r="AY167">
        <v>4.9189999999999996</v>
      </c>
      <c r="AZ167">
        <v>4.7329999999999997</v>
      </c>
      <c r="BA167">
        <v>4.6849999999999996</v>
      </c>
      <c r="BB167">
        <v>4.5439999999999996</v>
      </c>
      <c r="BC167">
        <v>4.5140000000000002</v>
      </c>
      <c r="BD167">
        <v>4.34</v>
      </c>
      <c r="BE167">
        <v>4.3289999999999997</v>
      </c>
      <c r="BF167">
        <v>4.3920000000000003</v>
      </c>
      <c r="BG167">
        <v>4.2439999999999998</v>
      </c>
      <c r="BH167">
        <v>4.2510000000000003</v>
      </c>
      <c r="BI167">
        <v>4.1859999999999999</v>
      </c>
      <c r="BJ167">
        <v>4.1369999999999996</v>
      </c>
      <c r="BK167">
        <v>4.1289999999999996</v>
      </c>
      <c r="BL167">
        <v>4.0279999999999996</v>
      </c>
      <c r="BM167">
        <v>4.0670000000000002</v>
      </c>
      <c r="BN167">
        <v>4.1980000000000004</v>
      </c>
      <c r="BO167">
        <v>3.9809999999999999</v>
      </c>
      <c r="BP167">
        <v>4.0179999999999998</v>
      </c>
      <c r="BQ167">
        <v>3.9710000000000001</v>
      </c>
    </row>
    <row r="168" spans="1:69" x14ac:dyDescent="0.25">
      <c r="A168" t="s">
        <v>241</v>
      </c>
      <c r="B168">
        <v>83.194000000000003</v>
      </c>
      <c r="C168">
        <v>76.424999999999997</v>
      </c>
      <c r="D168">
        <v>71.775000000000006</v>
      </c>
      <c r="E168">
        <v>73.2</v>
      </c>
      <c r="F168">
        <v>75.724999999999994</v>
      </c>
      <c r="G168">
        <v>79.158000000000001</v>
      </c>
      <c r="H168">
        <v>76.974999999999994</v>
      </c>
      <c r="I168">
        <v>78.376999999999995</v>
      </c>
      <c r="J168">
        <v>79.034999999999997</v>
      </c>
      <c r="K168">
        <v>80.757999999999996</v>
      </c>
      <c r="L168">
        <v>79.605999999999995</v>
      </c>
      <c r="M168">
        <v>84.694999999999993</v>
      </c>
      <c r="N168">
        <v>79.048000000000002</v>
      </c>
      <c r="O168">
        <v>77.825000000000003</v>
      </c>
      <c r="P168">
        <v>78.861999999999995</v>
      </c>
      <c r="Q168">
        <v>79.875</v>
      </c>
      <c r="R168">
        <v>83.125</v>
      </c>
      <c r="S168">
        <v>86.474999999999994</v>
      </c>
      <c r="T168">
        <v>93.763999999999996</v>
      </c>
      <c r="U168">
        <v>102.342</v>
      </c>
      <c r="V168">
        <v>106.756</v>
      </c>
      <c r="W168">
        <v>98.11</v>
      </c>
      <c r="X168">
        <v>95.570999999999998</v>
      </c>
      <c r="Y168">
        <v>90.847999999999999</v>
      </c>
      <c r="Z168">
        <v>90.875</v>
      </c>
      <c r="AA168">
        <v>87.375</v>
      </c>
      <c r="AB168">
        <v>88.575000000000003</v>
      </c>
      <c r="AC168">
        <v>91.347999999999999</v>
      </c>
      <c r="AD168">
        <v>92.891999999999996</v>
      </c>
      <c r="AE168">
        <v>91.497</v>
      </c>
      <c r="AF168">
        <v>91.295000000000002</v>
      </c>
      <c r="AG168">
        <v>88.466999999999999</v>
      </c>
      <c r="AH168">
        <v>89.700999999999993</v>
      </c>
      <c r="AI168">
        <v>91.631</v>
      </c>
      <c r="AJ168">
        <v>100.193</v>
      </c>
      <c r="AK168">
        <v>96.231999999999999</v>
      </c>
      <c r="AL168">
        <v>98.677000000000007</v>
      </c>
      <c r="AM168">
        <v>90.528999999999996</v>
      </c>
      <c r="AN168">
        <v>83.751000000000005</v>
      </c>
      <c r="AO168">
        <v>76.335999999999999</v>
      </c>
      <c r="AP168">
        <v>82.248999999999995</v>
      </c>
      <c r="AQ168">
        <v>75.120999999999995</v>
      </c>
      <c r="AR168">
        <v>73.760999999999996</v>
      </c>
      <c r="AS168">
        <v>68.531999999999996</v>
      </c>
      <c r="AT168">
        <v>63.136000000000003</v>
      </c>
      <c r="AU168">
        <v>60.600999999999999</v>
      </c>
      <c r="AV168">
        <v>63.848999999999997</v>
      </c>
      <c r="AW168">
        <v>60.363999999999997</v>
      </c>
      <c r="AX168">
        <v>60.874000000000002</v>
      </c>
      <c r="AY168">
        <v>59.716999999999999</v>
      </c>
      <c r="AZ168">
        <v>56.262999999999998</v>
      </c>
      <c r="BA168">
        <v>66.396000000000001</v>
      </c>
      <c r="BB168">
        <v>83.25</v>
      </c>
      <c r="BC168">
        <v>131.63399999999999</v>
      </c>
      <c r="BD168">
        <v>75.911000000000001</v>
      </c>
      <c r="BE168">
        <v>74.641999999999996</v>
      </c>
      <c r="BF168">
        <v>74.343000000000004</v>
      </c>
      <c r="BG168">
        <v>70.100999999999999</v>
      </c>
      <c r="BH168">
        <v>72.81</v>
      </c>
      <c r="BI168">
        <v>73.613</v>
      </c>
      <c r="BJ168">
        <v>73.248999999999995</v>
      </c>
      <c r="BK168">
        <v>72.197999999999993</v>
      </c>
      <c r="BL168">
        <v>73.465000000000003</v>
      </c>
      <c r="BM168">
        <v>74.606999999999999</v>
      </c>
      <c r="BN168">
        <v>76.149000000000001</v>
      </c>
      <c r="BO168">
        <v>73.828000000000003</v>
      </c>
      <c r="BP168">
        <v>76.03</v>
      </c>
      <c r="BQ168">
        <v>73.637</v>
      </c>
    </row>
    <row r="169" spans="1:69" x14ac:dyDescent="0.25">
      <c r="A169" t="s">
        <v>243</v>
      </c>
      <c r="B169">
        <v>1464.7180000000001</v>
      </c>
      <c r="C169">
        <v>1461.2729999999999</v>
      </c>
      <c r="D169">
        <v>1459.5450000000001</v>
      </c>
      <c r="E169">
        <v>1456</v>
      </c>
      <c r="F169">
        <v>1456</v>
      </c>
      <c r="G169">
        <v>1452</v>
      </c>
      <c r="H169">
        <v>1448.5</v>
      </c>
      <c r="I169">
        <v>1447</v>
      </c>
      <c r="J169">
        <v>1444.25</v>
      </c>
      <c r="K169">
        <v>1443</v>
      </c>
      <c r="L169">
        <v>1441</v>
      </c>
      <c r="M169">
        <v>1440.2449999999999</v>
      </c>
      <c r="N169">
        <v>1437</v>
      </c>
      <c r="O169">
        <v>1430.1690000000001</v>
      </c>
      <c r="P169">
        <v>1408.1</v>
      </c>
      <c r="Q169">
        <v>1411.05</v>
      </c>
      <c r="R169">
        <v>1409.3910000000001</v>
      </c>
      <c r="S169">
        <v>1399.1130000000001</v>
      </c>
      <c r="T169">
        <v>1395.1</v>
      </c>
      <c r="U169">
        <v>1377.7049999999999</v>
      </c>
      <c r="V169">
        <v>1371.4960000000001</v>
      </c>
      <c r="W169">
        <v>1354.538</v>
      </c>
      <c r="X169">
        <v>1339.4580000000001</v>
      </c>
      <c r="Y169">
        <v>1330.7460000000001</v>
      </c>
      <c r="Z169">
        <v>1310.221</v>
      </c>
      <c r="AA169">
        <v>1303.4359999999999</v>
      </c>
      <c r="AB169">
        <v>1293.662</v>
      </c>
      <c r="AC169">
        <v>1284.9110000000001</v>
      </c>
      <c r="AD169">
        <v>1277.625</v>
      </c>
      <c r="AE169">
        <v>1274.6489999999999</v>
      </c>
      <c r="AF169">
        <v>1262.124</v>
      </c>
      <c r="AG169">
        <v>1255.104</v>
      </c>
      <c r="AH169">
        <v>1237.481</v>
      </c>
      <c r="AI169">
        <v>1222.6759999999999</v>
      </c>
      <c r="AJ169">
        <v>1209.914</v>
      </c>
      <c r="AK169">
        <v>1187.4190000000001</v>
      </c>
      <c r="AL169">
        <v>1170.3140000000001</v>
      </c>
      <c r="AM169">
        <v>1154.8720000000001</v>
      </c>
      <c r="AN169">
        <v>1124.4939999999999</v>
      </c>
      <c r="AO169">
        <v>1106.9100000000001</v>
      </c>
      <c r="AP169">
        <v>1092.0830000000001</v>
      </c>
      <c r="AQ169">
        <v>1081.7429999999999</v>
      </c>
      <c r="AR169">
        <v>1075.1869999999999</v>
      </c>
      <c r="AS169">
        <v>1061.3109999999999</v>
      </c>
      <c r="AT169">
        <v>1051.221</v>
      </c>
      <c r="AU169">
        <v>1051.319</v>
      </c>
      <c r="AV169">
        <v>1039.5740000000001</v>
      </c>
      <c r="AW169">
        <v>1026.549</v>
      </c>
      <c r="AX169">
        <v>1023.48</v>
      </c>
      <c r="AY169">
        <v>1013.29</v>
      </c>
      <c r="AZ169">
        <v>1015.218</v>
      </c>
      <c r="BA169">
        <v>1010.04</v>
      </c>
      <c r="BB169">
        <v>1008.995</v>
      </c>
      <c r="BC169">
        <v>1005.302</v>
      </c>
      <c r="BD169">
        <v>1018.2799</v>
      </c>
      <c r="BE169">
        <v>1009.4237000000001</v>
      </c>
      <c r="BF169">
        <v>1007.8365</v>
      </c>
      <c r="BG169">
        <v>1005.93</v>
      </c>
      <c r="BH169">
        <v>1000.77</v>
      </c>
      <c r="BI169">
        <v>998.53</v>
      </c>
      <c r="BJ169">
        <v>992.97</v>
      </c>
      <c r="BK169">
        <v>990.91</v>
      </c>
      <c r="BL169">
        <v>993.38</v>
      </c>
      <c r="BM169">
        <v>989.45</v>
      </c>
      <c r="BN169">
        <v>986.77</v>
      </c>
      <c r="BO169">
        <v>975</v>
      </c>
      <c r="BP169">
        <v>985</v>
      </c>
      <c r="BQ169">
        <v>983</v>
      </c>
    </row>
    <row r="170" spans="1:69" x14ac:dyDescent="0.25">
      <c r="A170" t="s">
        <v>257</v>
      </c>
      <c r="B170">
        <v>0.74099999999999999</v>
      </c>
      <c r="C170">
        <v>0.747</v>
      </c>
      <c r="D170">
        <v>0.749</v>
      </c>
      <c r="E170">
        <v>0.74</v>
      </c>
      <c r="F170">
        <v>0.74299999999999999</v>
      </c>
      <c r="G170">
        <v>0.748</v>
      </c>
      <c r="H170">
        <v>0.73199999999999998</v>
      </c>
      <c r="I170">
        <v>0.74399999999999999</v>
      </c>
      <c r="J170">
        <v>0.745</v>
      </c>
      <c r="K170">
        <v>0.76400000000000001</v>
      </c>
      <c r="L170">
        <v>0.75</v>
      </c>
      <c r="M170">
        <v>0.73799999999999999</v>
      </c>
      <c r="N170">
        <v>0.73699999999999999</v>
      </c>
      <c r="O170">
        <v>0.74</v>
      </c>
      <c r="P170">
        <v>0.74</v>
      </c>
      <c r="Q170">
        <v>0.755</v>
      </c>
      <c r="R170">
        <v>0.76400000000000001</v>
      </c>
      <c r="S170">
        <v>0.77300000000000002</v>
      </c>
      <c r="T170">
        <v>0.80700000000000005</v>
      </c>
      <c r="U170">
        <v>0.82299999999999995</v>
      </c>
      <c r="V170">
        <v>0.78400000000000003</v>
      </c>
      <c r="W170">
        <v>0.78600000000000003</v>
      </c>
      <c r="X170">
        <v>0.76500000000000001</v>
      </c>
      <c r="Y170">
        <v>0.76600000000000001</v>
      </c>
      <c r="Z170">
        <v>0.78</v>
      </c>
      <c r="AA170">
        <v>0.77300000000000002</v>
      </c>
      <c r="AB170">
        <v>0.77900000000000003</v>
      </c>
      <c r="AC170">
        <v>0.79600000000000004</v>
      </c>
      <c r="AD170">
        <v>0.79700000000000004</v>
      </c>
      <c r="AE170">
        <v>0.78100000000000003</v>
      </c>
      <c r="AF170">
        <v>0.79300000000000004</v>
      </c>
      <c r="AG170">
        <v>0.78600000000000003</v>
      </c>
      <c r="AH170">
        <v>0.79900000000000004</v>
      </c>
      <c r="AI170">
        <v>0.81699999999999995</v>
      </c>
      <c r="AJ170">
        <v>0.81100000000000005</v>
      </c>
      <c r="AK170">
        <v>0.8</v>
      </c>
      <c r="AL170">
        <v>0.78800000000000003</v>
      </c>
      <c r="AM170">
        <v>0.77</v>
      </c>
      <c r="AN170">
        <v>0.79500000000000004</v>
      </c>
      <c r="AO170">
        <v>0.79900000000000004</v>
      </c>
      <c r="AP170">
        <v>0.80300000000000005</v>
      </c>
      <c r="AQ170">
        <v>0.82599999999999996</v>
      </c>
      <c r="AR170">
        <v>0.82399999999999995</v>
      </c>
      <c r="AS170">
        <v>0.82399999999999995</v>
      </c>
      <c r="AT170">
        <v>0.80400000000000005</v>
      </c>
      <c r="AU170">
        <v>0.85199999999999998</v>
      </c>
      <c r="AV170">
        <v>0.90600000000000003</v>
      </c>
      <c r="AW170">
        <v>0.86599999999999999</v>
      </c>
      <c r="AX170">
        <v>0.81699999999999995</v>
      </c>
      <c r="AY170">
        <v>0.84199999999999997</v>
      </c>
      <c r="AZ170">
        <v>0.82099999999999995</v>
      </c>
      <c r="BA170">
        <v>0.80800000000000005</v>
      </c>
      <c r="BB170">
        <v>0.76700000000000002</v>
      </c>
      <c r="BC170">
        <v>0.76400000000000001</v>
      </c>
      <c r="BD170">
        <v>0.73599999999999999</v>
      </c>
      <c r="BE170">
        <v>0.73099999999999998</v>
      </c>
      <c r="BF170">
        <v>0.752</v>
      </c>
      <c r="BG170">
        <v>0.747</v>
      </c>
      <c r="BH170">
        <v>0.74399999999999999</v>
      </c>
      <c r="BI170">
        <v>0.72299999999999998</v>
      </c>
      <c r="BJ170">
        <v>0.71499999999999997</v>
      </c>
      <c r="BK170">
        <v>0.71899999999999997</v>
      </c>
      <c r="BL170">
        <v>0.70599999999999996</v>
      </c>
      <c r="BM170">
        <v>0.71699999999999997</v>
      </c>
      <c r="BN170">
        <v>0.72899999999999998</v>
      </c>
      <c r="BO170">
        <v>0.71599999999999997</v>
      </c>
      <c r="BP170">
        <v>0.72399999999999998</v>
      </c>
      <c r="BQ170">
        <v>0.73299999999999998</v>
      </c>
    </row>
    <row r="171" spans="1:69" x14ac:dyDescent="0.25">
      <c r="A171" t="s">
        <v>286</v>
      </c>
      <c r="B171">
        <v>2.7</v>
      </c>
      <c r="C171">
        <v>2.7</v>
      </c>
      <c r="D171">
        <v>2.7</v>
      </c>
      <c r="E171">
        <v>2.7</v>
      </c>
      <c r="F171">
        <v>2.7</v>
      </c>
      <c r="G171">
        <v>2.7</v>
      </c>
      <c r="H171">
        <v>2.7</v>
      </c>
      <c r="I171">
        <v>2.7</v>
      </c>
      <c r="J171">
        <v>2.7</v>
      </c>
      <c r="K171">
        <v>2.7</v>
      </c>
      <c r="L171">
        <v>2.7</v>
      </c>
      <c r="M171">
        <v>2.7</v>
      </c>
      <c r="N171">
        <v>2.7</v>
      </c>
      <c r="O171">
        <v>2.7</v>
      </c>
      <c r="P171">
        <v>2.7</v>
      </c>
      <c r="Q171">
        <v>2.7</v>
      </c>
      <c r="R171">
        <v>2.7</v>
      </c>
      <c r="S171">
        <v>2.7</v>
      </c>
      <c r="T171">
        <v>2.7</v>
      </c>
      <c r="U171">
        <v>2.7</v>
      </c>
      <c r="V171">
        <v>2.7</v>
      </c>
      <c r="W171">
        <v>2.7</v>
      </c>
      <c r="X171">
        <v>2.7</v>
      </c>
      <c r="Y171">
        <v>2.7</v>
      </c>
      <c r="Z171">
        <v>2.7</v>
      </c>
      <c r="AA171">
        <v>2.7</v>
      </c>
      <c r="AB171">
        <v>2.7</v>
      </c>
      <c r="AC171">
        <v>2.7</v>
      </c>
      <c r="AD171">
        <v>2.7</v>
      </c>
      <c r="AE171">
        <v>2.7</v>
      </c>
      <c r="AF171">
        <v>2.7</v>
      </c>
      <c r="AG171">
        <v>2.7</v>
      </c>
      <c r="AH171">
        <v>2.7</v>
      </c>
      <c r="AI171">
        <v>2.7</v>
      </c>
      <c r="AJ171">
        <v>2.7</v>
      </c>
      <c r="AK171">
        <v>2.7</v>
      </c>
      <c r="AL171">
        <v>2.7</v>
      </c>
      <c r="AM171">
        <v>2.7</v>
      </c>
      <c r="AN171">
        <v>2.7</v>
      </c>
      <c r="AO171">
        <v>2.7</v>
      </c>
      <c r="AP171">
        <v>2.7</v>
      </c>
      <c r="AQ171">
        <v>2.7</v>
      </c>
      <c r="AR171">
        <v>2.7</v>
      </c>
      <c r="AS171">
        <v>2.7</v>
      </c>
      <c r="AT171">
        <v>2.7</v>
      </c>
      <c r="AU171">
        <v>2.7</v>
      </c>
      <c r="AV171">
        <v>2.7</v>
      </c>
      <c r="AW171">
        <v>2.7</v>
      </c>
      <c r="AX171">
        <v>2.7</v>
      </c>
      <c r="AY171">
        <v>2.7</v>
      </c>
      <c r="AZ171">
        <v>2.7</v>
      </c>
      <c r="BA171">
        <v>2.7</v>
      </c>
      <c r="BB171">
        <v>2.7</v>
      </c>
      <c r="BC171">
        <v>2.7</v>
      </c>
      <c r="BD171">
        <v>2.7</v>
      </c>
      <c r="BE171">
        <v>2.7</v>
      </c>
      <c r="BF171">
        <v>2.7</v>
      </c>
      <c r="BG171">
        <v>2.7</v>
      </c>
      <c r="BH171">
        <v>2.7</v>
      </c>
      <c r="BI171">
        <v>2.7</v>
      </c>
      <c r="BJ171">
        <v>2.7</v>
      </c>
      <c r="BK171">
        <v>2.7</v>
      </c>
      <c r="BL171">
        <v>2.7</v>
      </c>
      <c r="BM171">
        <v>2.7</v>
      </c>
      <c r="BN171">
        <v>2.7</v>
      </c>
      <c r="BO171">
        <v>2.7</v>
      </c>
      <c r="BP171">
        <v>2.7</v>
      </c>
      <c r="BQ171">
        <v>2.7</v>
      </c>
    </row>
    <row r="172" spans="1:69" x14ac:dyDescent="0.25">
      <c r="A172" t="s">
        <v>286</v>
      </c>
      <c r="B172">
        <v>2.7</v>
      </c>
      <c r="C172">
        <v>2.7</v>
      </c>
      <c r="D172">
        <v>2.7</v>
      </c>
      <c r="E172">
        <v>2.7</v>
      </c>
      <c r="F172">
        <v>2.7</v>
      </c>
      <c r="G172">
        <v>2.7</v>
      </c>
      <c r="H172">
        <v>2.7</v>
      </c>
      <c r="I172">
        <v>2.7</v>
      </c>
      <c r="J172">
        <v>2.7</v>
      </c>
      <c r="K172">
        <v>2.7</v>
      </c>
      <c r="L172">
        <v>2.7</v>
      </c>
      <c r="M172">
        <v>2.7</v>
      </c>
      <c r="N172">
        <v>2.7</v>
      </c>
      <c r="O172">
        <v>2.7</v>
      </c>
      <c r="P172">
        <v>2.7</v>
      </c>
      <c r="Q172">
        <v>2.7</v>
      </c>
      <c r="R172">
        <v>2.7</v>
      </c>
      <c r="S172">
        <v>2.7</v>
      </c>
      <c r="T172">
        <v>2.7</v>
      </c>
      <c r="U172">
        <v>2.7</v>
      </c>
      <c r="V172">
        <v>2.7</v>
      </c>
      <c r="W172">
        <v>2.7</v>
      </c>
      <c r="X172">
        <v>2.7</v>
      </c>
      <c r="Y172">
        <v>2.7</v>
      </c>
      <c r="Z172">
        <v>2.7</v>
      </c>
      <c r="AA172">
        <v>2.7</v>
      </c>
      <c r="AB172">
        <v>2.7</v>
      </c>
      <c r="AC172">
        <v>2.7</v>
      </c>
      <c r="AD172">
        <v>2.7</v>
      </c>
      <c r="AE172">
        <v>2.7</v>
      </c>
      <c r="AF172">
        <v>2.7</v>
      </c>
      <c r="AG172">
        <v>2.7</v>
      </c>
      <c r="AH172">
        <v>2.7</v>
      </c>
      <c r="AI172">
        <v>2.7</v>
      </c>
      <c r="AJ172">
        <v>2.7</v>
      </c>
      <c r="AK172">
        <v>2.7</v>
      </c>
      <c r="AL172">
        <v>2.7</v>
      </c>
      <c r="AM172">
        <v>2.7</v>
      </c>
      <c r="AN172">
        <v>2.7</v>
      </c>
      <c r="AO172">
        <v>2.7</v>
      </c>
      <c r="AP172">
        <v>2.7</v>
      </c>
      <c r="AQ172">
        <v>2.7</v>
      </c>
      <c r="AR172">
        <v>2.7</v>
      </c>
      <c r="AS172">
        <v>2.7</v>
      </c>
      <c r="AT172">
        <v>2.7</v>
      </c>
      <c r="AU172">
        <v>2.7</v>
      </c>
      <c r="AV172">
        <v>2.7</v>
      </c>
      <c r="AW172">
        <v>2.7</v>
      </c>
      <c r="AX172">
        <v>2.7</v>
      </c>
      <c r="AY172">
        <v>2.7</v>
      </c>
      <c r="AZ172">
        <v>2.7</v>
      </c>
      <c r="BA172">
        <v>2.7</v>
      </c>
      <c r="BB172">
        <v>2.7</v>
      </c>
      <c r="BC172">
        <v>2.7</v>
      </c>
      <c r="BD172">
        <v>2.7</v>
      </c>
      <c r="BE172">
        <v>2.7</v>
      </c>
      <c r="BF172">
        <v>2.7</v>
      </c>
      <c r="BG172">
        <v>2.7</v>
      </c>
      <c r="BH172">
        <v>2.7</v>
      </c>
      <c r="BI172">
        <v>2.7</v>
      </c>
      <c r="BJ172">
        <v>2.7</v>
      </c>
      <c r="BK172">
        <v>2.7</v>
      </c>
      <c r="BL172">
        <v>2.7</v>
      </c>
      <c r="BM172">
        <v>2.7</v>
      </c>
      <c r="BN172">
        <v>2.7</v>
      </c>
      <c r="BO172">
        <v>2.7</v>
      </c>
      <c r="BP172">
        <v>2.7</v>
      </c>
      <c r="BQ172">
        <v>2.7</v>
      </c>
    </row>
    <row r="173" spans="1:69" x14ac:dyDescent="0.25">
      <c r="A173" t="s">
        <v>289</v>
      </c>
      <c r="B173">
        <v>2.66</v>
      </c>
      <c r="C173">
        <v>2.7050000000000001</v>
      </c>
      <c r="D173">
        <v>2.6749999999999998</v>
      </c>
      <c r="E173">
        <v>2.6349999999999998</v>
      </c>
      <c r="F173">
        <v>2.6779999999999999</v>
      </c>
      <c r="G173">
        <v>2.65</v>
      </c>
      <c r="H173">
        <v>2.653</v>
      </c>
      <c r="I173">
        <v>2.7330000000000001</v>
      </c>
      <c r="J173">
        <v>2.762</v>
      </c>
      <c r="K173">
        <v>2.7839999999999998</v>
      </c>
      <c r="L173">
        <v>2.72</v>
      </c>
      <c r="M173">
        <v>2.7509999999999999</v>
      </c>
      <c r="N173">
        <v>2.7360000000000002</v>
      </c>
      <c r="O173">
        <v>2.7269999999999999</v>
      </c>
      <c r="P173">
        <v>2.7280000000000002</v>
      </c>
      <c r="Q173">
        <v>2.76</v>
      </c>
      <c r="R173">
        <v>2.8490000000000002</v>
      </c>
      <c r="S173">
        <v>2.7879999999999998</v>
      </c>
      <c r="T173">
        <v>2.77</v>
      </c>
      <c r="U173">
        <v>2.79</v>
      </c>
      <c r="V173">
        <v>2.7610000000000001</v>
      </c>
      <c r="W173">
        <v>2.72</v>
      </c>
      <c r="X173">
        <v>2.68</v>
      </c>
      <c r="Y173">
        <v>2.7</v>
      </c>
      <c r="Z173">
        <v>2.7389999999999999</v>
      </c>
      <c r="AA173">
        <v>2.698</v>
      </c>
      <c r="AB173">
        <v>2.7109999999999999</v>
      </c>
      <c r="AC173">
        <v>2.698</v>
      </c>
      <c r="AD173">
        <v>2.7290000000000001</v>
      </c>
      <c r="AE173">
        <v>2.7029999999999998</v>
      </c>
      <c r="AF173">
        <v>2.722</v>
      </c>
      <c r="AG173">
        <v>2.69</v>
      </c>
      <c r="AH173">
        <v>2.7050000000000001</v>
      </c>
      <c r="AI173">
        <v>2.7410000000000001</v>
      </c>
      <c r="AJ173">
        <v>2.74</v>
      </c>
      <c r="AK173">
        <v>2.7610000000000001</v>
      </c>
      <c r="AL173">
        <v>2.7170000000000001</v>
      </c>
      <c r="AM173">
        <v>2.6920000000000002</v>
      </c>
      <c r="AN173">
        <v>2.7109999999999999</v>
      </c>
      <c r="AO173">
        <v>2.6720000000000002</v>
      </c>
      <c r="AP173">
        <v>2.6709999999999998</v>
      </c>
      <c r="AQ173">
        <v>2.7160000000000002</v>
      </c>
      <c r="AR173">
        <v>2.661</v>
      </c>
      <c r="AS173">
        <v>2.6619999999999999</v>
      </c>
      <c r="AT173">
        <v>2.6739999999999999</v>
      </c>
      <c r="AU173">
        <v>2.746</v>
      </c>
      <c r="AV173">
        <v>2.8149999999999999</v>
      </c>
      <c r="AW173">
        <v>2.7109999999999999</v>
      </c>
      <c r="AX173">
        <v>2.6629999999999998</v>
      </c>
      <c r="AY173">
        <v>2.6869999999999998</v>
      </c>
      <c r="AZ173">
        <v>2.6150000000000002</v>
      </c>
      <c r="BA173">
        <v>2.581</v>
      </c>
      <c r="BB173">
        <v>2.5449999999999999</v>
      </c>
      <c r="BC173">
        <v>2.569</v>
      </c>
      <c r="BD173">
        <v>2.6070000000000002</v>
      </c>
      <c r="BE173">
        <v>2.589</v>
      </c>
      <c r="BF173">
        <v>2.5099999999999998</v>
      </c>
      <c r="BG173">
        <v>2.516</v>
      </c>
      <c r="BH173">
        <v>2.548</v>
      </c>
      <c r="BI173">
        <v>2.5529999999999999</v>
      </c>
      <c r="BJ173">
        <v>2.5430000000000001</v>
      </c>
      <c r="BK173">
        <v>2.5539999999999998</v>
      </c>
      <c r="BL173">
        <v>2.4969999999999999</v>
      </c>
      <c r="BM173">
        <v>2.5</v>
      </c>
      <c r="BN173">
        <v>2.5270000000000001</v>
      </c>
      <c r="BO173">
        <v>2.4790000000000001</v>
      </c>
      <c r="BP173">
        <v>2.4750000000000001</v>
      </c>
      <c r="BQ173">
        <v>2.5190000000000001</v>
      </c>
    </row>
    <row r="174" spans="1:69" x14ac:dyDescent="0.25">
      <c r="A174" t="s">
        <v>45</v>
      </c>
      <c r="B174">
        <v>0.86699999999999999</v>
      </c>
      <c r="C174">
        <v>0.875</v>
      </c>
      <c r="D174">
        <v>0.86799999999999999</v>
      </c>
      <c r="E174">
        <v>0.85399999999999998</v>
      </c>
      <c r="F174">
        <v>0.85399999999999998</v>
      </c>
      <c r="G174">
        <v>0.86699999999999999</v>
      </c>
      <c r="H174">
        <v>0.84099999999999997</v>
      </c>
      <c r="I174">
        <v>0.85799999999999998</v>
      </c>
      <c r="J174">
        <v>0.85199999999999998</v>
      </c>
      <c r="K174">
        <v>0.86499999999999999</v>
      </c>
      <c r="L174">
        <v>0.86499999999999999</v>
      </c>
      <c r="M174">
        <v>0.85299999999999998</v>
      </c>
      <c r="N174">
        <v>0.85499999999999998</v>
      </c>
      <c r="O174">
        <v>0.85599999999999998</v>
      </c>
      <c r="P174">
        <v>0.872</v>
      </c>
      <c r="Q174">
        <v>0.89700000000000002</v>
      </c>
      <c r="R174">
        <v>0.88</v>
      </c>
      <c r="S174">
        <v>0.91800000000000004</v>
      </c>
      <c r="T174">
        <v>0.96699999999999997</v>
      </c>
      <c r="U174">
        <v>0.98</v>
      </c>
      <c r="V174">
        <v>0.95299999999999996</v>
      </c>
      <c r="W174">
        <v>0.94299999999999995</v>
      </c>
      <c r="X174">
        <v>0.91400000000000003</v>
      </c>
      <c r="Y174">
        <v>0.90800000000000003</v>
      </c>
      <c r="Z174">
        <v>0.91300000000000003</v>
      </c>
      <c r="AA174">
        <v>0.91800000000000004</v>
      </c>
      <c r="AB174">
        <v>0.92300000000000004</v>
      </c>
      <c r="AC174">
        <v>0.92600000000000005</v>
      </c>
      <c r="AD174">
        <v>0.93200000000000005</v>
      </c>
      <c r="AE174">
        <v>0.91400000000000003</v>
      </c>
      <c r="AF174">
        <v>0.93300000000000005</v>
      </c>
      <c r="AG174">
        <v>0.91300000000000003</v>
      </c>
      <c r="AH174">
        <v>0.92700000000000005</v>
      </c>
      <c r="AI174">
        <v>0.93700000000000006</v>
      </c>
      <c r="AJ174">
        <v>0.94099999999999995</v>
      </c>
      <c r="AK174">
        <v>0.93100000000000005</v>
      </c>
      <c r="AL174">
        <v>0.91300000000000003</v>
      </c>
      <c r="AM174">
        <v>0.90200000000000002</v>
      </c>
      <c r="AN174">
        <v>0.92700000000000005</v>
      </c>
      <c r="AO174">
        <v>0.91700000000000004</v>
      </c>
      <c r="AP174">
        <v>0.91100000000000003</v>
      </c>
      <c r="AQ174">
        <v>0.93400000000000005</v>
      </c>
      <c r="AR174">
        <v>0.93300000000000005</v>
      </c>
      <c r="AS174">
        <v>0.92900000000000005</v>
      </c>
      <c r="AT174">
        <v>0.93799999999999994</v>
      </c>
      <c r="AU174">
        <v>0.97199999999999998</v>
      </c>
      <c r="AV174">
        <v>1.032</v>
      </c>
      <c r="AW174">
        <v>0.997</v>
      </c>
      <c r="AX174">
        <v>0.96499999999999997</v>
      </c>
      <c r="AY174">
        <v>0.996</v>
      </c>
      <c r="AZ174">
        <v>0.95799999999999996</v>
      </c>
      <c r="BA174">
        <v>0.94699999999999995</v>
      </c>
      <c r="BB174">
        <v>0.92</v>
      </c>
      <c r="BC174">
        <v>0.91300000000000003</v>
      </c>
      <c r="BD174">
        <v>0.878</v>
      </c>
      <c r="BE174">
        <v>0.876</v>
      </c>
      <c r="BF174">
        <v>0.88800000000000001</v>
      </c>
      <c r="BG174">
        <v>0.872</v>
      </c>
      <c r="BH174">
        <v>0.86</v>
      </c>
      <c r="BI174">
        <v>0.84699999999999998</v>
      </c>
      <c r="BJ174">
        <v>0.84099999999999997</v>
      </c>
      <c r="BK174">
        <v>0.83799999999999997</v>
      </c>
      <c r="BL174">
        <v>0.82</v>
      </c>
      <c r="BM174">
        <v>0.82599999999999996</v>
      </c>
      <c r="BN174">
        <v>0.85299999999999998</v>
      </c>
      <c r="BO174">
        <v>0.83699999999999997</v>
      </c>
      <c r="BP174">
        <v>0.82399999999999995</v>
      </c>
      <c r="BQ174">
        <v>0.82199999999999995</v>
      </c>
    </row>
    <row r="175" spans="1:69" x14ac:dyDescent="0.25">
      <c r="A175" t="s">
        <v>265</v>
      </c>
      <c r="B175">
        <v>21.384</v>
      </c>
      <c r="C175">
        <v>21.289000000000001</v>
      </c>
      <c r="D175">
        <v>21.027999999999999</v>
      </c>
      <c r="E175">
        <v>20.934000000000001</v>
      </c>
      <c r="F175">
        <v>21.056999999999999</v>
      </c>
      <c r="G175">
        <v>20.936</v>
      </c>
      <c r="H175">
        <v>20.789000000000001</v>
      </c>
      <c r="I175">
        <v>21.003</v>
      </c>
      <c r="J175">
        <v>21.135999999999999</v>
      </c>
      <c r="K175">
        <v>21.244</v>
      </c>
      <c r="L175">
        <v>20.98</v>
      </c>
      <c r="M175">
        <v>21.085999999999999</v>
      </c>
      <c r="N175">
        <v>21.044</v>
      </c>
      <c r="O175">
        <v>20.908999999999999</v>
      </c>
      <c r="P175">
        <v>21.471</v>
      </c>
      <c r="Q175">
        <v>21.568000000000001</v>
      </c>
      <c r="R175">
        <v>22.079000000000001</v>
      </c>
      <c r="S175">
        <v>22.695</v>
      </c>
      <c r="T175">
        <v>23.649000000000001</v>
      </c>
      <c r="U175">
        <v>23.79</v>
      </c>
      <c r="V175">
        <v>23.352</v>
      </c>
      <c r="W175">
        <v>22.908999999999999</v>
      </c>
      <c r="X175">
        <v>22.195</v>
      </c>
      <c r="Y175">
        <v>22.172999999999998</v>
      </c>
      <c r="Z175">
        <v>22.343</v>
      </c>
      <c r="AA175">
        <v>22.635999999999999</v>
      </c>
      <c r="AB175">
        <v>22.933</v>
      </c>
      <c r="AC175">
        <v>22.893000000000001</v>
      </c>
      <c r="AD175">
        <v>22.783999999999999</v>
      </c>
      <c r="AE175">
        <v>22.82</v>
      </c>
      <c r="AF175">
        <v>22.806000000000001</v>
      </c>
      <c r="AG175">
        <v>22.425000000000001</v>
      </c>
      <c r="AH175">
        <v>22.734000000000002</v>
      </c>
      <c r="AI175">
        <v>22.811</v>
      </c>
      <c r="AJ175">
        <v>23.277000000000001</v>
      </c>
      <c r="AK175">
        <v>21.834</v>
      </c>
      <c r="AL175">
        <v>22.39</v>
      </c>
      <c r="AM175">
        <v>22.934000000000001</v>
      </c>
      <c r="AN175">
        <v>22.934000000000001</v>
      </c>
      <c r="AO175">
        <v>23.167999999999999</v>
      </c>
      <c r="AP175">
        <v>23.167999999999999</v>
      </c>
      <c r="AQ175">
        <v>23.167999999999999</v>
      </c>
      <c r="AR175">
        <v>22.898</v>
      </c>
      <c r="AS175">
        <v>23.334</v>
      </c>
      <c r="AT175">
        <v>23.298999999999999</v>
      </c>
      <c r="AU175">
        <v>24.818999999999999</v>
      </c>
      <c r="AV175">
        <v>24.849</v>
      </c>
      <c r="AW175">
        <v>24.786000000000001</v>
      </c>
      <c r="AX175">
        <v>24.023</v>
      </c>
      <c r="AY175">
        <v>23.824999999999999</v>
      </c>
      <c r="AZ175">
        <v>23.372</v>
      </c>
      <c r="BA175">
        <v>23.312000000000001</v>
      </c>
      <c r="BB175">
        <v>22.475000000000001</v>
      </c>
      <c r="BC175">
        <v>21.744</v>
      </c>
      <c r="BD175">
        <v>21.744</v>
      </c>
      <c r="BE175">
        <v>21.515999999999998</v>
      </c>
      <c r="BF175">
        <v>20.425000000000001</v>
      </c>
      <c r="BG175">
        <v>21.053999999999998</v>
      </c>
      <c r="BH175">
        <v>20.914000000000001</v>
      </c>
      <c r="BI175">
        <v>20.87</v>
      </c>
      <c r="BJ175">
        <v>20.808</v>
      </c>
      <c r="BK175">
        <v>20.599</v>
      </c>
      <c r="BL175">
        <v>20.103000000000002</v>
      </c>
      <c r="BM175">
        <v>20.338999999999999</v>
      </c>
      <c r="BN175">
        <v>20.72</v>
      </c>
      <c r="BO175">
        <v>20.193999999999999</v>
      </c>
      <c r="BP175">
        <v>20.152000000000001</v>
      </c>
      <c r="BQ175">
        <v>20.82</v>
      </c>
    </row>
    <row r="176" spans="1:69" x14ac:dyDescent="0.25">
      <c r="A176" t="s">
        <v>245</v>
      </c>
      <c r="B176">
        <v>3.754</v>
      </c>
      <c r="C176">
        <v>3.7549999999999999</v>
      </c>
      <c r="D176">
        <v>3.754</v>
      </c>
      <c r="E176">
        <v>3.7519999999999998</v>
      </c>
      <c r="F176">
        <v>3.7530000000000001</v>
      </c>
      <c r="G176">
        <v>3.7509999999999999</v>
      </c>
      <c r="H176">
        <v>3.75</v>
      </c>
      <c r="I176">
        <v>3.75</v>
      </c>
      <c r="J176">
        <v>3.7519999999999998</v>
      </c>
      <c r="K176">
        <v>3.75</v>
      </c>
      <c r="L176">
        <v>3.75</v>
      </c>
      <c r="M176">
        <v>3.7519999999999998</v>
      </c>
      <c r="N176">
        <v>3.7519999999999998</v>
      </c>
      <c r="O176">
        <v>3.75</v>
      </c>
      <c r="P176">
        <v>3.7509999999999999</v>
      </c>
      <c r="Q176">
        <v>3.7509999999999999</v>
      </c>
      <c r="R176">
        <v>3.754</v>
      </c>
      <c r="S176">
        <v>3.7509999999999999</v>
      </c>
      <c r="T176">
        <v>3.7509999999999999</v>
      </c>
      <c r="U176">
        <v>3.754</v>
      </c>
      <c r="V176">
        <v>3.758</v>
      </c>
      <c r="W176">
        <v>3.7570000000000001</v>
      </c>
      <c r="X176">
        <v>3.7549999999999999</v>
      </c>
      <c r="Y176">
        <v>3.7530000000000001</v>
      </c>
      <c r="Z176">
        <v>3.754</v>
      </c>
      <c r="AA176">
        <v>3.7509999999999999</v>
      </c>
      <c r="AB176">
        <v>3.7509999999999999</v>
      </c>
      <c r="AC176">
        <v>3.75</v>
      </c>
      <c r="AD176">
        <v>3.7509999999999999</v>
      </c>
      <c r="AE176">
        <v>3.75</v>
      </c>
      <c r="AF176">
        <v>3.75</v>
      </c>
      <c r="AG176">
        <v>3.75</v>
      </c>
      <c r="AH176">
        <v>3.7509999999999999</v>
      </c>
      <c r="AI176">
        <v>3.75</v>
      </c>
      <c r="AJ176">
        <v>3.7509999999999999</v>
      </c>
      <c r="AK176">
        <v>3.7509999999999999</v>
      </c>
      <c r="AL176">
        <v>3.7519999999999998</v>
      </c>
      <c r="AM176">
        <v>3.7509999999999999</v>
      </c>
      <c r="AN176">
        <v>3.75</v>
      </c>
      <c r="AO176">
        <v>3.75</v>
      </c>
      <c r="AP176">
        <v>3.7509999999999999</v>
      </c>
      <c r="AQ176">
        <v>3.754</v>
      </c>
      <c r="AR176">
        <v>3.7519999999999998</v>
      </c>
      <c r="AS176">
        <v>3.7559999999999998</v>
      </c>
      <c r="AT176">
        <v>3.7589999999999999</v>
      </c>
      <c r="AU176">
        <v>3.7589999999999999</v>
      </c>
      <c r="AV176">
        <v>3.758</v>
      </c>
      <c r="AW176">
        <v>3.758</v>
      </c>
      <c r="AX176">
        <v>3.7559999999999998</v>
      </c>
      <c r="AY176">
        <v>3.754</v>
      </c>
      <c r="AZ176">
        <v>3.7519999999999998</v>
      </c>
      <c r="BA176">
        <v>3.7509999999999999</v>
      </c>
      <c r="BB176">
        <v>3.75</v>
      </c>
      <c r="BC176">
        <v>3.7509999999999999</v>
      </c>
      <c r="BD176">
        <v>3.7519999999999998</v>
      </c>
      <c r="BE176">
        <v>3.7530000000000001</v>
      </c>
      <c r="BF176">
        <v>3.7519999999999998</v>
      </c>
      <c r="BG176">
        <v>3.7509999999999999</v>
      </c>
      <c r="BH176">
        <v>3.7509999999999999</v>
      </c>
      <c r="BI176">
        <v>3.7509999999999999</v>
      </c>
      <c r="BJ176">
        <v>3.7509999999999999</v>
      </c>
      <c r="BK176">
        <v>3.75</v>
      </c>
      <c r="BL176">
        <v>3.75</v>
      </c>
      <c r="BM176">
        <v>3.75</v>
      </c>
      <c r="BN176">
        <v>3.75</v>
      </c>
      <c r="BO176">
        <v>3.75</v>
      </c>
      <c r="BP176">
        <v>3.7509999999999999</v>
      </c>
      <c r="BQ176">
        <v>3.7530000000000001</v>
      </c>
    </row>
    <row r="177" spans="1:69" x14ac:dyDescent="0.25">
      <c r="A177" t="s">
        <v>66</v>
      </c>
      <c r="B177">
        <v>568.51900000000001</v>
      </c>
      <c r="C177">
        <v>574.04100000000005</v>
      </c>
      <c r="D177">
        <v>569.30799999999999</v>
      </c>
      <c r="E177">
        <v>560.16800000000001</v>
      </c>
      <c r="F177">
        <v>560.16800000000001</v>
      </c>
      <c r="G177">
        <v>568.81500000000005</v>
      </c>
      <c r="H177">
        <v>551.87400000000002</v>
      </c>
      <c r="I177">
        <v>563.053</v>
      </c>
      <c r="J177">
        <v>558.59400000000005</v>
      </c>
      <c r="K177">
        <v>567.24099999999999</v>
      </c>
      <c r="L177">
        <v>567.24099999999999</v>
      </c>
      <c r="M177">
        <v>559.30799999999999</v>
      </c>
      <c r="N177">
        <v>560.55100000000004</v>
      </c>
      <c r="O177">
        <v>561.17499999999995</v>
      </c>
      <c r="P177">
        <v>571.98900000000003</v>
      </c>
      <c r="Q177">
        <v>588.46100000000001</v>
      </c>
      <c r="R177">
        <v>577.32500000000005</v>
      </c>
      <c r="S177">
        <v>602.40300000000002</v>
      </c>
      <c r="T177">
        <v>634.08100000000002</v>
      </c>
      <c r="U177">
        <v>642.654</v>
      </c>
      <c r="V177">
        <v>624.84</v>
      </c>
      <c r="W177">
        <v>618.59400000000005</v>
      </c>
      <c r="X177">
        <v>599.65</v>
      </c>
      <c r="Y177">
        <v>595.35</v>
      </c>
      <c r="Z177">
        <v>598.71900000000005</v>
      </c>
      <c r="AA177">
        <v>602.45899999999995</v>
      </c>
      <c r="AB177">
        <v>605.46199999999999</v>
      </c>
      <c r="AC177">
        <v>607.14300000000003</v>
      </c>
      <c r="AD177">
        <v>611.15899999999999</v>
      </c>
      <c r="AE177">
        <v>599.65</v>
      </c>
      <c r="AF177">
        <v>611.72900000000004</v>
      </c>
      <c r="AG177">
        <v>598.88300000000004</v>
      </c>
      <c r="AH177">
        <v>607.98699999999997</v>
      </c>
      <c r="AI177">
        <v>614.71</v>
      </c>
      <c r="AJ177">
        <v>617.13900000000001</v>
      </c>
      <c r="AK177">
        <v>610.64700000000005</v>
      </c>
      <c r="AL177">
        <v>598.61</v>
      </c>
      <c r="AM177">
        <v>591.43200000000002</v>
      </c>
      <c r="AN177">
        <v>608.26900000000001</v>
      </c>
      <c r="AO177">
        <v>601.24400000000003</v>
      </c>
      <c r="AP177">
        <v>597.46500000000003</v>
      </c>
      <c r="AQ177">
        <v>612.47199999999998</v>
      </c>
      <c r="AR177">
        <v>612.12900000000002</v>
      </c>
      <c r="AS177">
        <v>609.28599999999994</v>
      </c>
      <c r="AT177">
        <v>615.40200000000004</v>
      </c>
      <c r="AU177">
        <v>637.65599999999995</v>
      </c>
      <c r="AV177">
        <v>676.73299999999995</v>
      </c>
      <c r="AW177">
        <v>653.79899999999998</v>
      </c>
      <c r="AX177">
        <v>633.22400000000005</v>
      </c>
      <c r="AY177">
        <v>653.40899999999999</v>
      </c>
      <c r="AZ177">
        <v>628.13099999999997</v>
      </c>
      <c r="BA177">
        <v>621.34799999999996</v>
      </c>
      <c r="BB177">
        <v>603.34500000000003</v>
      </c>
      <c r="BC177">
        <v>598.61</v>
      </c>
      <c r="BD177">
        <v>575.70399999999995</v>
      </c>
      <c r="BE177">
        <v>574.49400000000003</v>
      </c>
      <c r="BF177">
        <v>582.19299999999998</v>
      </c>
      <c r="BG177">
        <v>572.08900000000006</v>
      </c>
      <c r="BH177">
        <v>563.97299999999996</v>
      </c>
      <c r="BI177">
        <v>555.89599999999996</v>
      </c>
      <c r="BJ177">
        <v>551.73400000000004</v>
      </c>
      <c r="BK177">
        <v>549.88400000000001</v>
      </c>
      <c r="BL177">
        <v>537.71400000000006</v>
      </c>
      <c r="BM177">
        <v>541.84500000000003</v>
      </c>
      <c r="BN177">
        <v>559.69000000000005</v>
      </c>
      <c r="BO177">
        <v>549.24</v>
      </c>
      <c r="BP177">
        <v>540.46100000000001</v>
      </c>
      <c r="BQ177">
        <v>539.26099999999997</v>
      </c>
    </row>
    <row r="178" spans="1:69" x14ac:dyDescent="0.25">
      <c r="A178" t="s">
        <v>239</v>
      </c>
      <c r="B178">
        <v>101.59</v>
      </c>
      <c r="C178">
        <v>102.611</v>
      </c>
      <c r="D178">
        <v>101.785</v>
      </c>
      <c r="E178">
        <v>100.21</v>
      </c>
      <c r="F178">
        <v>100.095</v>
      </c>
      <c r="G178">
        <v>101.75</v>
      </c>
      <c r="H178">
        <v>98.710999999999999</v>
      </c>
      <c r="I178">
        <v>100.616</v>
      </c>
      <c r="J178">
        <v>100.152</v>
      </c>
      <c r="K178">
        <v>101.32</v>
      </c>
      <c r="L178">
        <v>101.226</v>
      </c>
      <c r="M178">
        <v>99.813000000000002</v>
      </c>
      <c r="N178">
        <v>100.04900000000001</v>
      </c>
      <c r="O178">
        <v>100.12</v>
      </c>
      <c r="P178">
        <v>102.087</v>
      </c>
      <c r="Q178">
        <v>105.102</v>
      </c>
      <c r="R178">
        <v>103.032</v>
      </c>
      <c r="S178">
        <v>107.456</v>
      </c>
      <c r="T178">
        <v>113.09399999999999</v>
      </c>
      <c r="U178">
        <v>114.723</v>
      </c>
      <c r="V178">
        <v>111.361</v>
      </c>
      <c r="W178">
        <v>110.29</v>
      </c>
      <c r="X178">
        <v>106.92</v>
      </c>
      <c r="Y178">
        <v>106.18</v>
      </c>
      <c r="Z178">
        <v>106.785</v>
      </c>
      <c r="AA178">
        <v>107.446</v>
      </c>
      <c r="AB178">
        <v>107.996</v>
      </c>
      <c r="AC178">
        <v>108.36799999999999</v>
      </c>
      <c r="AD178">
        <v>109.086</v>
      </c>
      <c r="AE178">
        <v>107.101</v>
      </c>
      <c r="AF178">
        <v>109.23</v>
      </c>
      <c r="AG178">
        <v>107.01</v>
      </c>
      <c r="AH178">
        <v>108.589</v>
      </c>
      <c r="AI178">
        <v>109.782</v>
      </c>
      <c r="AJ178">
        <v>110.21</v>
      </c>
      <c r="AK178">
        <v>109.044</v>
      </c>
      <c r="AL178">
        <v>106.867</v>
      </c>
      <c r="AM178">
        <v>105.672</v>
      </c>
      <c r="AN178">
        <v>108.664</v>
      </c>
      <c r="AO178">
        <v>107.462</v>
      </c>
      <c r="AP178">
        <v>106.756</v>
      </c>
      <c r="AQ178">
        <v>109.476</v>
      </c>
      <c r="AR178">
        <v>109.417</v>
      </c>
      <c r="AS178">
        <v>108.97499999999999</v>
      </c>
      <c r="AT178">
        <v>110.027</v>
      </c>
      <c r="AU178">
        <v>113.87</v>
      </c>
      <c r="AV178">
        <v>120.95399999999999</v>
      </c>
      <c r="AW178">
        <v>116.879</v>
      </c>
      <c r="AX178">
        <v>113.151</v>
      </c>
      <c r="AY178">
        <v>116.84</v>
      </c>
      <c r="AZ178">
        <v>112.374</v>
      </c>
      <c r="BA178">
        <v>111.379</v>
      </c>
      <c r="BB178">
        <v>108.163</v>
      </c>
      <c r="BC178">
        <v>107.242</v>
      </c>
      <c r="BD178">
        <v>103.113</v>
      </c>
      <c r="BE178">
        <v>102.923</v>
      </c>
      <c r="BF178">
        <v>104.283</v>
      </c>
      <c r="BG178">
        <v>100.73</v>
      </c>
      <c r="BH178">
        <v>101.05</v>
      </c>
      <c r="BI178">
        <v>99.646000000000001</v>
      </c>
      <c r="BJ178">
        <v>98.822999999999993</v>
      </c>
      <c r="BK178">
        <v>98.516000000000005</v>
      </c>
      <c r="BL178">
        <v>96.323999999999998</v>
      </c>
      <c r="BM178">
        <v>97.061000000000007</v>
      </c>
      <c r="BN178">
        <v>100.22799999999999</v>
      </c>
      <c r="BO178">
        <v>95.98</v>
      </c>
      <c r="BP178">
        <v>96.82</v>
      </c>
      <c r="BQ178">
        <v>95.753</v>
      </c>
    </row>
    <row r="179" spans="1:69" x14ac:dyDescent="0.25">
      <c r="A179" t="s">
        <v>250</v>
      </c>
      <c r="B179">
        <v>13.714</v>
      </c>
      <c r="C179">
        <v>13.397</v>
      </c>
      <c r="D179">
        <v>13.358000000000001</v>
      </c>
      <c r="E179">
        <v>13.946999999999999</v>
      </c>
      <c r="F179">
        <v>14.06</v>
      </c>
      <c r="G179">
        <v>13.304</v>
      </c>
      <c r="H179">
        <v>13.51</v>
      </c>
      <c r="I179">
        <v>13.757999999999999</v>
      </c>
      <c r="J179">
        <v>14.045999999999999</v>
      </c>
      <c r="K179">
        <v>13.66</v>
      </c>
      <c r="L179">
        <v>14.252000000000001</v>
      </c>
      <c r="M179">
        <v>14.252000000000001</v>
      </c>
      <c r="N179">
        <v>14.145</v>
      </c>
      <c r="O179">
        <v>14.145</v>
      </c>
      <c r="P179">
        <v>14.217000000000001</v>
      </c>
      <c r="Q179">
        <v>14.217000000000001</v>
      </c>
      <c r="R179">
        <v>14.351000000000001</v>
      </c>
      <c r="S179">
        <v>14.374000000000001</v>
      </c>
      <c r="T179">
        <v>14.39</v>
      </c>
      <c r="U179">
        <v>14.266999999999999</v>
      </c>
      <c r="V179">
        <v>13.945</v>
      </c>
      <c r="W179">
        <v>13.593</v>
      </c>
      <c r="X179">
        <v>13.252000000000001</v>
      </c>
      <c r="Y179">
        <v>13.295999999999999</v>
      </c>
      <c r="Z179">
        <v>13.436</v>
      </c>
      <c r="AA179">
        <v>13.776</v>
      </c>
      <c r="AB179">
        <v>13.765000000000001</v>
      </c>
      <c r="AC179">
        <v>13.698</v>
      </c>
      <c r="AD179">
        <v>13.656000000000001</v>
      </c>
      <c r="AE179">
        <v>13.565</v>
      </c>
      <c r="AF179">
        <v>13.385999999999999</v>
      </c>
      <c r="AG179">
        <v>13.438000000000001</v>
      </c>
      <c r="AH179">
        <v>13.416</v>
      </c>
      <c r="AI179">
        <v>13.138999999999999</v>
      </c>
      <c r="AJ179">
        <v>13.097</v>
      </c>
      <c r="AK179">
        <v>12.872999999999999</v>
      </c>
      <c r="AL179">
        <v>13.436</v>
      </c>
      <c r="AM179">
        <v>13.311999999999999</v>
      </c>
      <c r="AN179">
        <v>13.215</v>
      </c>
      <c r="AO179">
        <v>13.105</v>
      </c>
      <c r="AP179">
        <v>13.461</v>
      </c>
      <c r="AQ179">
        <v>13.058</v>
      </c>
      <c r="AR179">
        <v>13.266999999999999</v>
      </c>
      <c r="AS179">
        <v>13.454000000000001</v>
      </c>
      <c r="AT179">
        <v>13.175000000000001</v>
      </c>
      <c r="AU179">
        <v>13.189</v>
      </c>
      <c r="AV179">
        <v>12.930999999999999</v>
      </c>
      <c r="AW179">
        <v>12.971</v>
      </c>
      <c r="AX179">
        <v>12.779</v>
      </c>
      <c r="AY179">
        <v>13.287000000000001</v>
      </c>
      <c r="AZ179">
        <v>13.063000000000001</v>
      </c>
      <c r="BA179">
        <v>13.048</v>
      </c>
      <c r="BB179">
        <v>13.731</v>
      </c>
      <c r="BC179">
        <v>13.768000000000001</v>
      </c>
      <c r="BD179">
        <v>13.266999999999999</v>
      </c>
      <c r="BE179">
        <v>13.939</v>
      </c>
      <c r="BF179">
        <v>13.54</v>
      </c>
      <c r="BG179">
        <v>13.340999999999999</v>
      </c>
      <c r="BH179">
        <v>13.625999999999999</v>
      </c>
      <c r="BI179">
        <v>13.081</v>
      </c>
      <c r="BJ179">
        <v>13.922000000000001</v>
      </c>
      <c r="BK179">
        <v>15.23</v>
      </c>
      <c r="BL179">
        <v>15.94</v>
      </c>
      <c r="BM179">
        <v>14.204000000000001</v>
      </c>
      <c r="BN179">
        <v>18.2</v>
      </c>
      <c r="BO179">
        <v>20.920999999999999</v>
      </c>
      <c r="BP179">
        <v>20.597999999999999</v>
      </c>
      <c r="BQ179">
        <v>20.724</v>
      </c>
    </row>
    <row r="180" spans="1:69" x14ac:dyDescent="0.25">
      <c r="A180" t="s">
        <v>339</v>
      </c>
      <c r="B180">
        <v>23.98</v>
      </c>
      <c r="C180">
        <v>23.92</v>
      </c>
      <c r="D180">
        <v>23.88</v>
      </c>
      <c r="E180">
        <v>23.864999999999998</v>
      </c>
      <c r="F180">
        <v>23.864999999999998</v>
      </c>
      <c r="G180">
        <v>23.84</v>
      </c>
      <c r="H180">
        <v>23.837</v>
      </c>
      <c r="I180">
        <v>23.827999999999999</v>
      </c>
      <c r="J180">
        <v>23.82</v>
      </c>
      <c r="K180">
        <v>23.82</v>
      </c>
      <c r="L180">
        <v>23.78</v>
      </c>
      <c r="M180">
        <v>23.75</v>
      </c>
      <c r="N180">
        <v>23.75</v>
      </c>
      <c r="O180">
        <v>23.65</v>
      </c>
      <c r="P180">
        <v>23.701000000000001</v>
      </c>
      <c r="Q180">
        <v>23.6</v>
      </c>
      <c r="R180">
        <v>23.53</v>
      </c>
      <c r="S180">
        <v>23.491</v>
      </c>
      <c r="T180">
        <v>23.47</v>
      </c>
      <c r="U180">
        <v>23.45</v>
      </c>
      <c r="V180">
        <v>23.4</v>
      </c>
      <c r="W180">
        <v>23.35</v>
      </c>
      <c r="X180">
        <v>23.3</v>
      </c>
      <c r="Y180">
        <v>23.216999999999999</v>
      </c>
      <c r="Z180">
        <v>23.216000000000001</v>
      </c>
      <c r="AA180">
        <v>23.216000000000001</v>
      </c>
      <c r="AB180">
        <v>23.212</v>
      </c>
      <c r="AC180">
        <v>23.21</v>
      </c>
      <c r="AD180">
        <v>23</v>
      </c>
      <c r="AE180">
        <v>23</v>
      </c>
      <c r="AF180">
        <v>23</v>
      </c>
      <c r="AG180">
        <v>23</v>
      </c>
      <c r="AH180">
        <v>22.908999999999999</v>
      </c>
      <c r="AI180">
        <v>22.428999999999998</v>
      </c>
      <c r="AJ180">
        <v>23</v>
      </c>
      <c r="AK180">
        <v>23</v>
      </c>
      <c r="AL180">
        <v>21.5</v>
      </c>
      <c r="AM180">
        <v>20.5</v>
      </c>
      <c r="AN180">
        <v>22.7</v>
      </c>
      <c r="AO180">
        <v>22.45</v>
      </c>
      <c r="AP180">
        <v>21.46</v>
      </c>
      <c r="AQ180">
        <v>20.2</v>
      </c>
      <c r="AR180">
        <v>19.719000000000001</v>
      </c>
      <c r="AS180">
        <v>18.829999999999998</v>
      </c>
      <c r="AT180">
        <v>18.45</v>
      </c>
      <c r="AU180">
        <v>17.579999999999998</v>
      </c>
      <c r="AV180">
        <v>16.399999999999999</v>
      </c>
      <c r="AW180">
        <v>14.21</v>
      </c>
      <c r="AX180">
        <v>13.89</v>
      </c>
      <c r="AY180">
        <v>13540</v>
      </c>
      <c r="AZ180">
        <v>13040</v>
      </c>
      <c r="BA180">
        <v>12705</v>
      </c>
      <c r="BB180">
        <v>12150</v>
      </c>
      <c r="BC180">
        <v>11635</v>
      </c>
      <c r="BD180">
        <v>11325</v>
      </c>
      <c r="BE180">
        <v>11340</v>
      </c>
      <c r="BF180">
        <v>11041</v>
      </c>
      <c r="BG180">
        <v>10782</v>
      </c>
      <c r="BH180">
        <v>10450</v>
      </c>
      <c r="BI180">
        <v>10330</v>
      </c>
      <c r="BJ180">
        <v>10275</v>
      </c>
      <c r="BK180">
        <v>10240</v>
      </c>
      <c r="BL180">
        <v>10215</v>
      </c>
      <c r="BM180">
        <v>10216</v>
      </c>
      <c r="BN180">
        <v>10229</v>
      </c>
      <c r="BO180">
        <v>10197</v>
      </c>
      <c r="BP180">
        <v>10205</v>
      </c>
      <c r="BQ180">
        <v>10100</v>
      </c>
    </row>
    <row r="181" spans="1:69" x14ac:dyDescent="0.25">
      <c r="A181" t="s">
        <v>256</v>
      </c>
      <c r="B181">
        <v>1.28</v>
      </c>
      <c r="C181">
        <v>1.292</v>
      </c>
      <c r="D181">
        <v>1.2889999999999999</v>
      </c>
      <c r="E181">
        <v>1.2729999999999999</v>
      </c>
      <c r="F181">
        <v>1.2749999999999999</v>
      </c>
      <c r="G181">
        <v>1.2769999999999999</v>
      </c>
      <c r="H181">
        <v>1.2609999999999999</v>
      </c>
      <c r="I181">
        <v>1.2889999999999999</v>
      </c>
      <c r="J181">
        <v>1.2909999999999999</v>
      </c>
      <c r="K181">
        <v>1.3029999999999999</v>
      </c>
      <c r="L181">
        <v>1.2989999999999999</v>
      </c>
      <c r="M181">
        <v>1.2829999999999999</v>
      </c>
      <c r="N181">
        <v>1.28</v>
      </c>
      <c r="O181">
        <v>1.28</v>
      </c>
      <c r="P181">
        <v>1.2849999999999999</v>
      </c>
      <c r="Q181">
        <v>1.3029999999999999</v>
      </c>
      <c r="R181">
        <v>1.3180000000000001</v>
      </c>
      <c r="S181">
        <v>1.3340000000000001</v>
      </c>
      <c r="T181">
        <v>1.3560000000000001</v>
      </c>
      <c r="U181">
        <v>1.373</v>
      </c>
      <c r="V181">
        <v>1.343</v>
      </c>
      <c r="W181">
        <v>1.339</v>
      </c>
      <c r="X181">
        <v>1.306</v>
      </c>
      <c r="Y181">
        <v>1.304</v>
      </c>
      <c r="Z181">
        <v>1.32</v>
      </c>
      <c r="AA181">
        <v>1.3420000000000001</v>
      </c>
      <c r="AB181">
        <v>1.345</v>
      </c>
      <c r="AC181">
        <v>1.3520000000000001</v>
      </c>
      <c r="AD181">
        <v>1.353</v>
      </c>
      <c r="AE181">
        <v>1.333</v>
      </c>
      <c r="AF181">
        <v>1.35</v>
      </c>
      <c r="AG181">
        <v>1.3320000000000001</v>
      </c>
      <c r="AH181">
        <v>1.3420000000000001</v>
      </c>
      <c r="AI181">
        <v>1.361</v>
      </c>
      <c r="AJ181">
        <v>1.3620000000000001</v>
      </c>
      <c r="AK181">
        <v>1.361</v>
      </c>
      <c r="AL181">
        <v>1.3520000000000001</v>
      </c>
      <c r="AM181">
        <v>1.333</v>
      </c>
      <c r="AN181">
        <v>1.341</v>
      </c>
      <c r="AO181">
        <v>1.331</v>
      </c>
      <c r="AP181">
        <v>1.3280000000000001</v>
      </c>
      <c r="AQ181">
        <v>1.349</v>
      </c>
      <c r="AR181">
        <v>1.33</v>
      </c>
      <c r="AS181">
        <v>1.331</v>
      </c>
      <c r="AT181">
        <v>1.3440000000000001</v>
      </c>
      <c r="AU181">
        <v>1.3759999999999999</v>
      </c>
      <c r="AV181">
        <v>1.4370000000000001</v>
      </c>
      <c r="AW181">
        <v>1.4039999999999999</v>
      </c>
      <c r="AX181">
        <v>1.367</v>
      </c>
      <c r="AY181">
        <v>1.407</v>
      </c>
      <c r="AZ181">
        <v>1.39</v>
      </c>
      <c r="BA181">
        <v>1.385</v>
      </c>
      <c r="BB181">
        <v>1.363</v>
      </c>
      <c r="BC181">
        <v>1.36</v>
      </c>
      <c r="BD181">
        <v>1.343</v>
      </c>
      <c r="BE181">
        <v>1.3480000000000001</v>
      </c>
      <c r="BF181">
        <v>1.37</v>
      </c>
      <c r="BG181">
        <v>1.3540000000000001</v>
      </c>
      <c r="BH181">
        <v>1.359</v>
      </c>
      <c r="BI181">
        <v>1.3420000000000001</v>
      </c>
      <c r="BJ181">
        <v>1.353</v>
      </c>
      <c r="BK181">
        <v>1.3440000000000001</v>
      </c>
      <c r="BL181">
        <v>1.3240000000000001</v>
      </c>
      <c r="BM181">
        <v>1.327</v>
      </c>
      <c r="BN181">
        <v>1.3480000000000001</v>
      </c>
      <c r="BO181">
        <v>1.341</v>
      </c>
      <c r="BP181">
        <v>1.3240000000000001</v>
      </c>
      <c r="BQ181">
        <v>1.3260000000000001</v>
      </c>
    </row>
    <row r="182" spans="1:69" x14ac:dyDescent="0.25">
      <c r="A182" s="3" t="s">
        <v>337</v>
      </c>
      <c r="B182" s="3">
        <v>1.79</v>
      </c>
      <c r="C182" s="3">
        <v>1.79</v>
      </c>
      <c r="D182">
        <v>1.79</v>
      </c>
      <c r="E182">
        <v>1.79</v>
      </c>
      <c r="F182">
        <v>1.79</v>
      </c>
      <c r="G182">
        <v>1.79</v>
      </c>
      <c r="H182">
        <v>1.79</v>
      </c>
      <c r="I182">
        <v>1.79</v>
      </c>
      <c r="J182">
        <v>1.79</v>
      </c>
      <c r="K182">
        <v>1.79</v>
      </c>
      <c r="L182">
        <v>1.79</v>
      </c>
      <c r="M182">
        <v>1.79</v>
      </c>
      <c r="N182">
        <v>1.79</v>
      </c>
      <c r="O182">
        <v>1.79</v>
      </c>
      <c r="P182">
        <v>1.79</v>
      </c>
      <c r="Q182">
        <v>1.79</v>
      </c>
      <c r="R182">
        <v>1.79</v>
      </c>
    </row>
    <row r="183" spans="1:69" x14ac:dyDescent="0.25">
      <c r="A183" t="s">
        <v>45</v>
      </c>
      <c r="B183">
        <v>0.86699999999999999</v>
      </c>
      <c r="C183">
        <v>0.875</v>
      </c>
      <c r="D183">
        <v>0.86799999999999999</v>
      </c>
      <c r="E183">
        <v>0.85399999999999998</v>
      </c>
      <c r="F183">
        <v>0.85399999999999998</v>
      </c>
      <c r="G183">
        <v>0.86699999999999999</v>
      </c>
      <c r="H183">
        <v>0.84099999999999997</v>
      </c>
      <c r="I183">
        <v>0.85799999999999998</v>
      </c>
      <c r="J183">
        <v>0.85199999999999998</v>
      </c>
      <c r="K183">
        <v>0.86499999999999999</v>
      </c>
      <c r="L183">
        <v>0.86499999999999999</v>
      </c>
      <c r="M183">
        <v>0.85299999999999998</v>
      </c>
      <c r="N183">
        <v>0.85499999999999998</v>
      </c>
      <c r="O183">
        <v>0.85599999999999998</v>
      </c>
      <c r="P183">
        <v>0.872</v>
      </c>
      <c r="Q183">
        <v>0.89700000000000002</v>
      </c>
      <c r="R183">
        <v>0.88</v>
      </c>
      <c r="S183">
        <v>0.91800000000000004</v>
      </c>
      <c r="T183">
        <v>0.96699999999999997</v>
      </c>
      <c r="U183">
        <v>0.98</v>
      </c>
      <c r="V183">
        <v>0.95299999999999996</v>
      </c>
      <c r="W183">
        <v>0.94299999999999995</v>
      </c>
      <c r="X183">
        <v>0.91400000000000003</v>
      </c>
      <c r="Y183">
        <v>0.90800000000000003</v>
      </c>
      <c r="Z183">
        <v>0.91300000000000003</v>
      </c>
      <c r="AA183">
        <v>0.91800000000000004</v>
      </c>
      <c r="AB183">
        <v>0.92300000000000004</v>
      </c>
      <c r="AC183">
        <v>0.92600000000000005</v>
      </c>
      <c r="AD183">
        <v>0.93200000000000005</v>
      </c>
      <c r="AE183">
        <v>0.91400000000000003</v>
      </c>
      <c r="AF183">
        <v>0.93300000000000005</v>
      </c>
      <c r="AG183">
        <v>0.91300000000000003</v>
      </c>
      <c r="AH183">
        <v>0.92700000000000005</v>
      </c>
      <c r="AI183">
        <v>0.93700000000000006</v>
      </c>
      <c r="AJ183">
        <v>0.94099999999999995</v>
      </c>
      <c r="AK183">
        <v>0.93100000000000005</v>
      </c>
      <c r="AL183">
        <v>0.91300000000000003</v>
      </c>
      <c r="AM183">
        <v>0.90200000000000002</v>
      </c>
      <c r="AN183">
        <v>0.92700000000000005</v>
      </c>
      <c r="AO183">
        <v>0.91700000000000004</v>
      </c>
      <c r="AP183">
        <v>0.91100000000000003</v>
      </c>
      <c r="AQ183">
        <v>0.93400000000000005</v>
      </c>
      <c r="AR183">
        <v>0.93300000000000005</v>
      </c>
      <c r="AS183">
        <v>0.92900000000000005</v>
      </c>
      <c r="AT183">
        <v>0.93799999999999994</v>
      </c>
      <c r="AU183">
        <v>0.97199999999999998</v>
      </c>
      <c r="AV183">
        <v>1.032</v>
      </c>
      <c r="AW183">
        <v>0.997</v>
      </c>
      <c r="AX183">
        <v>0.96499999999999997</v>
      </c>
      <c r="AY183">
        <v>0.996</v>
      </c>
      <c r="AZ183">
        <v>0.95799999999999996</v>
      </c>
      <c r="BA183">
        <v>0.94699999999999995</v>
      </c>
      <c r="BB183">
        <v>0.92</v>
      </c>
      <c r="BC183">
        <v>0.91300000000000003</v>
      </c>
      <c r="BD183">
        <v>0.878</v>
      </c>
      <c r="BE183">
        <v>0.876</v>
      </c>
      <c r="BF183">
        <v>0.88800000000000001</v>
      </c>
      <c r="BG183">
        <v>0.872</v>
      </c>
      <c r="BH183">
        <v>0.86</v>
      </c>
      <c r="BI183">
        <v>0.84699999999999998</v>
      </c>
      <c r="BJ183">
        <v>0.84099999999999997</v>
      </c>
      <c r="BK183">
        <v>0.83799999999999997</v>
      </c>
      <c r="BL183">
        <v>0.82</v>
      </c>
      <c r="BM183">
        <v>0.82599999999999996</v>
      </c>
      <c r="BN183">
        <v>0.85299999999999998</v>
      </c>
      <c r="BO183">
        <v>0.83699999999999997</v>
      </c>
      <c r="BP183">
        <v>0.82399999999999995</v>
      </c>
      <c r="BQ183">
        <v>0.82199999999999995</v>
      </c>
    </row>
    <row r="184" spans="1:69" x14ac:dyDescent="0.25">
      <c r="A184" t="s">
        <v>45</v>
      </c>
      <c r="B184">
        <v>0.86699999999999999</v>
      </c>
      <c r="C184">
        <v>0.875</v>
      </c>
      <c r="D184">
        <v>0.86799999999999999</v>
      </c>
      <c r="E184">
        <v>0.85399999999999998</v>
      </c>
      <c r="F184">
        <v>0.85399999999999998</v>
      </c>
      <c r="G184">
        <v>0.86699999999999999</v>
      </c>
      <c r="H184">
        <v>0.84099999999999997</v>
      </c>
      <c r="I184">
        <v>0.85799999999999998</v>
      </c>
      <c r="J184">
        <v>0.85199999999999998</v>
      </c>
      <c r="K184">
        <v>0.86499999999999999</v>
      </c>
      <c r="L184">
        <v>0.86499999999999999</v>
      </c>
      <c r="M184">
        <v>0.85299999999999998</v>
      </c>
      <c r="N184">
        <v>0.85499999999999998</v>
      </c>
      <c r="O184">
        <v>0.85599999999999998</v>
      </c>
      <c r="P184">
        <v>0.872</v>
      </c>
      <c r="Q184">
        <v>0.89700000000000002</v>
      </c>
      <c r="R184">
        <v>0.88</v>
      </c>
      <c r="S184">
        <v>0.91800000000000004</v>
      </c>
      <c r="T184">
        <v>0.96699999999999997</v>
      </c>
      <c r="U184">
        <v>0.98</v>
      </c>
      <c r="V184">
        <v>0.95299999999999996</v>
      </c>
      <c r="W184">
        <v>0.94299999999999995</v>
      </c>
      <c r="X184">
        <v>0.91400000000000003</v>
      </c>
      <c r="Y184">
        <v>0.90800000000000003</v>
      </c>
      <c r="Z184">
        <v>0.91300000000000003</v>
      </c>
      <c r="AA184">
        <v>0.91800000000000004</v>
      </c>
      <c r="AB184">
        <v>0.92300000000000004</v>
      </c>
      <c r="AC184">
        <v>0.92600000000000005</v>
      </c>
      <c r="AD184">
        <v>0.93200000000000005</v>
      </c>
      <c r="AE184">
        <v>0.91400000000000003</v>
      </c>
      <c r="AF184">
        <v>0.93300000000000005</v>
      </c>
      <c r="AG184">
        <v>0.91300000000000003</v>
      </c>
      <c r="AH184">
        <v>0.92700000000000005</v>
      </c>
      <c r="AI184">
        <v>0.93700000000000006</v>
      </c>
      <c r="AJ184">
        <v>0.94099999999999995</v>
      </c>
      <c r="AK184">
        <v>0.93100000000000005</v>
      </c>
      <c r="AL184">
        <v>0.91300000000000003</v>
      </c>
      <c r="AM184">
        <v>0.90200000000000002</v>
      </c>
      <c r="AN184">
        <v>0.92700000000000005</v>
      </c>
      <c r="AO184">
        <v>0.91700000000000004</v>
      </c>
      <c r="AP184">
        <v>0.91100000000000003</v>
      </c>
      <c r="AQ184">
        <v>0.93400000000000005</v>
      </c>
      <c r="AR184">
        <v>0.93300000000000005</v>
      </c>
      <c r="AS184">
        <v>0.92900000000000005</v>
      </c>
      <c r="AT184">
        <v>0.93799999999999994</v>
      </c>
      <c r="AU184">
        <v>0.97199999999999998</v>
      </c>
      <c r="AV184">
        <v>1.032</v>
      </c>
      <c r="AW184">
        <v>0.997</v>
      </c>
      <c r="AX184">
        <v>0.96499999999999997</v>
      </c>
      <c r="AY184">
        <v>0.996</v>
      </c>
      <c r="AZ184">
        <v>0.95799999999999996</v>
      </c>
      <c r="BA184">
        <v>0.94699999999999995</v>
      </c>
      <c r="BB184">
        <v>0.92</v>
      </c>
      <c r="BC184">
        <v>0.91300000000000003</v>
      </c>
      <c r="BD184">
        <v>0.878</v>
      </c>
      <c r="BE184">
        <v>0.876</v>
      </c>
      <c r="BF184">
        <v>0.88800000000000001</v>
      </c>
      <c r="BG184">
        <v>0.872</v>
      </c>
      <c r="BH184">
        <v>0.86</v>
      </c>
      <c r="BI184">
        <v>0.84699999999999998</v>
      </c>
      <c r="BJ184">
        <v>0.84099999999999997</v>
      </c>
      <c r="BK184">
        <v>0.83799999999999997</v>
      </c>
      <c r="BL184">
        <v>0.82</v>
      </c>
      <c r="BM184">
        <v>0.82599999999999996</v>
      </c>
      <c r="BN184">
        <v>0.85299999999999998</v>
      </c>
      <c r="BO184">
        <v>0.83699999999999997</v>
      </c>
      <c r="BP184">
        <v>0.82399999999999995</v>
      </c>
      <c r="BQ184">
        <v>0.82199999999999995</v>
      </c>
    </row>
    <row r="185" spans="1:69" x14ac:dyDescent="0.25">
      <c r="A185" t="s">
        <v>248</v>
      </c>
      <c r="B185">
        <v>7.9180000000000001</v>
      </c>
      <c r="C185">
        <v>7.968</v>
      </c>
      <c r="D185">
        <v>7.9489999999999998</v>
      </c>
      <c r="E185">
        <v>7.899</v>
      </c>
      <c r="F185">
        <v>7.9429999999999996</v>
      </c>
      <c r="G185">
        <v>7.9180000000000001</v>
      </c>
      <c r="H185">
        <v>7.9109999999999996</v>
      </c>
      <c r="I185">
        <v>8.0060000000000002</v>
      </c>
      <c r="J185">
        <v>8.0519999999999996</v>
      </c>
      <c r="K185">
        <v>8.1170000000000009</v>
      </c>
      <c r="L185">
        <v>8.1170000000000009</v>
      </c>
      <c r="M185">
        <v>8.0909999999999993</v>
      </c>
      <c r="N185">
        <v>8.11</v>
      </c>
      <c r="O185">
        <v>8.2170000000000005</v>
      </c>
      <c r="P185">
        <v>8.2170000000000005</v>
      </c>
      <c r="Q185">
        <v>8.2170000000000005</v>
      </c>
      <c r="R185">
        <v>8.2170000000000005</v>
      </c>
      <c r="S185">
        <v>8.3260000000000005</v>
      </c>
      <c r="T185">
        <v>8.3330000000000002</v>
      </c>
      <c r="U185">
        <v>8.375</v>
      </c>
      <c r="V185">
        <v>8.2989999999999995</v>
      </c>
      <c r="W185">
        <v>8.2439999999999998</v>
      </c>
      <c r="X185">
        <v>8.2029999999999994</v>
      </c>
      <c r="Y185">
        <v>8.2439999999999998</v>
      </c>
      <c r="Z185">
        <v>8.3469999999999995</v>
      </c>
      <c r="AA185">
        <v>8.3059999999999992</v>
      </c>
      <c r="AB185">
        <v>8.3330000000000002</v>
      </c>
      <c r="AC185">
        <v>8.3469999999999995</v>
      </c>
      <c r="AD185">
        <v>8.1769999999999996</v>
      </c>
      <c r="AE185">
        <v>8.1769999999999996</v>
      </c>
      <c r="AF185">
        <v>8.1769999999999996</v>
      </c>
      <c r="AG185">
        <v>8.1769999999999996</v>
      </c>
      <c r="AH185">
        <v>8.1769999999999996</v>
      </c>
      <c r="AI185">
        <v>8.1769999999999996</v>
      </c>
      <c r="AJ185">
        <v>8.17</v>
      </c>
      <c r="AK185">
        <v>8.1630000000000003</v>
      </c>
      <c r="AL185">
        <v>8.1630000000000003</v>
      </c>
      <c r="AM185">
        <v>8.15</v>
      </c>
      <c r="AN185">
        <v>8.157</v>
      </c>
      <c r="AO185">
        <v>8.2370000000000001</v>
      </c>
      <c r="AP185">
        <v>8.19</v>
      </c>
      <c r="AQ185">
        <v>8.1170000000000009</v>
      </c>
      <c r="AR185">
        <v>8.1300000000000008</v>
      </c>
      <c r="AS185">
        <v>8.1370000000000005</v>
      </c>
      <c r="AT185">
        <v>8.157</v>
      </c>
      <c r="AU185">
        <v>8.0969999999999995</v>
      </c>
      <c r="AV185">
        <v>8.0649999999999995</v>
      </c>
      <c r="AW185">
        <v>8.0190000000000001</v>
      </c>
      <c r="AX185">
        <v>8.0969999999999995</v>
      </c>
      <c r="AY185">
        <v>8.0969999999999995</v>
      </c>
      <c r="AZ185">
        <v>7.9939999999999998</v>
      </c>
      <c r="BA185">
        <v>7.9550000000000001</v>
      </c>
      <c r="BB185">
        <v>7.93</v>
      </c>
      <c r="BC185">
        <v>7.9489999999999998</v>
      </c>
      <c r="BD185">
        <v>7.968</v>
      </c>
      <c r="BE185">
        <v>7.9489999999999998</v>
      </c>
      <c r="BF185">
        <v>7.9240000000000004</v>
      </c>
      <c r="BG185">
        <v>7.899</v>
      </c>
      <c r="BH185">
        <v>7.9180000000000001</v>
      </c>
      <c r="BI185">
        <v>7.9180000000000001</v>
      </c>
      <c r="BJ185">
        <v>7.8929999999999998</v>
      </c>
      <c r="BK185">
        <v>7.8929999999999998</v>
      </c>
      <c r="BL185">
        <v>7.8250000000000002</v>
      </c>
      <c r="BM185">
        <v>7.8929999999999998</v>
      </c>
      <c r="BN185">
        <v>7.8860000000000001</v>
      </c>
      <c r="BO185">
        <v>8.0060000000000002</v>
      </c>
      <c r="BP185">
        <v>7.8310000000000004</v>
      </c>
      <c r="BQ185">
        <v>7.8620000000000001</v>
      </c>
    </row>
    <row r="186" spans="1:69" x14ac:dyDescent="0.25">
      <c r="A186" t="s">
        <v>260</v>
      </c>
      <c r="B186">
        <v>24300</v>
      </c>
      <c r="C186">
        <v>24300</v>
      </c>
      <c r="D186">
        <v>24300</v>
      </c>
      <c r="E186">
        <v>24300</v>
      </c>
      <c r="F186">
        <v>24300</v>
      </c>
      <c r="G186">
        <v>24300</v>
      </c>
      <c r="H186">
        <v>24300</v>
      </c>
      <c r="I186">
        <v>24300</v>
      </c>
      <c r="J186">
        <v>24300</v>
      </c>
      <c r="K186">
        <v>24300</v>
      </c>
      <c r="L186">
        <v>24300</v>
      </c>
      <c r="M186">
        <v>24300</v>
      </c>
      <c r="N186">
        <v>24300</v>
      </c>
      <c r="O186">
        <v>24300</v>
      </c>
      <c r="P186">
        <v>24300</v>
      </c>
      <c r="Q186">
        <v>24300</v>
      </c>
      <c r="R186">
        <v>24300</v>
      </c>
      <c r="S186">
        <v>24300</v>
      </c>
      <c r="T186">
        <v>24300</v>
      </c>
      <c r="U186">
        <v>24300</v>
      </c>
      <c r="V186">
        <v>24300</v>
      </c>
      <c r="W186">
        <v>24300</v>
      </c>
      <c r="X186">
        <v>24300</v>
      </c>
      <c r="Y186">
        <v>24300</v>
      </c>
      <c r="Z186">
        <v>24300</v>
      </c>
      <c r="AA186">
        <v>24300</v>
      </c>
      <c r="AB186">
        <v>24300</v>
      </c>
      <c r="AC186">
        <v>24300</v>
      </c>
      <c r="AD186">
        <v>24300</v>
      </c>
      <c r="AE186">
        <v>24300</v>
      </c>
      <c r="AF186">
        <v>24300</v>
      </c>
      <c r="AG186">
        <v>24300</v>
      </c>
      <c r="AH186">
        <v>24300</v>
      </c>
      <c r="AI186">
        <v>24300</v>
      </c>
      <c r="AJ186">
        <v>24300</v>
      </c>
      <c r="AK186">
        <v>24300</v>
      </c>
      <c r="AL186">
        <v>24300</v>
      </c>
      <c r="AM186">
        <v>24300</v>
      </c>
      <c r="AN186">
        <v>24300</v>
      </c>
      <c r="AO186">
        <v>24300</v>
      </c>
      <c r="AP186">
        <v>24300</v>
      </c>
      <c r="AQ186">
        <v>24300</v>
      </c>
      <c r="AR186">
        <v>24300</v>
      </c>
      <c r="AS186">
        <v>24300</v>
      </c>
      <c r="AT186">
        <v>24300</v>
      </c>
      <c r="AU186">
        <v>24300</v>
      </c>
      <c r="AV186">
        <v>24300</v>
      </c>
      <c r="AW186">
        <v>24300</v>
      </c>
      <c r="AX186">
        <v>24300</v>
      </c>
      <c r="AY186">
        <v>24300</v>
      </c>
      <c r="AZ186">
        <v>24300</v>
      </c>
      <c r="BA186">
        <v>24300</v>
      </c>
      <c r="BB186">
        <v>24300</v>
      </c>
      <c r="BC186">
        <v>24300</v>
      </c>
      <c r="BD186">
        <v>24300</v>
      </c>
      <c r="BE186">
        <v>24300</v>
      </c>
      <c r="BF186">
        <v>24300</v>
      </c>
      <c r="BG186">
        <v>24300</v>
      </c>
      <c r="BH186">
        <v>24300</v>
      </c>
      <c r="BI186">
        <v>24300</v>
      </c>
      <c r="BJ186">
        <v>24300</v>
      </c>
      <c r="BK186">
        <v>24300</v>
      </c>
      <c r="BL186">
        <v>24300</v>
      </c>
      <c r="BM186">
        <v>24300</v>
      </c>
      <c r="BN186">
        <v>24300</v>
      </c>
      <c r="BO186">
        <v>24300</v>
      </c>
      <c r="BP186">
        <v>24300</v>
      </c>
      <c r="BQ186">
        <v>24300</v>
      </c>
    </row>
    <row r="187" spans="1:69" x14ac:dyDescent="0.25">
      <c r="A187" t="s">
        <v>308</v>
      </c>
      <c r="B187">
        <v>16.131</v>
      </c>
      <c r="C187">
        <v>16.356000000000002</v>
      </c>
      <c r="D187">
        <v>16.521999999999998</v>
      </c>
      <c r="E187">
        <v>16.457000000000001</v>
      </c>
      <c r="F187">
        <v>16.501000000000001</v>
      </c>
      <c r="G187">
        <v>16.675000000000001</v>
      </c>
      <c r="H187">
        <v>15.827</v>
      </c>
      <c r="I187">
        <v>16.433</v>
      </c>
      <c r="J187">
        <v>16.890999999999998</v>
      </c>
      <c r="K187">
        <v>17.085999999999999</v>
      </c>
      <c r="L187">
        <v>17.312000000000001</v>
      </c>
      <c r="M187">
        <v>17.445</v>
      </c>
      <c r="N187">
        <v>17.523</v>
      </c>
      <c r="O187">
        <v>17.911999999999999</v>
      </c>
      <c r="P187">
        <v>17.712</v>
      </c>
      <c r="Q187">
        <v>18.420999999999999</v>
      </c>
      <c r="R187">
        <v>19.183</v>
      </c>
      <c r="S187">
        <v>18.373999999999999</v>
      </c>
      <c r="T187">
        <v>18.533000000000001</v>
      </c>
      <c r="U187">
        <v>19.071999999999999</v>
      </c>
      <c r="V187">
        <v>17.757000000000001</v>
      </c>
      <c r="W187">
        <v>18.071000000000002</v>
      </c>
      <c r="X187">
        <v>17.463000000000001</v>
      </c>
      <c r="Y187">
        <v>17.931999999999999</v>
      </c>
      <c r="Z187">
        <v>18.149999999999999</v>
      </c>
      <c r="AA187">
        <v>17.96</v>
      </c>
      <c r="AB187">
        <v>18.466999999999999</v>
      </c>
      <c r="AC187">
        <v>18.298999999999999</v>
      </c>
      <c r="AD187">
        <v>18.733000000000001</v>
      </c>
      <c r="AE187">
        <v>18.64</v>
      </c>
      <c r="AF187">
        <v>19.055</v>
      </c>
      <c r="AG187">
        <v>18.649999999999999</v>
      </c>
      <c r="AH187">
        <v>19.035</v>
      </c>
      <c r="AI187">
        <v>18.785</v>
      </c>
      <c r="AJ187">
        <v>18.826000000000001</v>
      </c>
      <c r="AK187">
        <v>18.824000000000002</v>
      </c>
      <c r="AL187">
        <v>18.925999999999998</v>
      </c>
      <c r="AM187">
        <v>18.244</v>
      </c>
      <c r="AN187">
        <v>18.591999999999999</v>
      </c>
      <c r="AO187">
        <v>19.242000000000001</v>
      </c>
      <c r="AP187">
        <v>18.363</v>
      </c>
      <c r="AQ187">
        <v>18.198</v>
      </c>
      <c r="AR187">
        <v>17.84</v>
      </c>
      <c r="AS187">
        <v>16.960999999999999</v>
      </c>
      <c r="AT187">
        <v>17.350999999999999</v>
      </c>
      <c r="AU187">
        <v>17.285</v>
      </c>
      <c r="AV187">
        <v>18.266999999999999</v>
      </c>
      <c r="AW187">
        <v>17.346</v>
      </c>
      <c r="AX187">
        <v>16.141999999999999</v>
      </c>
      <c r="AY187">
        <v>16.997</v>
      </c>
      <c r="AZ187">
        <v>16.134</v>
      </c>
      <c r="BA187">
        <v>16.058</v>
      </c>
      <c r="BB187">
        <v>14.504</v>
      </c>
      <c r="BC187">
        <v>15.023</v>
      </c>
      <c r="BD187">
        <v>15.112</v>
      </c>
      <c r="BE187">
        <v>15.377000000000001</v>
      </c>
      <c r="BF187">
        <v>16.152999999999999</v>
      </c>
      <c r="BG187">
        <v>15.255000000000001</v>
      </c>
      <c r="BH187">
        <v>15.146000000000001</v>
      </c>
      <c r="BI187">
        <v>14.137</v>
      </c>
      <c r="BJ187">
        <v>14.606</v>
      </c>
      <c r="BK187">
        <v>14.24</v>
      </c>
      <c r="BL187">
        <v>13.733000000000001</v>
      </c>
      <c r="BM187">
        <v>14.356</v>
      </c>
      <c r="BN187">
        <v>14.935</v>
      </c>
      <c r="BO187">
        <v>14.93</v>
      </c>
      <c r="BP187">
        <v>14.628</v>
      </c>
      <c r="BQ187">
        <v>15.241</v>
      </c>
    </row>
    <row r="188" spans="1:69" x14ac:dyDescent="0.25">
      <c r="A188" t="s">
        <v>263</v>
      </c>
      <c r="B188">
        <v>5660.86</v>
      </c>
      <c r="C188">
        <v>4807.0219999999999</v>
      </c>
      <c r="D188">
        <v>4714.1350000000002</v>
      </c>
      <c r="E188">
        <v>4701.9560000000001</v>
      </c>
      <c r="F188">
        <v>4603.5439999999999</v>
      </c>
      <c r="G188">
        <v>4568.5</v>
      </c>
      <c r="H188">
        <v>4550.4189999999999</v>
      </c>
      <c r="I188">
        <v>4546.8869999999997</v>
      </c>
      <c r="J188">
        <v>4555.5280000000002</v>
      </c>
      <c r="K188">
        <v>4583.5839999999998</v>
      </c>
      <c r="L188">
        <v>4592.5396000000001</v>
      </c>
      <c r="M188">
        <v>4561.1827999999996</v>
      </c>
      <c r="N188">
        <v>4540.3541999999998</v>
      </c>
      <c r="O188">
        <v>4531.433</v>
      </c>
      <c r="P188">
        <v>4529.7749999999996</v>
      </c>
      <c r="Q188">
        <v>4497.2550000000001</v>
      </c>
      <c r="R188">
        <v>4471.0770000000002</v>
      </c>
      <c r="S188">
        <v>4467.88</v>
      </c>
      <c r="T188">
        <v>4393.12</v>
      </c>
      <c r="U188">
        <v>4088.5740000000001</v>
      </c>
      <c r="V188">
        <v>3811.2399</v>
      </c>
      <c r="W188">
        <v>3326.308</v>
      </c>
      <c r="X188">
        <v>2993.9769999999999</v>
      </c>
      <c r="Y188">
        <v>3087.7820000000002</v>
      </c>
      <c r="Z188">
        <v>2290.94</v>
      </c>
      <c r="AA188">
        <v>1571.2639999999999</v>
      </c>
      <c r="AB188">
        <v>1561.4269999999999</v>
      </c>
      <c r="AC188">
        <v>1558.9659999999999</v>
      </c>
      <c r="AD188">
        <v>1555.6279999999999</v>
      </c>
      <c r="AE188">
        <v>1596.7570000000001</v>
      </c>
      <c r="AF188">
        <v>1095.9280000000001</v>
      </c>
      <c r="AG188">
        <v>1082.5319999999999</v>
      </c>
      <c r="AH188">
        <v>1065.4369999999999</v>
      </c>
      <c r="AI188">
        <v>1044.443</v>
      </c>
      <c r="AJ188">
        <v>1015.76</v>
      </c>
      <c r="AK188">
        <v>1006.135</v>
      </c>
      <c r="AL188">
        <v>1008.426</v>
      </c>
      <c r="AM188">
        <v>922.61800000000005</v>
      </c>
      <c r="AN188">
        <v>966.58100000000002</v>
      </c>
      <c r="AO188">
        <v>909.76800000000003</v>
      </c>
      <c r="AP188">
        <v>857.38199999999995</v>
      </c>
      <c r="AQ188">
        <v>787.49800000000005</v>
      </c>
      <c r="AR188">
        <v>754.68949999999995</v>
      </c>
      <c r="AS188">
        <v>677.97199999999998</v>
      </c>
      <c r="AT188">
        <v>663.32</v>
      </c>
      <c r="AU188">
        <v>619.78200000000004</v>
      </c>
      <c r="AV188">
        <v>614.66999999999996</v>
      </c>
      <c r="AW188">
        <v>651.33199999999999</v>
      </c>
      <c r="AX188">
        <v>640.08299999999997</v>
      </c>
      <c r="AY188">
        <v>524.96</v>
      </c>
      <c r="AZ188">
        <v>483.43400000000003</v>
      </c>
      <c r="BA188">
        <v>431.54300000000001</v>
      </c>
      <c r="BB188">
        <v>425.97300000000001</v>
      </c>
      <c r="BC188">
        <v>430.9</v>
      </c>
      <c r="BD188">
        <v>433.01600000000002</v>
      </c>
      <c r="BE188">
        <v>424.47800000000001</v>
      </c>
      <c r="BF188">
        <v>409</v>
      </c>
      <c r="BG188">
        <v>410.25599999999997</v>
      </c>
      <c r="BH188">
        <v>404.01100000000002</v>
      </c>
      <c r="BI188">
        <v>411.79899999999998</v>
      </c>
      <c r="BJ188">
        <v>398.452</v>
      </c>
      <c r="BK188">
        <v>351.12619999999998</v>
      </c>
      <c r="BL188">
        <v>414.59</v>
      </c>
      <c r="BM188">
        <v>393.28829999999999</v>
      </c>
      <c r="BN188">
        <v>177.81200000000001</v>
      </c>
      <c r="BO188">
        <v>177.37</v>
      </c>
      <c r="BP188">
        <v>177.37</v>
      </c>
      <c r="BQ188">
        <v>177.124</v>
      </c>
    </row>
    <row r="189" spans="1:69" x14ac:dyDescent="0.25">
      <c r="A189" t="s">
        <v>45</v>
      </c>
      <c r="B189">
        <v>0.86699999999999999</v>
      </c>
      <c r="C189">
        <v>0.875</v>
      </c>
      <c r="D189">
        <v>0.86799999999999999</v>
      </c>
      <c r="E189">
        <v>0.85399999999999998</v>
      </c>
      <c r="F189">
        <v>0.85399999999999998</v>
      </c>
      <c r="G189">
        <v>0.86699999999999999</v>
      </c>
      <c r="H189">
        <v>0.84099999999999997</v>
      </c>
      <c r="I189">
        <v>0.85799999999999998</v>
      </c>
      <c r="J189">
        <v>0.85199999999999998</v>
      </c>
      <c r="K189">
        <v>0.86499999999999999</v>
      </c>
      <c r="L189">
        <v>0.86499999999999999</v>
      </c>
      <c r="M189">
        <v>0.85299999999999998</v>
      </c>
      <c r="N189">
        <v>0.85499999999999998</v>
      </c>
      <c r="O189">
        <v>0.85599999999999998</v>
      </c>
      <c r="P189">
        <v>0.872</v>
      </c>
      <c r="Q189">
        <v>0.89700000000000002</v>
      </c>
      <c r="R189">
        <v>0.88</v>
      </c>
      <c r="S189">
        <v>0.91800000000000004</v>
      </c>
      <c r="T189">
        <v>0.96699999999999997</v>
      </c>
      <c r="U189">
        <v>0.98</v>
      </c>
      <c r="V189">
        <v>0.95299999999999996</v>
      </c>
      <c r="W189">
        <v>0.94299999999999995</v>
      </c>
      <c r="X189">
        <v>0.91400000000000003</v>
      </c>
      <c r="Y189">
        <v>0.90800000000000003</v>
      </c>
      <c r="Z189">
        <v>0.91300000000000003</v>
      </c>
      <c r="AA189">
        <v>0.91800000000000004</v>
      </c>
      <c r="AB189">
        <v>0.92300000000000004</v>
      </c>
      <c r="AC189">
        <v>0.92600000000000005</v>
      </c>
      <c r="AD189">
        <v>0.93200000000000005</v>
      </c>
      <c r="AE189">
        <v>0.91400000000000003</v>
      </c>
      <c r="AF189">
        <v>0.93300000000000005</v>
      </c>
      <c r="AG189">
        <v>0.91300000000000003</v>
      </c>
      <c r="AH189">
        <v>0.92700000000000005</v>
      </c>
      <c r="AI189">
        <v>0.93700000000000006</v>
      </c>
      <c r="AJ189">
        <v>0.94099999999999995</v>
      </c>
      <c r="AK189">
        <v>0.93100000000000005</v>
      </c>
      <c r="AL189">
        <v>0.91300000000000003</v>
      </c>
      <c r="AM189">
        <v>0.90200000000000002</v>
      </c>
      <c r="AN189">
        <v>0.92700000000000005</v>
      </c>
      <c r="AO189">
        <v>0.91700000000000004</v>
      </c>
      <c r="AP189">
        <v>0.91100000000000003</v>
      </c>
      <c r="AQ189">
        <v>0.93400000000000005</v>
      </c>
      <c r="AR189">
        <v>0.93300000000000005</v>
      </c>
      <c r="AS189">
        <v>0.92900000000000005</v>
      </c>
      <c r="AT189">
        <v>0.93799999999999994</v>
      </c>
      <c r="AU189">
        <v>0.97199999999999998</v>
      </c>
      <c r="AV189">
        <v>1.032</v>
      </c>
      <c r="AW189">
        <v>0.997</v>
      </c>
      <c r="AX189">
        <v>0.96499999999999997</v>
      </c>
      <c r="AY189">
        <v>0.996</v>
      </c>
      <c r="AZ189">
        <v>0.95799999999999996</v>
      </c>
      <c r="BA189">
        <v>0.94699999999999995</v>
      </c>
      <c r="BB189">
        <v>0.92</v>
      </c>
      <c r="BC189">
        <v>0.91300000000000003</v>
      </c>
      <c r="BD189">
        <v>0.878</v>
      </c>
      <c r="BE189">
        <v>0.876</v>
      </c>
      <c r="BF189">
        <v>0.88800000000000001</v>
      </c>
      <c r="BG189">
        <v>0.872</v>
      </c>
      <c r="BH189">
        <v>0.86</v>
      </c>
      <c r="BI189">
        <v>0.84699999999999998</v>
      </c>
      <c r="BJ189">
        <v>0.84099999999999997</v>
      </c>
      <c r="BK189">
        <v>0.83799999999999997</v>
      </c>
      <c r="BL189">
        <v>0.82</v>
      </c>
      <c r="BM189">
        <v>0.82599999999999996</v>
      </c>
      <c r="BN189">
        <v>0.85299999999999998</v>
      </c>
      <c r="BO189">
        <v>0.83699999999999997</v>
      </c>
      <c r="BP189">
        <v>0.82399999999999995</v>
      </c>
      <c r="BQ189">
        <v>0.82199999999999995</v>
      </c>
    </row>
    <row r="190" spans="1:69" x14ac:dyDescent="0.25">
      <c r="A190" t="s">
        <v>177</v>
      </c>
      <c r="B190">
        <v>333.47</v>
      </c>
      <c r="C190">
        <v>335.69</v>
      </c>
      <c r="D190">
        <v>332.58</v>
      </c>
      <c r="E190">
        <v>324.32</v>
      </c>
      <c r="F190">
        <v>315.33999999999997</v>
      </c>
      <c r="G190">
        <v>310.85000000000002</v>
      </c>
      <c r="H190">
        <v>309.27</v>
      </c>
      <c r="I190">
        <v>308.98</v>
      </c>
      <c r="J190">
        <v>308.52</v>
      </c>
      <c r="K190">
        <v>303.86</v>
      </c>
      <c r="L190">
        <v>302.26</v>
      </c>
      <c r="M190">
        <v>301.5</v>
      </c>
      <c r="N190">
        <v>300.85000000000002</v>
      </c>
      <c r="O190">
        <v>300.39</v>
      </c>
      <c r="P190">
        <v>298.83</v>
      </c>
      <c r="Q190">
        <v>298.63</v>
      </c>
      <c r="R190">
        <v>297.8</v>
      </c>
      <c r="S190">
        <v>295.3</v>
      </c>
      <c r="T190">
        <v>296.60000000000002</v>
      </c>
      <c r="U190">
        <v>294.42</v>
      </c>
      <c r="V190">
        <v>289.57</v>
      </c>
      <c r="W190">
        <v>291.86</v>
      </c>
      <c r="X190">
        <v>292.38</v>
      </c>
      <c r="Y190">
        <v>300.55</v>
      </c>
      <c r="Z190">
        <v>298.76</v>
      </c>
      <c r="AA190">
        <v>302.36</v>
      </c>
      <c r="AB190">
        <v>302.42</v>
      </c>
      <c r="AC190">
        <v>299.20999999999998</v>
      </c>
      <c r="AD190">
        <v>298.10000000000002</v>
      </c>
      <c r="AE190">
        <v>305.36</v>
      </c>
      <c r="AF190">
        <v>312.25</v>
      </c>
      <c r="AG190">
        <v>321.2</v>
      </c>
      <c r="AH190">
        <v>325.94</v>
      </c>
      <c r="AI190">
        <v>325.66000000000003</v>
      </c>
      <c r="AJ190">
        <v>323.27999999999997</v>
      </c>
      <c r="AK190">
        <v>321.20999999999998</v>
      </c>
      <c r="AL190">
        <v>318.07</v>
      </c>
      <c r="AM190">
        <v>313.69</v>
      </c>
      <c r="AN190">
        <v>304.92</v>
      </c>
      <c r="AO190">
        <v>308.66000000000003</v>
      </c>
      <c r="AP190">
        <v>318.68</v>
      </c>
      <c r="AQ190">
        <v>321.27</v>
      </c>
      <c r="AR190">
        <v>363.09</v>
      </c>
      <c r="AS190">
        <v>363.42</v>
      </c>
      <c r="AT190">
        <v>362.22</v>
      </c>
      <c r="AU190">
        <v>362.94</v>
      </c>
      <c r="AV190">
        <v>361.64</v>
      </c>
      <c r="AW190">
        <v>358.79</v>
      </c>
      <c r="AX190">
        <v>357.6</v>
      </c>
      <c r="AY190">
        <v>354.12</v>
      </c>
      <c r="AZ190">
        <v>355.27</v>
      </c>
      <c r="BA190">
        <v>361.19</v>
      </c>
      <c r="BB190">
        <v>315.13</v>
      </c>
      <c r="BC190">
        <v>250.09</v>
      </c>
      <c r="BD190">
        <v>200.9</v>
      </c>
      <c r="BE190">
        <v>200</v>
      </c>
      <c r="BF190">
        <v>202.3</v>
      </c>
      <c r="BG190">
        <v>200.8</v>
      </c>
      <c r="BH190">
        <v>198.98</v>
      </c>
      <c r="BI190">
        <v>199.35</v>
      </c>
      <c r="BJ190">
        <v>199</v>
      </c>
      <c r="BK190">
        <v>198.5</v>
      </c>
      <c r="BL190">
        <v>198.1</v>
      </c>
      <c r="BM190">
        <v>196.11</v>
      </c>
      <c r="BN190">
        <v>198.6</v>
      </c>
      <c r="BO190">
        <v>193.35</v>
      </c>
      <c r="BP190">
        <v>191.86</v>
      </c>
      <c r="BQ190">
        <v>187.54</v>
      </c>
    </row>
    <row r="191" spans="1:69" x14ac:dyDescent="0.25">
      <c r="A191" t="s">
        <v>286</v>
      </c>
      <c r="B191">
        <v>2.7</v>
      </c>
      <c r="C191">
        <v>2.7</v>
      </c>
      <c r="D191">
        <v>2.7</v>
      </c>
      <c r="E191">
        <v>2.7</v>
      </c>
      <c r="F191">
        <v>2.7</v>
      </c>
      <c r="G191">
        <v>2.7</v>
      </c>
      <c r="H191">
        <v>2.7</v>
      </c>
      <c r="I191">
        <v>2.7</v>
      </c>
      <c r="J191">
        <v>2.7</v>
      </c>
      <c r="K191">
        <v>2.7</v>
      </c>
      <c r="L191">
        <v>2.7</v>
      </c>
      <c r="M191">
        <v>2.7</v>
      </c>
      <c r="N191">
        <v>2.7</v>
      </c>
      <c r="O191">
        <v>2.7</v>
      </c>
      <c r="P191">
        <v>2.7</v>
      </c>
      <c r="Q191">
        <v>2.7</v>
      </c>
      <c r="R191">
        <v>2.7</v>
      </c>
      <c r="S191">
        <v>2.7</v>
      </c>
      <c r="T191">
        <v>2.7</v>
      </c>
      <c r="U191">
        <v>2.7</v>
      </c>
      <c r="V191">
        <v>2.7</v>
      </c>
      <c r="W191">
        <v>2.7</v>
      </c>
      <c r="X191">
        <v>2.7</v>
      </c>
      <c r="Y191">
        <v>2.7</v>
      </c>
      <c r="Z191">
        <v>2.7</v>
      </c>
      <c r="AA191">
        <v>2.7</v>
      </c>
      <c r="AB191">
        <v>2.7</v>
      </c>
      <c r="AC191">
        <v>2.7</v>
      </c>
      <c r="AD191">
        <v>2.7</v>
      </c>
      <c r="AE191">
        <v>2.7</v>
      </c>
      <c r="AF191">
        <v>2.7</v>
      </c>
      <c r="AG191">
        <v>2.7</v>
      </c>
      <c r="AH191">
        <v>2.7</v>
      </c>
      <c r="AI191">
        <v>2.7</v>
      </c>
      <c r="AJ191">
        <v>2.7</v>
      </c>
      <c r="AK191">
        <v>2.7</v>
      </c>
      <c r="AL191">
        <v>2.7</v>
      </c>
      <c r="AM191">
        <v>2.7</v>
      </c>
      <c r="AN191">
        <v>2.7</v>
      </c>
      <c r="AO191">
        <v>2.7</v>
      </c>
      <c r="AP191">
        <v>2.7</v>
      </c>
      <c r="AQ191">
        <v>2.7</v>
      </c>
      <c r="AR191">
        <v>2.7</v>
      </c>
      <c r="AS191">
        <v>2.7</v>
      </c>
      <c r="AT191">
        <v>2.7</v>
      </c>
      <c r="AU191">
        <v>2.7</v>
      </c>
      <c r="AV191">
        <v>2.7</v>
      </c>
      <c r="AW191">
        <v>2.7</v>
      </c>
      <c r="AX191">
        <v>2.7</v>
      </c>
      <c r="AY191">
        <v>2.7</v>
      </c>
      <c r="AZ191">
        <v>2.7</v>
      </c>
      <c r="BA191">
        <v>2.7</v>
      </c>
      <c r="BB191">
        <v>2.7</v>
      </c>
      <c r="BC191">
        <v>2.7</v>
      </c>
      <c r="BD191">
        <v>2.7</v>
      </c>
      <c r="BE191">
        <v>2.7</v>
      </c>
      <c r="BF191">
        <v>2.7</v>
      </c>
      <c r="BG191">
        <v>2.7</v>
      </c>
      <c r="BH191">
        <v>2.7</v>
      </c>
      <c r="BI191">
        <v>2.7</v>
      </c>
      <c r="BJ191">
        <v>2.7</v>
      </c>
      <c r="BK191">
        <v>2.7</v>
      </c>
      <c r="BL191">
        <v>2.7</v>
      </c>
      <c r="BM191">
        <v>2.7</v>
      </c>
      <c r="BN191">
        <v>2.7</v>
      </c>
      <c r="BO191">
        <v>2.7</v>
      </c>
      <c r="BP191">
        <v>2.7</v>
      </c>
      <c r="BQ191">
        <v>2.7</v>
      </c>
    </row>
    <row r="192" spans="1:69" x14ac:dyDescent="0.25">
      <c r="A192" t="s">
        <v>252</v>
      </c>
      <c r="B192">
        <v>4300</v>
      </c>
      <c r="C192">
        <v>4300</v>
      </c>
      <c r="D192">
        <v>3800</v>
      </c>
      <c r="E192">
        <v>3800</v>
      </c>
      <c r="F192">
        <v>3450</v>
      </c>
      <c r="G192">
        <v>3350</v>
      </c>
      <c r="H192">
        <v>3349.9989999999998</v>
      </c>
      <c r="I192">
        <v>2400</v>
      </c>
      <c r="J192">
        <v>2400</v>
      </c>
      <c r="K192">
        <v>2400</v>
      </c>
      <c r="L192">
        <v>2400</v>
      </c>
      <c r="M192">
        <v>2400</v>
      </c>
      <c r="N192">
        <v>2400</v>
      </c>
      <c r="O192">
        <v>2140</v>
      </c>
      <c r="P192">
        <v>2140</v>
      </c>
      <c r="Q192">
        <v>2020</v>
      </c>
      <c r="R192">
        <v>2020</v>
      </c>
      <c r="S192">
        <v>2020</v>
      </c>
      <c r="T192">
        <v>1990</v>
      </c>
      <c r="U192">
        <v>1987</v>
      </c>
      <c r="V192">
        <v>1987</v>
      </c>
      <c r="W192">
        <v>1987</v>
      </c>
      <c r="X192">
        <v>1982</v>
      </c>
      <c r="Y192">
        <v>1950</v>
      </c>
      <c r="Z192">
        <v>1850</v>
      </c>
      <c r="AA192">
        <v>1840</v>
      </c>
      <c r="AB192">
        <v>1650</v>
      </c>
      <c r="AC192">
        <v>1255</v>
      </c>
      <c r="AD192">
        <v>1090</v>
      </c>
      <c r="AE192">
        <v>1075</v>
      </c>
      <c r="AF192">
        <v>1035</v>
      </c>
      <c r="AG192">
        <v>910</v>
      </c>
      <c r="AH192">
        <v>810</v>
      </c>
      <c r="AI192">
        <v>760</v>
      </c>
      <c r="AJ192">
        <v>695</v>
      </c>
      <c r="AK192">
        <v>621</v>
      </c>
      <c r="AL192">
        <v>590</v>
      </c>
      <c r="AM192">
        <v>568.9</v>
      </c>
      <c r="AN192">
        <v>573</v>
      </c>
      <c r="AO192">
        <v>593</v>
      </c>
      <c r="AP192">
        <v>593</v>
      </c>
      <c r="AQ192">
        <v>587.5</v>
      </c>
      <c r="AR192">
        <v>579</v>
      </c>
      <c r="AS192">
        <v>579</v>
      </c>
      <c r="AT192">
        <v>578</v>
      </c>
      <c r="AU192">
        <v>578.5</v>
      </c>
      <c r="AV192">
        <v>577</v>
      </c>
      <c r="AW192">
        <v>574</v>
      </c>
      <c r="AX192">
        <v>568</v>
      </c>
      <c r="AY192">
        <v>567.5</v>
      </c>
      <c r="AZ192">
        <v>566</v>
      </c>
      <c r="BA192">
        <v>567</v>
      </c>
      <c r="BB192">
        <v>563</v>
      </c>
      <c r="BC192">
        <v>590</v>
      </c>
      <c r="BD192">
        <v>457</v>
      </c>
      <c r="BE192">
        <v>447.5</v>
      </c>
      <c r="BF192">
        <v>446</v>
      </c>
      <c r="BG192">
        <v>448</v>
      </c>
      <c r="BH192">
        <v>448</v>
      </c>
      <c r="BI192">
        <v>445</v>
      </c>
      <c r="BJ192">
        <v>446.5</v>
      </c>
      <c r="BK192">
        <v>441</v>
      </c>
      <c r="BL192">
        <v>420</v>
      </c>
      <c r="BM192">
        <v>381.5</v>
      </c>
      <c r="BN192">
        <v>380.5</v>
      </c>
      <c r="BO192">
        <v>376</v>
      </c>
      <c r="BP192">
        <v>55</v>
      </c>
      <c r="BQ192">
        <v>55</v>
      </c>
    </row>
    <row r="193" spans="1:69" x14ac:dyDescent="0.25">
      <c r="A193" t="s">
        <v>261</v>
      </c>
      <c r="B193">
        <v>37.476999999999997</v>
      </c>
      <c r="C193">
        <v>37.304000000000002</v>
      </c>
      <c r="D193">
        <v>37.026000000000003</v>
      </c>
      <c r="E193">
        <v>36.914999999999999</v>
      </c>
      <c r="F193">
        <v>37.283999999999999</v>
      </c>
      <c r="G193">
        <v>37.433</v>
      </c>
      <c r="H193">
        <v>37.868000000000002</v>
      </c>
      <c r="I193">
        <v>38.048999999999999</v>
      </c>
      <c r="J193">
        <v>38.537999999999997</v>
      </c>
      <c r="K193">
        <v>38.814</v>
      </c>
      <c r="L193">
        <v>39.063000000000002</v>
      </c>
      <c r="M193">
        <v>39.454999999999998</v>
      </c>
      <c r="N193">
        <v>37.76</v>
      </c>
      <c r="O193">
        <v>37.49</v>
      </c>
      <c r="P193">
        <v>36.835999999999999</v>
      </c>
      <c r="Q193">
        <v>36.793999999999997</v>
      </c>
      <c r="R193">
        <v>36.822000000000003</v>
      </c>
      <c r="S193">
        <v>35.844000000000001</v>
      </c>
      <c r="T193">
        <v>35.167000000000002</v>
      </c>
      <c r="U193">
        <v>35.134</v>
      </c>
      <c r="V193">
        <v>35.095999999999997</v>
      </c>
      <c r="W193">
        <v>35.33</v>
      </c>
      <c r="X193">
        <v>32.026000000000003</v>
      </c>
      <c r="Y193">
        <v>28.773</v>
      </c>
      <c r="Z193">
        <v>28.927</v>
      </c>
      <c r="AA193">
        <v>29.779</v>
      </c>
      <c r="AB193">
        <v>31.349</v>
      </c>
      <c r="AC193">
        <v>32.517000000000003</v>
      </c>
      <c r="AD193">
        <v>34.07</v>
      </c>
      <c r="AE193">
        <v>35.152000000000001</v>
      </c>
      <c r="AF193">
        <v>36.442999999999998</v>
      </c>
      <c r="AG193">
        <v>36.832999999999998</v>
      </c>
      <c r="AH193">
        <v>37.1</v>
      </c>
      <c r="AI193">
        <v>38.161999999999999</v>
      </c>
      <c r="AJ193">
        <v>38.134</v>
      </c>
      <c r="AK193">
        <v>38.392000000000003</v>
      </c>
      <c r="AL193">
        <v>38.470999999999997</v>
      </c>
      <c r="AM193">
        <v>37.731999999999999</v>
      </c>
      <c r="AN193">
        <v>37.765000000000001</v>
      </c>
      <c r="AO193">
        <v>37.552</v>
      </c>
      <c r="AP193">
        <v>37.037999999999997</v>
      </c>
      <c r="AQ193">
        <v>34.091000000000001</v>
      </c>
      <c r="AR193">
        <v>32.066000000000003</v>
      </c>
      <c r="AS193">
        <v>31.8</v>
      </c>
      <c r="AT193">
        <v>31.687999999999999</v>
      </c>
      <c r="AU193">
        <v>30.213999999999999</v>
      </c>
      <c r="AV193">
        <v>27.98</v>
      </c>
      <c r="AW193">
        <v>26.794</v>
      </c>
      <c r="AX193">
        <v>24.024999999999999</v>
      </c>
      <c r="AY193">
        <v>22.4</v>
      </c>
      <c r="AZ193">
        <v>21.7</v>
      </c>
      <c r="BA193">
        <v>21.4</v>
      </c>
      <c r="BB193">
        <v>21.25</v>
      </c>
      <c r="BC193">
        <v>21.25</v>
      </c>
      <c r="BD193">
        <v>21.25</v>
      </c>
      <c r="BE193">
        <v>21.1</v>
      </c>
      <c r="BF193">
        <v>21.25</v>
      </c>
      <c r="BG193">
        <v>21.2</v>
      </c>
      <c r="BH193">
        <v>21.2</v>
      </c>
      <c r="BI193">
        <v>21.1</v>
      </c>
      <c r="BJ193">
        <v>21</v>
      </c>
      <c r="BK193">
        <v>21</v>
      </c>
      <c r="BL193">
        <v>20.07</v>
      </c>
      <c r="BM193">
        <v>16</v>
      </c>
      <c r="BN193">
        <v>16</v>
      </c>
      <c r="BO193">
        <v>15.5</v>
      </c>
      <c r="BP193">
        <v>14.02</v>
      </c>
      <c r="BQ193">
        <v>14.02</v>
      </c>
    </row>
    <row r="194" spans="1:69" x14ac:dyDescent="0.25">
      <c r="A194" t="s">
        <v>254</v>
      </c>
      <c r="B194">
        <v>9.5549999999999997</v>
      </c>
      <c r="C194">
        <v>9.6449999999999996</v>
      </c>
      <c r="D194">
        <v>9.5449999999999999</v>
      </c>
      <c r="E194">
        <v>9.3260000000000005</v>
      </c>
      <c r="F194">
        <v>9.2430000000000003</v>
      </c>
      <c r="G194">
        <v>9.3089999999999993</v>
      </c>
      <c r="H194">
        <v>8.8840000000000003</v>
      </c>
      <c r="I194">
        <v>9.202</v>
      </c>
      <c r="J194">
        <v>9.2449999999999992</v>
      </c>
      <c r="K194">
        <v>9.468</v>
      </c>
      <c r="L194">
        <v>9.516</v>
      </c>
      <c r="M194">
        <v>9.3350000000000009</v>
      </c>
      <c r="N194">
        <v>9.5429999999999993</v>
      </c>
      <c r="O194">
        <v>9.5370000000000008</v>
      </c>
      <c r="P194">
        <v>9.5730000000000004</v>
      </c>
      <c r="Q194">
        <v>9.7260000000000009</v>
      </c>
      <c r="R194">
        <v>9.7910000000000004</v>
      </c>
      <c r="S194">
        <v>10.095000000000001</v>
      </c>
      <c r="T194">
        <v>10.925000000000001</v>
      </c>
      <c r="U194">
        <v>11.28</v>
      </c>
      <c r="V194">
        <v>10.962999999999999</v>
      </c>
      <c r="W194">
        <v>10.932</v>
      </c>
      <c r="X194">
        <v>10.375999999999999</v>
      </c>
      <c r="Y194">
        <v>10.388999999999999</v>
      </c>
      <c r="Z194">
        <v>10.516</v>
      </c>
      <c r="AA194">
        <v>10.451000000000001</v>
      </c>
      <c r="AB194">
        <v>10.295</v>
      </c>
      <c r="AC194">
        <v>10.833</v>
      </c>
      <c r="AD194">
        <v>10.743</v>
      </c>
      <c r="AE194">
        <v>10.223000000000001</v>
      </c>
      <c r="AF194">
        <v>10.541</v>
      </c>
      <c r="AG194">
        <v>10.263999999999999</v>
      </c>
      <c r="AH194">
        <v>10.46</v>
      </c>
      <c r="AI194">
        <v>10.877000000000001</v>
      </c>
      <c r="AJ194">
        <v>10.88</v>
      </c>
      <c r="AK194">
        <v>11.105</v>
      </c>
      <c r="AL194">
        <v>10.827999999999999</v>
      </c>
      <c r="AM194">
        <v>10.467000000000001</v>
      </c>
      <c r="AN194">
        <v>10.750999999999999</v>
      </c>
      <c r="AO194">
        <v>10.316000000000001</v>
      </c>
      <c r="AP194">
        <v>10.319000000000001</v>
      </c>
      <c r="AQ194">
        <v>10.673999999999999</v>
      </c>
      <c r="AR194">
        <v>10.398</v>
      </c>
      <c r="AS194">
        <v>10.457000000000001</v>
      </c>
      <c r="AT194">
        <v>10.177</v>
      </c>
      <c r="AU194">
        <v>10.398</v>
      </c>
      <c r="AV194">
        <v>11.349</v>
      </c>
      <c r="AW194">
        <v>10.602</v>
      </c>
      <c r="AX194">
        <v>10.006</v>
      </c>
      <c r="AY194">
        <v>10.566000000000001</v>
      </c>
      <c r="AZ194">
        <v>10.164999999999999</v>
      </c>
      <c r="BA194">
        <v>9.9689999999999994</v>
      </c>
      <c r="BB194">
        <v>9.4700000000000006</v>
      </c>
      <c r="BC194">
        <v>9.7289999999999992</v>
      </c>
      <c r="BD194">
        <v>9.2710000000000008</v>
      </c>
      <c r="BE194">
        <v>8.9649999999999999</v>
      </c>
      <c r="BF194">
        <v>9.0980000000000008</v>
      </c>
      <c r="BG194">
        <v>8.7100000000000009</v>
      </c>
      <c r="BH194">
        <v>8.7669999999999995</v>
      </c>
      <c r="BI194">
        <v>8.6229999999999993</v>
      </c>
      <c r="BJ194">
        <v>8.5519999999999996</v>
      </c>
      <c r="BK194">
        <v>8.4689999999999994</v>
      </c>
      <c r="BL194">
        <v>8.2989999999999995</v>
      </c>
      <c r="BM194">
        <v>8.3689999999999998</v>
      </c>
      <c r="BN194">
        <v>8.7569999999999997</v>
      </c>
      <c r="BO194">
        <v>8.4860000000000007</v>
      </c>
      <c r="BP194">
        <v>8.32</v>
      </c>
      <c r="BQ194">
        <v>8.343</v>
      </c>
    </row>
    <row r="195" spans="1:69" x14ac:dyDescent="0.25">
      <c r="A195" t="s">
        <v>88</v>
      </c>
      <c r="B195">
        <v>0.81200000000000006</v>
      </c>
      <c r="C195">
        <v>0.81</v>
      </c>
      <c r="D195">
        <v>0.8</v>
      </c>
      <c r="E195">
        <v>0.78200000000000003</v>
      </c>
      <c r="F195">
        <v>0.78800000000000003</v>
      </c>
      <c r="G195">
        <v>0.78300000000000003</v>
      </c>
      <c r="H195">
        <v>0.76800000000000002</v>
      </c>
      <c r="I195">
        <v>0.8</v>
      </c>
      <c r="J195">
        <v>0.79400000000000004</v>
      </c>
      <c r="K195">
        <v>0.79900000000000004</v>
      </c>
      <c r="L195">
        <v>0.80500000000000005</v>
      </c>
      <c r="M195">
        <v>0.79700000000000004</v>
      </c>
      <c r="N195">
        <v>0.80500000000000005</v>
      </c>
      <c r="O195">
        <v>0.79600000000000004</v>
      </c>
      <c r="P195">
        <v>0.82</v>
      </c>
      <c r="Q195">
        <v>0.84099999999999997</v>
      </c>
      <c r="R195">
        <v>0.81399999999999995</v>
      </c>
      <c r="S195">
        <v>0.88300000000000001</v>
      </c>
      <c r="T195">
        <v>0.91500000000000004</v>
      </c>
      <c r="U195">
        <v>0.91800000000000004</v>
      </c>
      <c r="V195">
        <v>0.88400000000000001</v>
      </c>
      <c r="W195">
        <v>0.88300000000000001</v>
      </c>
      <c r="X195">
        <v>0.85699999999999998</v>
      </c>
      <c r="Y195">
        <v>0.85</v>
      </c>
      <c r="Z195">
        <v>0.86599999999999999</v>
      </c>
      <c r="AA195">
        <v>0.89200000000000002</v>
      </c>
      <c r="AB195">
        <v>0.89100000000000001</v>
      </c>
      <c r="AC195">
        <v>0.90500000000000003</v>
      </c>
      <c r="AD195">
        <v>0.91100000000000003</v>
      </c>
      <c r="AE195">
        <v>0.877</v>
      </c>
      <c r="AF195">
        <v>0.88500000000000001</v>
      </c>
      <c r="AG195">
        <v>0.85299999999999998</v>
      </c>
      <c r="AH195">
        <v>0.877</v>
      </c>
      <c r="AI195">
        <v>0.90400000000000003</v>
      </c>
      <c r="AJ195">
        <v>0.90100000000000002</v>
      </c>
      <c r="AK195">
        <v>0.89300000000000002</v>
      </c>
      <c r="AL195">
        <v>0.878</v>
      </c>
      <c r="AM195">
        <v>0.87</v>
      </c>
      <c r="AN195">
        <v>0.90700000000000003</v>
      </c>
      <c r="AO195">
        <v>0.89500000000000002</v>
      </c>
      <c r="AP195">
        <v>0.89700000000000002</v>
      </c>
      <c r="AQ195">
        <v>0.90900000000000003</v>
      </c>
      <c r="AR195">
        <v>0.92100000000000004</v>
      </c>
      <c r="AS195">
        <v>0.92900000000000005</v>
      </c>
      <c r="AT195">
        <v>0.92400000000000004</v>
      </c>
      <c r="AU195">
        <v>0.95</v>
      </c>
      <c r="AV195">
        <v>0.997</v>
      </c>
      <c r="AW195">
        <v>0.96</v>
      </c>
      <c r="AX195">
        <v>0.93799999999999994</v>
      </c>
      <c r="AY195">
        <v>0.98099999999999998</v>
      </c>
      <c r="AZ195">
        <v>0.99399999999999999</v>
      </c>
      <c r="BA195">
        <v>0.98899999999999999</v>
      </c>
      <c r="BB195">
        <v>0.93100000000000005</v>
      </c>
      <c r="BC195">
        <v>0.93200000000000005</v>
      </c>
      <c r="BD195">
        <v>0.92600000000000005</v>
      </c>
      <c r="BE195">
        <v>0.91800000000000004</v>
      </c>
      <c r="BF195">
        <v>0.92500000000000004</v>
      </c>
      <c r="BG195">
        <v>0.92200000000000004</v>
      </c>
      <c r="BH195">
        <v>0.93100000000000005</v>
      </c>
      <c r="BI195">
        <v>0.92100000000000004</v>
      </c>
      <c r="BJ195">
        <v>0.90700000000000003</v>
      </c>
      <c r="BK195">
        <v>0.91900000000000004</v>
      </c>
      <c r="BL195">
        <v>0.89900000000000002</v>
      </c>
      <c r="BM195">
        <v>0.91100000000000003</v>
      </c>
      <c r="BN195">
        <v>0.94299999999999995</v>
      </c>
      <c r="BO195">
        <v>0.92600000000000005</v>
      </c>
      <c r="BP195">
        <v>0.89</v>
      </c>
      <c r="BQ195">
        <v>0.88800000000000001</v>
      </c>
    </row>
    <row r="196" spans="1:69" x14ac:dyDescent="0.25">
      <c r="A196" t="s">
        <v>267</v>
      </c>
      <c r="B196">
        <v>122</v>
      </c>
      <c r="C196">
        <v>122</v>
      </c>
      <c r="D196">
        <v>113</v>
      </c>
      <c r="E196">
        <v>113</v>
      </c>
      <c r="F196">
        <v>110.5</v>
      </c>
      <c r="G196">
        <v>110.5</v>
      </c>
      <c r="H196">
        <v>110.5</v>
      </c>
      <c r="I196">
        <v>110.05</v>
      </c>
      <c r="J196">
        <v>11055</v>
      </c>
      <c r="K196">
        <v>11055</v>
      </c>
      <c r="L196">
        <v>11055</v>
      </c>
      <c r="M196">
        <v>11050</v>
      </c>
      <c r="N196">
        <v>10680</v>
      </c>
      <c r="O196">
        <v>11110</v>
      </c>
      <c r="P196">
        <v>11110</v>
      </c>
      <c r="Q196">
        <v>12120</v>
      </c>
      <c r="R196">
        <v>12000</v>
      </c>
      <c r="S196">
        <v>13200</v>
      </c>
      <c r="T196">
        <v>13200</v>
      </c>
      <c r="U196">
        <v>13000</v>
      </c>
      <c r="V196">
        <v>13600</v>
      </c>
      <c r="W196">
        <v>13600</v>
      </c>
      <c r="X196">
        <v>13600</v>
      </c>
      <c r="Y196">
        <v>13600</v>
      </c>
      <c r="Z196">
        <v>13600</v>
      </c>
      <c r="AA196">
        <v>13600</v>
      </c>
      <c r="AB196">
        <v>12500</v>
      </c>
      <c r="AC196">
        <v>12500</v>
      </c>
      <c r="AD196">
        <v>12500</v>
      </c>
      <c r="AE196">
        <v>12500</v>
      </c>
      <c r="AF196">
        <v>12500</v>
      </c>
      <c r="AG196">
        <v>12500</v>
      </c>
      <c r="AH196">
        <v>12500</v>
      </c>
      <c r="AI196">
        <v>11500</v>
      </c>
      <c r="AJ196">
        <v>11500</v>
      </c>
      <c r="AK196">
        <v>8500</v>
      </c>
      <c r="AL196">
        <v>8500</v>
      </c>
      <c r="AM196">
        <v>6500</v>
      </c>
      <c r="AN196">
        <v>6500</v>
      </c>
      <c r="AO196">
        <v>6500</v>
      </c>
      <c r="AP196">
        <v>6500</v>
      </c>
      <c r="AQ196">
        <v>4500</v>
      </c>
      <c r="AR196">
        <v>4500</v>
      </c>
      <c r="AS196">
        <v>4500</v>
      </c>
      <c r="AT196">
        <v>3000</v>
      </c>
      <c r="AU196">
        <v>3000</v>
      </c>
      <c r="AV196">
        <v>3000</v>
      </c>
      <c r="AW196">
        <v>2800</v>
      </c>
      <c r="AX196">
        <v>2800</v>
      </c>
      <c r="AY196">
        <v>2800</v>
      </c>
      <c r="AZ196">
        <v>2800</v>
      </c>
      <c r="BA196">
        <v>2800</v>
      </c>
      <c r="BB196">
        <v>2500</v>
      </c>
      <c r="BC196">
        <v>2500</v>
      </c>
      <c r="BD196">
        <v>2500</v>
      </c>
      <c r="BE196">
        <v>2500</v>
      </c>
      <c r="BF196">
        <v>2500</v>
      </c>
      <c r="BG196">
        <v>2500</v>
      </c>
      <c r="BH196">
        <v>2500</v>
      </c>
      <c r="BI196">
        <v>2500</v>
      </c>
      <c r="BJ196">
        <v>2500</v>
      </c>
      <c r="BK196">
        <v>2500</v>
      </c>
      <c r="BL196">
        <v>2500</v>
      </c>
      <c r="BM196">
        <v>2500</v>
      </c>
      <c r="BN196">
        <v>2500</v>
      </c>
      <c r="BO196">
        <v>1250</v>
      </c>
      <c r="BP196">
        <v>1250</v>
      </c>
      <c r="BQ196">
        <v>1250</v>
      </c>
    </row>
    <row r="197" spans="1:69" x14ac:dyDescent="0.25">
      <c r="A197" t="s">
        <v>272</v>
      </c>
      <c r="B197">
        <v>9.1460000000000008</v>
      </c>
      <c r="C197">
        <v>9.1890000000000001</v>
      </c>
      <c r="D197">
        <v>9.2370000000000001</v>
      </c>
      <c r="E197">
        <v>9.2850000000000001</v>
      </c>
      <c r="F197">
        <v>9.4830000000000005</v>
      </c>
      <c r="G197">
        <v>9.4589999999999996</v>
      </c>
      <c r="H197">
        <v>9.32</v>
      </c>
      <c r="I197">
        <v>9.266</v>
      </c>
      <c r="J197">
        <v>9.2319999999999993</v>
      </c>
      <c r="K197">
        <v>9.2759999999999998</v>
      </c>
      <c r="L197">
        <v>9.3149999999999995</v>
      </c>
      <c r="M197">
        <v>9.4600000000000009</v>
      </c>
      <c r="N197">
        <v>9.3789999999999996</v>
      </c>
      <c r="O197">
        <v>9.7330000000000005</v>
      </c>
      <c r="P197">
        <v>9.85</v>
      </c>
      <c r="Q197">
        <v>10.406000000000001</v>
      </c>
      <c r="R197">
        <v>10.885999999999999</v>
      </c>
      <c r="S197">
        <v>10.949</v>
      </c>
      <c r="T197">
        <v>10.942</v>
      </c>
      <c r="U197">
        <v>10.943</v>
      </c>
      <c r="V197">
        <v>10.893000000000001</v>
      </c>
      <c r="W197">
        <v>10.654999999999999</v>
      </c>
      <c r="X197">
        <v>10.644</v>
      </c>
      <c r="Y197">
        <v>10.659000000000001</v>
      </c>
      <c r="Z197">
        <v>10.6</v>
      </c>
      <c r="AA197">
        <v>10.677</v>
      </c>
      <c r="AB197">
        <v>10.737</v>
      </c>
      <c r="AC197">
        <v>10.91</v>
      </c>
      <c r="AD197">
        <v>10.957000000000001</v>
      </c>
      <c r="AE197">
        <v>10.955</v>
      </c>
      <c r="AF197">
        <v>10.96</v>
      </c>
      <c r="AG197">
        <v>10.91</v>
      </c>
      <c r="AH197">
        <v>10.964</v>
      </c>
      <c r="AI197">
        <v>10.95</v>
      </c>
      <c r="AJ197">
        <v>10.95</v>
      </c>
      <c r="AK197">
        <v>10.95</v>
      </c>
      <c r="AL197">
        <v>10.936999999999999</v>
      </c>
      <c r="AM197">
        <v>10.92</v>
      </c>
      <c r="AN197">
        <v>10.914</v>
      </c>
      <c r="AO197">
        <v>10.914</v>
      </c>
      <c r="AP197">
        <v>10.913</v>
      </c>
      <c r="AQ197">
        <v>10.914</v>
      </c>
      <c r="AR197">
        <v>10.269</v>
      </c>
      <c r="AS197">
        <v>10.269</v>
      </c>
      <c r="AT197">
        <v>10.269</v>
      </c>
      <c r="AU197">
        <v>10.269</v>
      </c>
      <c r="AV197">
        <v>10.269</v>
      </c>
      <c r="AW197">
        <v>10.269</v>
      </c>
      <c r="AX197">
        <v>10.269</v>
      </c>
      <c r="AY197">
        <v>10.516</v>
      </c>
      <c r="AZ197">
        <v>11.763</v>
      </c>
      <c r="BA197">
        <v>12.494999999999999</v>
      </c>
      <c r="BB197">
        <v>12.5</v>
      </c>
      <c r="BC197">
        <v>11.247</v>
      </c>
      <c r="BD197">
        <v>11.239000000000001</v>
      </c>
      <c r="BE197">
        <v>11.231999999999999</v>
      </c>
      <c r="BF197">
        <v>11.231</v>
      </c>
      <c r="BG197">
        <v>11.236000000000001</v>
      </c>
      <c r="BH197">
        <v>11.263999999999999</v>
      </c>
      <c r="BI197">
        <v>11.273</v>
      </c>
      <c r="BJ197">
        <v>11.29</v>
      </c>
      <c r="BK197">
        <v>11.298</v>
      </c>
      <c r="BL197">
        <v>11.308999999999999</v>
      </c>
      <c r="BM197">
        <v>11.297000000000001</v>
      </c>
      <c r="BN197">
        <v>11.298999999999999</v>
      </c>
      <c r="BO197">
        <v>11.292999999999999</v>
      </c>
      <c r="BP197">
        <v>11.278</v>
      </c>
      <c r="BQ197">
        <v>11.3</v>
      </c>
    </row>
    <row r="198" spans="1:69" x14ac:dyDescent="0.25">
      <c r="A198" t="s">
        <v>284</v>
      </c>
      <c r="B198">
        <v>2630</v>
      </c>
      <c r="C198">
        <v>2603.25</v>
      </c>
      <c r="D198">
        <v>2594.75</v>
      </c>
      <c r="E198">
        <v>2583.54</v>
      </c>
      <c r="F198">
        <v>2585.14</v>
      </c>
      <c r="G198">
        <v>2580</v>
      </c>
      <c r="H198">
        <v>2560.9</v>
      </c>
      <c r="I198">
        <v>2473.86</v>
      </c>
      <c r="J198">
        <v>2437.2399999999998</v>
      </c>
      <c r="K198">
        <v>2430</v>
      </c>
      <c r="L198">
        <v>2425</v>
      </c>
      <c r="M198">
        <v>2437</v>
      </c>
      <c r="N198">
        <v>2520</v>
      </c>
      <c r="O198">
        <v>2570</v>
      </c>
      <c r="P198">
        <v>2591.14</v>
      </c>
      <c r="Q198">
        <v>2671.81</v>
      </c>
      <c r="R198">
        <v>2668.47</v>
      </c>
      <c r="S198">
        <v>2631</v>
      </c>
      <c r="T198">
        <v>2566.79</v>
      </c>
      <c r="U198">
        <v>2462</v>
      </c>
      <c r="V198">
        <v>2418.5</v>
      </c>
      <c r="W198">
        <v>2647.02</v>
      </c>
      <c r="X198">
        <v>2715</v>
      </c>
      <c r="Y198">
        <v>2711.53</v>
      </c>
      <c r="Z198">
        <v>2699.49</v>
      </c>
      <c r="AA198">
        <v>2667.21</v>
      </c>
      <c r="AB198">
        <v>2601.62</v>
      </c>
      <c r="AC198">
        <v>2580.77</v>
      </c>
      <c r="AD198">
        <v>2571.7800000000002</v>
      </c>
      <c r="AE198">
        <v>2530</v>
      </c>
      <c r="AF198">
        <v>2533.08</v>
      </c>
      <c r="AG198">
        <v>2514.98</v>
      </c>
      <c r="AH198">
        <v>2492.88</v>
      </c>
      <c r="AI198">
        <v>2495</v>
      </c>
      <c r="AJ198">
        <v>2492.2600000000002</v>
      </c>
      <c r="AK198">
        <v>2500</v>
      </c>
      <c r="AL198">
        <v>2455.91</v>
      </c>
      <c r="AM198">
        <v>2440</v>
      </c>
      <c r="AN198">
        <v>2376.37</v>
      </c>
      <c r="AO198">
        <v>2348.9899999999998</v>
      </c>
      <c r="AP198">
        <v>2335.5</v>
      </c>
      <c r="AQ198">
        <v>2335</v>
      </c>
      <c r="AR198">
        <v>2333.9</v>
      </c>
      <c r="AS198">
        <v>2331.3000000000002</v>
      </c>
      <c r="AT198">
        <v>2326.84</v>
      </c>
      <c r="AU198">
        <v>2323</v>
      </c>
      <c r="AV198">
        <v>2323</v>
      </c>
      <c r="AW198">
        <v>2323</v>
      </c>
      <c r="AX198">
        <v>2321.84</v>
      </c>
      <c r="AY198">
        <v>2323</v>
      </c>
      <c r="AZ198">
        <v>2311.37</v>
      </c>
      <c r="BA198">
        <v>2316</v>
      </c>
      <c r="BB198">
        <v>2311.5</v>
      </c>
      <c r="BC198">
        <v>2307</v>
      </c>
      <c r="BD198">
        <v>2305</v>
      </c>
      <c r="BE198">
        <v>2295.85</v>
      </c>
      <c r="BF198">
        <v>2298.44</v>
      </c>
      <c r="BG198">
        <v>2296</v>
      </c>
      <c r="BH198">
        <v>2300</v>
      </c>
      <c r="BI198">
        <v>2310.5</v>
      </c>
      <c r="BJ198">
        <v>2310</v>
      </c>
      <c r="BK198">
        <v>2310</v>
      </c>
      <c r="BL198">
        <v>2310</v>
      </c>
      <c r="BM198">
        <v>2311.9499999999998</v>
      </c>
      <c r="BN198">
        <v>2310</v>
      </c>
      <c r="BO198">
        <v>2312</v>
      </c>
      <c r="BP198">
        <v>2312</v>
      </c>
      <c r="BQ198">
        <v>2291</v>
      </c>
    </row>
    <row r="199" spans="1:69" x14ac:dyDescent="0.25">
      <c r="A199" t="s">
        <v>270</v>
      </c>
      <c r="B199">
        <v>33.119999999999997</v>
      </c>
      <c r="C199">
        <v>33.340000000000003</v>
      </c>
      <c r="D199">
        <v>32.94</v>
      </c>
      <c r="E199">
        <v>32.340000000000003</v>
      </c>
      <c r="F199">
        <v>32.17</v>
      </c>
      <c r="G199">
        <v>32.03</v>
      </c>
      <c r="H199">
        <v>30.974</v>
      </c>
      <c r="I199">
        <v>31.474</v>
      </c>
      <c r="J199">
        <v>31.684999999999999</v>
      </c>
      <c r="K199">
        <v>32.454000000000001</v>
      </c>
      <c r="L199">
        <v>32.72</v>
      </c>
      <c r="M199">
        <v>31.84</v>
      </c>
      <c r="N199">
        <v>32.26</v>
      </c>
      <c r="O199">
        <v>32.4</v>
      </c>
      <c r="P199">
        <v>32.58</v>
      </c>
      <c r="Q199">
        <v>33.26</v>
      </c>
      <c r="R199">
        <v>33.49</v>
      </c>
      <c r="S199">
        <v>33.840000000000003</v>
      </c>
      <c r="T199">
        <v>34.19</v>
      </c>
      <c r="U199">
        <v>34.76</v>
      </c>
      <c r="V199">
        <v>33.82</v>
      </c>
      <c r="W199">
        <v>34.76</v>
      </c>
      <c r="X199">
        <v>33.21</v>
      </c>
      <c r="Y199">
        <v>33.75</v>
      </c>
      <c r="Z199">
        <v>35.03</v>
      </c>
      <c r="AA199">
        <v>36.119999999999997</v>
      </c>
      <c r="AB199">
        <v>36.450000000000003</v>
      </c>
      <c r="AC199">
        <v>36.79</v>
      </c>
      <c r="AD199">
        <v>36.53</v>
      </c>
      <c r="AE199">
        <v>35.72</v>
      </c>
      <c r="AF199">
        <v>35.71</v>
      </c>
      <c r="AG199">
        <v>35.090000000000003</v>
      </c>
      <c r="AH199">
        <v>35.729999999999997</v>
      </c>
      <c r="AI199">
        <v>36.049999999999997</v>
      </c>
      <c r="AJ199">
        <v>36.35</v>
      </c>
      <c r="AK199">
        <v>35.69</v>
      </c>
      <c r="AL199">
        <v>35.049999999999997</v>
      </c>
      <c r="AM199">
        <v>34.71</v>
      </c>
      <c r="AN199">
        <v>34.56</v>
      </c>
      <c r="AO199">
        <v>33.81</v>
      </c>
      <c r="AP199">
        <v>34.19</v>
      </c>
      <c r="AQ199">
        <v>34.53</v>
      </c>
      <c r="AR199">
        <v>33.880000000000003</v>
      </c>
      <c r="AS199">
        <v>33.340000000000003</v>
      </c>
      <c r="AT199">
        <v>34.56</v>
      </c>
      <c r="AU199">
        <v>35.97</v>
      </c>
      <c r="AV199">
        <v>38</v>
      </c>
      <c r="AW199">
        <v>36.26</v>
      </c>
      <c r="AX199">
        <v>35.090000000000003</v>
      </c>
      <c r="AY199">
        <v>36.26</v>
      </c>
      <c r="AZ199">
        <v>34.89</v>
      </c>
      <c r="BA199">
        <v>34.58</v>
      </c>
      <c r="BB199">
        <v>33.53</v>
      </c>
      <c r="BC199">
        <v>33.29</v>
      </c>
      <c r="BD199">
        <v>32.67</v>
      </c>
      <c r="BE199">
        <v>33.31</v>
      </c>
      <c r="BF199">
        <v>33.71</v>
      </c>
      <c r="BG199">
        <v>33.21</v>
      </c>
      <c r="BH199">
        <v>33.880000000000003</v>
      </c>
      <c r="BI199">
        <v>32.46</v>
      </c>
      <c r="BJ199">
        <v>32.86</v>
      </c>
      <c r="BK199">
        <v>31.97</v>
      </c>
      <c r="BL199">
        <v>31.28</v>
      </c>
      <c r="BM199">
        <v>31.25</v>
      </c>
      <c r="BN199">
        <v>31.3</v>
      </c>
      <c r="BO199">
        <v>30.15</v>
      </c>
      <c r="BP199">
        <v>29.97</v>
      </c>
      <c r="BQ199">
        <v>30.04</v>
      </c>
    </row>
    <row r="200" spans="1:69" x14ac:dyDescent="0.25">
      <c r="A200" t="s">
        <v>66</v>
      </c>
      <c r="B200">
        <v>568.51900000000001</v>
      </c>
      <c r="C200">
        <v>574.04100000000005</v>
      </c>
      <c r="D200">
        <v>569.30799999999999</v>
      </c>
      <c r="E200">
        <v>560.16800000000001</v>
      </c>
      <c r="F200">
        <v>560.16800000000001</v>
      </c>
      <c r="G200">
        <v>568.81500000000005</v>
      </c>
      <c r="H200">
        <v>551.87400000000002</v>
      </c>
      <c r="I200">
        <v>563.053</v>
      </c>
      <c r="J200">
        <v>558.59400000000005</v>
      </c>
      <c r="K200">
        <v>567.24099999999999</v>
      </c>
      <c r="L200">
        <v>567.24099999999999</v>
      </c>
      <c r="M200">
        <v>559.30799999999999</v>
      </c>
      <c r="N200">
        <v>560.55100000000004</v>
      </c>
      <c r="O200">
        <v>561.17499999999995</v>
      </c>
      <c r="P200">
        <v>571.98900000000003</v>
      </c>
      <c r="Q200">
        <v>588.46100000000001</v>
      </c>
      <c r="R200">
        <v>577.32500000000005</v>
      </c>
      <c r="S200">
        <v>602.40300000000002</v>
      </c>
      <c r="T200">
        <v>634.08100000000002</v>
      </c>
      <c r="U200">
        <v>642.654</v>
      </c>
      <c r="V200">
        <v>624.84</v>
      </c>
      <c r="W200">
        <v>618.59400000000005</v>
      </c>
      <c r="X200">
        <v>599.65</v>
      </c>
      <c r="Y200">
        <v>595.35</v>
      </c>
      <c r="Z200">
        <v>598.71900000000005</v>
      </c>
      <c r="AA200">
        <v>602.45899999999995</v>
      </c>
      <c r="AB200">
        <v>605.46199999999999</v>
      </c>
      <c r="AC200">
        <v>607.14300000000003</v>
      </c>
      <c r="AD200">
        <v>611.15899999999999</v>
      </c>
      <c r="AE200">
        <v>599.65</v>
      </c>
      <c r="AF200">
        <v>611.72900000000004</v>
      </c>
      <c r="AG200">
        <v>598.88300000000004</v>
      </c>
      <c r="AH200">
        <v>607.98699999999997</v>
      </c>
      <c r="AI200">
        <v>614.71</v>
      </c>
      <c r="AJ200">
        <v>617.13900000000001</v>
      </c>
      <c r="AK200">
        <v>610.64700000000005</v>
      </c>
      <c r="AL200">
        <v>598.61</v>
      </c>
      <c r="AM200">
        <v>591.43200000000002</v>
      </c>
      <c r="AN200">
        <v>608.26900000000001</v>
      </c>
      <c r="AO200">
        <v>601.24400000000003</v>
      </c>
      <c r="AP200">
        <v>597.46500000000003</v>
      </c>
      <c r="AQ200">
        <v>612.47199999999998</v>
      </c>
      <c r="AR200">
        <v>612.12900000000002</v>
      </c>
      <c r="AS200">
        <v>609.28599999999994</v>
      </c>
      <c r="AT200">
        <v>615.40200000000004</v>
      </c>
      <c r="AU200">
        <v>637.65599999999995</v>
      </c>
      <c r="AV200">
        <v>676.73299999999995</v>
      </c>
      <c r="AW200">
        <v>653.79899999999998</v>
      </c>
      <c r="AX200">
        <v>633.22400000000005</v>
      </c>
      <c r="AY200">
        <v>653.40899999999999</v>
      </c>
      <c r="AZ200">
        <v>628.13099999999997</v>
      </c>
      <c r="BA200">
        <v>621.34799999999996</v>
      </c>
      <c r="BB200">
        <v>603.34500000000003</v>
      </c>
      <c r="BC200">
        <v>598.61</v>
      </c>
      <c r="BD200">
        <v>575.70399999999995</v>
      </c>
      <c r="BE200">
        <v>574.49400000000003</v>
      </c>
      <c r="BF200">
        <v>582.19299999999998</v>
      </c>
      <c r="BG200">
        <v>572.08900000000006</v>
      </c>
      <c r="BH200">
        <v>563.97299999999996</v>
      </c>
      <c r="BI200">
        <v>555.89599999999996</v>
      </c>
      <c r="BJ200">
        <v>551.73400000000004</v>
      </c>
      <c r="BK200">
        <v>549.88400000000001</v>
      </c>
      <c r="BL200">
        <v>537.71400000000006</v>
      </c>
      <c r="BM200">
        <v>541.84500000000003</v>
      </c>
      <c r="BN200">
        <v>559.69000000000005</v>
      </c>
      <c r="BO200">
        <v>549.24</v>
      </c>
      <c r="BP200">
        <v>540.46100000000001</v>
      </c>
      <c r="BQ200">
        <v>539.26099999999997</v>
      </c>
    </row>
    <row r="201" spans="1:69" x14ac:dyDescent="0.25">
      <c r="A201" t="s">
        <v>218</v>
      </c>
      <c r="B201">
        <v>1.7110000000000001</v>
      </c>
      <c r="C201">
        <v>1.7290000000000001</v>
      </c>
      <c r="D201">
        <v>1.732</v>
      </c>
      <c r="E201">
        <v>1.6870000000000001</v>
      </c>
      <c r="F201">
        <v>1.7110000000000001</v>
      </c>
      <c r="G201">
        <v>1.7010000000000001</v>
      </c>
      <c r="H201">
        <v>1.649</v>
      </c>
      <c r="I201">
        <v>1.7410000000000001</v>
      </c>
      <c r="J201">
        <v>1.716</v>
      </c>
      <c r="K201">
        <v>1.7669999999999999</v>
      </c>
      <c r="L201">
        <v>1.7470000000000001</v>
      </c>
      <c r="M201">
        <v>1.6830000000000001</v>
      </c>
      <c r="N201">
        <v>1.6719999999999999</v>
      </c>
      <c r="O201">
        <v>1.6639999999999999</v>
      </c>
      <c r="P201">
        <v>1.6539999999999999</v>
      </c>
      <c r="Q201">
        <v>1.6910000000000001</v>
      </c>
      <c r="R201">
        <v>1.712</v>
      </c>
      <c r="S201">
        <v>1.752</v>
      </c>
      <c r="T201">
        <v>1.7809999999999999</v>
      </c>
      <c r="U201">
        <v>1.8</v>
      </c>
      <c r="V201">
        <v>1.7290000000000001</v>
      </c>
      <c r="W201">
        <v>1.6919999999999999</v>
      </c>
      <c r="X201">
        <v>1.641</v>
      </c>
      <c r="Y201">
        <v>1.6319999999999999</v>
      </c>
      <c r="Z201">
        <v>1.65</v>
      </c>
      <c r="AA201">
        <v>1.6319999999999999</v>
      </c>
      <c r="AB201">
        <v>1.609</v>
      </c>
      <c r="AC201">
        <v>1.66</v>
      </c>
      <c r="AD201">
        <v>1.6679999999999999</v>
      </c>
      <c r="AE201">
        <v>1.6240000000000001</v>
      </c>
      <c r="AF201">
        <v>1.6479999999999999</v>
      </c>
      <c r="AG201">
        <v>1.607</v>
      </c>
      <c r="AH201">
        <v>1.6359999999999999</v>
      </c>
      <c r="AI201">
        <v>1.7030000000000001</v>
      </c>
      <c r="AJ201">
        <v>1.659</v>
      </c>
      <c r="AK201">
        <v>1.6890000000000001</v>
      </c>
      <c r="AL201">
        <v>1.671</v>
      </c>
      <c r="AM201">
        <v>1.5960000000000001</v>
      </c>
      <c r="AN201">
        <v>1.6279999999999999</v>
      </c>
      <c r="AO201">
        <v>1.5860000000000001</v>
      </c>
      <c r="AP201">
        <v>1.607</v>
      </c>
      <c r="AQ201">
        <v>1.607</v>
      </c>
      <c r="AR201">
        <v>1.5720000000000001</v>
      </c>
      <c r="AS201">
        <v>1.573</v>
      </c>
      <c r="AT201">
        <v>1.5349999999999999</v>
      </c>
      <c r="AU201">
        <v>1.6439999999999999</v>
      </c>
      <c r="AV201">
        <v>1.788</v>
      </c>
      <c r="AW201">
        <v>1.655</v>
      </c>
      <c r="AX201">
        <v>1.5489999999999999</v>
      </c>
      <c r="AY201">
        <v>1.6359999999999999</v>
      </c>
      <c r="AZ201">
        <v>1.591</v>
      </c>
      <c r="BA201">
        <v>1.571</v>
      </c>
      <c r="BB201">
        <v>1.4570000000000001</v>
      </c>
      <c r="BC201">
        <v>1.462</v>
      </c>
      <c r="BD201">
        <v>1.4950000000000001</v>
      </c>
      <c r="BE201">
        <v>1.4630000000000001</v>
      </c>
      <c r="BF201">
        <v>1.47</v>
      </c>
      <c r="BG201">
        <v>1.421</v>
      </c>
      <c r="BH201">
        <v>1.452</v>
      </c>
      <c r="BI201">
        <v>1.4059999999999999</v>
      </c>
      <c r="BJ201">
        <v>1.429</v>
      </c>
      <c r="BK201">
        <v>1.42</v>
      </c>
      <c r="BL201">
        <v>1.37</v>
      </c>
      <c r="BM201">
        <v>1.3819999999999999</v>
      </c>
      <c r="BN201">
        <v>1.4330000000000001</v>
      </c>
      <c r="BO201">
        <v>1.3859999999999999</v>
      </c>
      <c r="BP201">
        <v>1.381</v>
      </c>
      <c r="BQ201">
        <v>1.3939999999999999</v>
      </c>
    </row>
    <row r="202" spans="1:69" x14ac:dyDescent="0.25">
      <c r="A202" t="s">
        <v>278</v>
      </c>
      <c r="B202">
        <v>2.298</v>
      </c>
      <c r="C202">
        <v>2.3250000000000002</v>
      </c>
      <c r="D202">
        <v>2.3109999999999999</v>
      </c>
      <c r="E202">
        <v>2.2869999999999999</v>
      </c>
      <c r="F202">
        <v>2.3130000000000002</v>
      </c>
      <c r="G202">
        <v>2.298</v>
      </c>
      <c r="H202">
        <v>2.3069999999999999</v>
      </c>
      <c r="I202">
        <v>2.335</v>
      </c>
      <c r="J202">
        <v>2.3620000000000001</v>
      </c>
      <c r="K202">
        <v>2.35</v>
      </c>
      <c r="L202">
        <v>2.35</v>
      </c>
      <c r="M202">
        <v>2.3340000000000001</v>
      </c>
      <c r="N202">
        <v>2.339</v>
      </c>
      <c r="O202">
        <v>2.331</v>
      </c>
      <c r="P202">
        <v>2.3359999999999999</v>
      </c>
      <c r="Q202">
        <v>2.347</v>
      </c>
      <c r="R202">
        <v>2.3719999999999999</v>
      </c>
      <c r="S202">
        <v>2.3719999999999999</v>
      </c>
      <c r="T202">
        <v>2.37</v>
      </c>
      <c r="U202">
        <v>2.399</v>
      </c>
      <c r="V202">
        <v>2.3519999999999999</v>
      </c>
      <c r="W202">
        <v>2.3380000000000001</v>
      </c>
      <c r="X202">
        <v>2.2879999999999998</v>
      </c>
      <c r="Y202">
        <v>2.3069999999999999</v>
      </c>
      <c r="Z202">
        <v>2.3159999999999998</v>
      </c>
      <c r="AA202">
        <v>2.3069999999999999</v>
      </c>
      <c r="AB202">
        <v>2.3069999999999999</v>
      </c>
      <c r="AC202">
        <v>2.323</v>
      </c>
      <c r="AD202">
        <v>2.3140000000000001</v>
      </c>
      <c r="AE202">
        <v>2.3069999999999999</v>
      </c>
      <c r="AF202">
        <v>2.3319999999999999</v>
      </c>
      <c r="AG202">
        <v>2.3319999999999999</v>
      </c>
      <c r="AH202">
        <v>2.3290000000000002</v>
      </c>
      <c r="AI202">
        <v>2.35</v>
      </c>
      <c r="AJ202">
        <v>2.3279999999999998</v>
      </c>
      <c r="AK202">
        <v>2.323</v>
      </c>
      <c r="AL202">
        <v>2.3109999999999999</v>
      </c>
      <c r="AM202">
        <v>2.2989999999999999</v>
      </c>
      <c r="AN202">
        <v>2.294</v>
      </c>
      <c r="AO202">
        <v>2.2970000000000002</v>
      </c>
      <c r="AP202">
        <v>2.3010000000000002</v>
      </c>
      <c r="AQ202">
        <v>2.306</v>
      </c>
      <c r="AR202">
        <v>2.2770000000000001</v>
      </c>
      <c r="AS202">
        <v>2.3069999999999999</v>
      </c>
      <c r="AT202">
        <v>2.3530000000000002</v>
      </c>
      <c r="AU202">
        <v>2.3460000000000001</v>
      </c>
      <c r="AV202">
        <v>2.3839999999999999</v>
      </c>
      <c r="AW202">
        <v>2.2999999999999998</v>
      </c>
      <c r="AX202">
        <v>2.2770000000000001</v>
      </c>
      <c r="AY202">
        <v>2.2930000000000001</v>
      </c>
      <c r="AZ202">
        <v>2.2709999999999999</v>
      </c>
      <c r="BA202">
        <v>2.2759999999999998</v>
      </c>
      <c r="BB202">
        <v>2.2080000000000002</v>
      </c>
      <c r="BC202">
        <v>2.226</v>
      </c>
      <c r="BD202">
        <v>2.2240000000000002</v>
      </c>
      <c r="BE202">
        <v>2.234</v>
      </c>
      <c r="BF202">
        <v>2.226</v>
      </c>
      <c r="BG202">
        <v>2.1779999999999999</v>
      </c>
      <c r="BH202">
        <v>2.1920000000000002</v>
      </c>
      <c r="BI202">
        <v>2.1920000000000002</v>
      </c>
      <c r="BJ202">
        <v>2.1920000000000002</v>
      </c>
      <c r="BK202">
        <v>2.1869999999999998</v>
      </c>
      <c r="BL202">
        <v>2.2040000000000002</v>
      </c>
      <c r="BM202">
        <v>2.2309999999999999</v>
      </c>
      <c r="BN202">
        <v>2.2320000000000002</v>
      </c>
      <c r="BO202">
        <v>2.2530000000000001</v>
      </c>
      <c r="BP202">
        <v>2.2490000000000001</v>
      </c>
      <c r="BQ202">
        <v>2.206</v>
      </c>
    </row>
    <row r="203" spans="1:69" x14ac:dyDescent="0.25">
      <c r="A203" t="s">
        <v>282</v>
      </c>
      <c r="B203">
        <v>6.718</v>
      </c>
      <c r="C203">
        <v>6.7350000000000003</v>
      </c>
      <c r="D203">
        <v>6.7350000000000003</v>
      </c>
      <c r="E203">
        <v>6.726</v>
      </c>
      <c r="F203">
        <v>6.7140000000000004</v>
      </c>
      <c r="G203">
        <v>6.7140000000000004</v>
      </c>
      <c r="H203">
        <v>6.7140000000000004</v>
      </c>
      <c r="I203">
        <v>6.75</v>
      </c>
      <c r="J203">
        <v>6.7539999999999996</v>
      </c>
      <c r="K203">
        <v>6.7240000000000002</v>
      </c>
      <c r="L203">
        <v>6.7590000000000003</v>
      </c>
      <c r="M203">
        <v>6.7610000000000001</v>
      </c>
      <c r="N203">
        <v>6.7469999999999999</v>
      </c>
      <c r="O203">
        <v>6.7519999999999998</v>
      </c>
      <c r="P203">
        <v>6.7519999999999998</v>
      </c>
      <c r="Q203">
        <v>6.7320000000000002</v>
      </c>
      <c r="R203">
        <v>6.7569999999999997</v>
      </c>
      <c r="S203">
        <v>6.7530000000000001</v>
      </c>
      <c r="T203">
        <v>6.7409999999999997</v>
      </c>
      <c r="U203">
        <v>6.7640000000000002</v>
      </c>
      <c r="V203">
        <v>6.7539999999999996</v>
      </c>
      <c r="W203">
        <v>6.7530000000000001</v>
      </c>
      <c r="X203">
        <v>6.758</v>
      </c>
      <c r="Y203">
        <v>6.7560000000000002</v>
      </c>
      <c r="Z203">
        <v>6.7619999999999996</v>
      </c>
      <c r="AA203">
        <v>6.7530000000000001</v>
      </c>
      <c r="AB203">
        <v>6.758</v>
      </c>
      <c r="AC203">
        <v>6.7539999999999996</v>
      </c>
      <c r="AD203">
        <v>6.7510000000000003</v>
      </c>
      <c r="AE203">
        <v>6.7549999999999999</v>
      </c>
      <c r="AF203">
        <v>6.75</v>
      </c>
      <c r="AG203">
        <v>6.7469999999999999</v>
      </c>
      <c r="AH203">
        <v>6.7450000000000001</v>
      </c>
      <c r="AI203">
        <v>6.7320000000000002</v>
      </c>
      <c r="AJ203">
        <v>6.7439999999999998</v>
      </c>
      <c r="AK203">
        <v>6.75</v>
      </c>
      <c r="AL203">
        <v>6.7329999999999997</v>
      </c>
      <c r="AM203">
        <v>6.7359999999999998</v>
      </c>
      <c r="AN203">
        <v>6.7279999999999998</v>
      </c>
      <c r="AO203">
        <v>6.7530000000000001</v>
      </c>
      <c r="AP203">
        <v>6.7530000000000001</v>
      </c>
      <c r="AQ203">
        <v>6.7709999999999999</v>
      </c>
      <c r="AR203">
        <v>6.7649999999999997</v>
      </c>
      <c r="AS203">
        <v>6.7629999999999999</v>
      </c>
      <c r="AT203">
        <v>6.7460000000000004</v>
      </c>
      <c r="AU203">
        <v>6.7519999999999998</v>
      </c>
      <c r="AV203">
        <v>6.7460000000000004</v>
      </c>
      <c r="AW203">
        <v>6.7519999999999998</v>
      </c>
      <c r="AX203">
        <v>6.7469999999999999</v>
      </c>
      <c r="AY203">
        <v>6.7270000000000003</v>
      </c>
      <c r="AZ203">
        <v>6.74</v>
      </c>
      <c r="BA203">
        <v>6.7610000000000001</v>
      </c>
      <c r="BB203">
        <v>6.7530000000000001</v>
      </c>
      <c r="BC203">
        <v>6.766</v>
      </c>
      <c r="BD203">
        <v>6.7640000000000002</v>
      </c>
      <c r="BE203">
        <v>6.7779999999999996</v>
      </c>
      <c r="BF203">
        <v>6.7389999999999999</v>
      </c>
      <c r="BG203">
        <v>6.7530000000000001</v>
      </c>
      <c r="BH203">
        <v>6.7610000000000001</v>
      </c>
      <c r="BI203">
        <v>6.7569999999999997</v>
      </c>
      <c r="BJ203">
        <v>6.7389999999999999</v>
      </c>
      <c r="BK203">
        <v>6.7409999999999997</v>
      </c>
      <c r="BL203">
        <v>6.742</v>
      </c>
      <c r="BM203">
        <v>6.6680000000000001</v>
      </c>
      <c r="BN203">
        <v>6.774</v>
      </c>
      <c r="BO203">
        <v>6.7610000000000001</v>
      </c>
      <c r="BP203">
        <v>6.7750000000000004</v>
      </c>
      <c r="BQ203">
        <v>6.7510000000000003</v>
      </c>
    </row>
    <row r="204" spans="1:69" x14ac:dyDescent="0.25">
      <c r="A204" t="s">
        <v>276</v>
      </c>
      <c r="B204">
        <v>2.92</v>
      </c>
      <c r="C204">
        <v>2.9460000000000002</v>
      </c>
      <c r="D204">
        <v>2.931</v>
      </c>
      <c r="E204">
        <v>2.8820000000000001</v>
      </c>
      <c r="F204">
        <v>2.9</v>
      </c>
      <c r="G204">
        <v>2.9209999999999998</v>
      </c>
      <c r="H204">
        <v>2.8370000000000002</v>
      </c>
      <c r="I204">
        <v>2.883</v>
      </c>
      <c r="J204">
        <v>2.9140000000000001</v>
      </c>
      <c r="K204">
        <v>2.9430000000000001</v>
      </c>
      <c r="L204">
        <v>2.9390000000000001</v>
      </c>
      <c r="M204">
        <v>2.9039999999999999</v>
      </c>
      <c r="N204">
        <v>2.88</v>
      </c>
      <c r="O204">
        <v>2.8969999999999998</v>
      </c>
      <c r="P204">
        <v>2.9489999999999998</v>
      </c>
      <c r="Q204">
        <v>3.0209999999999999</v>
      </c>
      <c r="R204">
        <v>2.9870000000000001</v>
      </c>
      <c r="S204">
        <v>3.0830000000000002</v>
      </c>
      <c r="T204">
        <v>3.1920000000000002</v>
      </c>
      <c r="U204">
        <v>3.2269999999999999</v>
      </c>
      <c r="V204">
        <v>3.1539999999999999</v>
      </c>
      <c r="W204">
        <v>3.1440000000000001</v>
      </c>
      <c r="X204">
        <v>3.07</v>
      </c>
      <c r="Y204">
        <v>3.0510000000000002</v>
      </c>
      <c r="Z204">
        <v>3.081</v>
      </c>
      <c r="AA204">
        <v>3.097</v>
      </c>
      <c r="AB204">
        <v>3.117</v>
      </c>
      <c r="AC204">
        <v>3.1230000000000002</v>
      </c>
      <c r="AD204">
        <v>3.1120000000000001</v>
      </c>
      <c r="AE204">
        <v>3.093</v>
      </c>
      <c r="AF204">
        <v>3.1309999999999998</v>
      </c>
      <c r="AG204">
        <v>3.0939999999999999</v>
      </c>
      <c r="AH204">
        <v>3.12</v>
      </c>
      <c r="AI204">
        <v>3.16</v>
      </c>
      <c r="AJ204">
        <v>3.157</v>
      </c>
      <c r="AK204">
        <v>3.1219999999999999</v>
      </c>
      <c r="AL204">
        <v>3.0649999999999999</v>
      </c>
      <c r="AM204">
        <v>3.0539999999999998</v>
      </c>
      <c r="AN204">
        <v>3.0920000000000001</v>
      </c>
      <c r="AO204">
        <v>3.0419999999999998</v>
      </c>
      <c r="AP204">
        <v>3.0379999999999998</v>
      </c>
      <c r="AQ204">
        <v>3.1</v>
      </c>
      <c r="AR204">
        <v>3.1059999999999999</v>
      </c>
      <c r="AS204">
        <v>3.081</v>
      </c>
      <c r="AT204">
        <v>3.14</v>
      </c>
      <c r="AU204">
        <v>3.1829999999999998</v>
      </c>
      <c r="AV204">
        <v>3.2679999999999998</v>
      </c>
      <c r="AW204">
        <v>3.181</v>
      </c>
      <c r="AX204">
        <v>3.0939999999999999</v>
      </c>
      <c r="AY204">
        <v>3.153</v>
      </c>
      <c r="AZ204">
        <v>3.0840000000000001</v>
      </c>
      <c r="BA204">
        <v>3.0649999999999999</v>
      </c>
      <c r="BB204">
        <v>2.992</v>
      </c>
      <c r="BC204">
        <v>2.9470000000000001</v>
      </c>
      <c r="BD204">
        <v>2.8620000000000001</v>
      </c>
      <c r="BE204">
        <v>2.867</v>
      </c>
      <c r="BF204">
        <v>2.8879999999999999</v>
      </c>
      <c r="BG204">
        <v>2.8119999999999998</v>
      </c>
      <c r="BH204">
        <v>2.8109999999999999</v>
      </c>
      <c r="BI204">
        <v>2.782</v>
      </c>
      <c r="BJ204">
        <v>2.7749999999999999</v>
      </c>
      <c r="BK204">
        <v>2.7730000000000001</v>
      </c>
      <c r="BL204">
        <v>2.722</v>
      </c>
      <c r="BM204">
        <v>2.7349999999999999</v>
      </c>
      <c r="BN204">
        <v>2.7919999999999998</v>
      </c>
      <c r="BO204">
        <v>2.6989999999999998</v>
      </c>
      <c r="BP204">
        <v>2.6920000000000002</v>
      </c>
      <c r="BQ204">
        <v>2.6840000000000002</v>
      </c>
    </row>
    <row r="205" spans="1:69" x14ac:dyDescent="0.25">
      <c r="A205" t="s">
        <v>280</v>
      </c>
      <c r="B205">
        <v>47.774000000000001</v>
      </c>
      <c r="C205">
        <v>46.997</v>
      </c>
      <c r="D205">
        <v>46.152999999999999</v>
      </c>
      <c r="E205">
        <v>45.415999999999997</v>
      </c>
      <c r="F205">
        <v>44.716000000000001</v>
      </c>
      <c r="G205">
        <v>44.113999999999997</v>
      </c>
      <c r="H205">
        <v>43.648000000000003</v>
      </c>
      <c r="I205">
        <v>43.156999999999996</v>
      </c>
      <c r="J205">
        <v>42.615000000000002</v>
      </c>
      <c r="K205">
        <v>42.241</v>
      </c>
      <c r="L205">
        <v>41.8</v>
      </c>
      <c r="M205">
        <v>41.284999999999997</v>
      </c>
      <c r="N205">
        <v>40.744999999999997</v>
      </c>
      <c r="O205">
        <v>40.170999999999999</v>
      </c>
      <c r="P205">
        <v>39.183</v>
      </c>
      <c r="Q205">
        <v>38.756999999999998</v>
      </c>
      <c r="R205">
        <v>38.048999999999999</v>
      </c>
      <c r="S205">
        <v>36.601999999999997</v>
      </c>
      <c r="T205">
        <v>36.1</v>
      </c>
      <c r="U205">
        <v>35.484000000000002</v>
      </c>
      <c r="V205">
        <v>34.863</v>
      </c>
      <c r="W205">
        <v>34.340000000000003</v>
      </c>
      <c r="X205">
        <v>34.284999999999997</v>
      </c>
      <c r="Y205">
        <v>33.99</v>
      </c>
      <c r="Z205">
        <v>33.537999999999997</v>
      </c>
      <c r="AA205">
        <v>32.83</v>
      </c>
      <c r="AB205">
        <v>32.286000000000001</v>
      </c>
      <c r="AC205">
        <v>32.182000000000002</v>
      </c>
      <c r="AD205">
        <v>32.265999999999998</v>
      </c>
      <c r="AE205">
        <v>32.094999999999999</v>
      </c>
      <c r="AF205">
        <v>30.722999999999999</v>
      </c>
      <c r="AG205">
        <v>29.994</v>
      </c>
      <c r="AH205">
        <v>29.055</v>
      </c>
      <c r="AI205">
        <v>28.584</v>
      </c>
      <c r="AJ205">
        <v>27.731999999999999</v>
      </c>
      <c r="AK205">
        <v>26.931000000000001</v>
      </c>
      <c r="AL205">
        <v>27.044</v>
      </c>
      <c r="AM205">
        <v>26.145</v>
      </c>
      <c r="AN205">
        <v>23.628</v>
      </c>
      <c r="AO205">
        <v>19.558</v>
      </c>
      <c r="AP205">
        <v>19.315999999999999</v>
      </c>
      <c r="AQ205">
        <v>18.975000000000001</v>
      </c>
      <c r="AR205">
        <v>18.843</v>
      </c>
      <c r="AS205">
        <v>18.774999999999999</v>
      </c>
      <c r="AT205">
        <v>18.632999999999999</v>
      </c>
      <c r="AU205">
        <v>18.538</v>
      </c>
      <c r="AV205">
        <v>18.582000000000001</v>
      </c>
      <c r="AW205">
        <v>18.247</v>
      </c>
      <c r="AX205">
        <v>17.954999999999998</v>
      </c>
      <c r="AY205">
        <v>17.417999999999999</v>
      </c>
      <c r="AZ205">
        <v>17.257000000000001</v>
      </c>
      <c r="BA205">
        <v>15.308</v>
      </c>
      <c r="BB205">
        <v>14.659000000000001</v>
      </c>
      <c r="BC205">
        <v>14.718</v>
      </c>
      <c r="BD205">
        <v>13.489000000000001</v>
      </c>
      <c r="BE205">
        <v>13.68</v>
      </c>
      <c r="BF205">
        <v>14.278</v>
      </c>
      <c r="BG205">
        <v>9.5299999999999994</v>
      </c>
      <c r="BH205">
        <v>8.8699999999999992</v>
      </c>
      <c r="BI205">
        <v>8.3770000000000007</v>
      </c>
      <c r="BJ205">
        <v>8.4920000000000009</v>
      </c>
      <c r="BK205">
        <v>8.7140000000000004</v>
      </c>
      <c r="BL205">
        <v>8.452</v>
      </c>
      <c r="BM205">
        <v>8.23</v>
      </c>
      <c r="BN205">
        <v>8.31</v>
      </c>
      <c r="BO205">
        <v>7.1989999999999998</v>
      </c>
      <c r="BP205">
        <v>7.3460000000000001</v>
      </c>
      <c r="BQ205">
        <v>7.3449999999999998</v>
      </c>
    </row>
    <row r="206" spans="1:69" x14ac:dyDescent="0.25">
      <c r="A206" t="s">
        <v>274</v>
      </c>
      <c r="B206">
        <v>3.5</v>
      </c>
      <c r="C206">
        <v>3.5</v>
      </c>
      <c r="D206">
        <v>3.5</v>
      </c>
      <c r="E206">
        <v>3.5</v>
      </c>
      <c r="F206">
        <v>3.5</v>
      </c>
      <c r="G206">
        <v>3.5</v>
      </c>
      <c r="H206">
        <v>3.5</v>
      </c>
      <c r="I206">
        <v>3.5</v>
      </c>
      <c r="J206">
        <v>3.5</v>
      </c>
      <c r="K206">
        <v>3.5</v>
      </c>
      <c r="L206">
        <v>3.5</v>
      </c>
      <c r="M206">
        <v>3.5</v>
      </c>
      <c r="N206">
        <v>3.5</v>
      </c>
      <c r="O206">
        <v>3.5</v>
      </c>
      <c r="P206">
        <v>3.5</v>
      </c>
      <c r="Q206">
        <v>3.5</v>
      </c>
      <c r="R206">
        <v>3.5</v>
      </c>
      <c r="S206">
        <v>3.5</v>
      </c>
      <c r="T206">
        <v>3.5</v>
      </c>
      <c r="U206">
        <v>3.5</v>
      </c>
      <c r="V206">
        <v>3.5</v>
      </c>
      <c r="W206">
        <v>3.5</v>
      </c>
      <c r="X206">
        <v>3.5</v>
      </c>
      <c r="Y206">
        <v>3.5</v>
      </c>
      <c r="Z206">
        <v>3.5</v>
      </c>
      <c r="AA206">
        <v>3.5</v>
      </c>
      <c r="AB206">
        <v>3.5</v>
      </c>
      <c r="AC206">
        <v>3.5</v>
      </c>
      <c r="AD206">
        <v>3.5</v>
      </c>
      <c r="AE206">
        <v>3.5</v>
      </c>
      <c r="AF206">
        <v>3.5</v>
      </c>
      <c r="AG206">
        <v>3.5</v>
      </c>
      <c r="AH206">
        <v>3.5</v>
      </c>
      <c r="AI206">
        <v>3.5</v>
      </c>
      <c r="AJ206">
        <v>3.5</v>
      </c>
      <c r="AK206">
        <v>3.5</v>
      </c>
      <c r="AL206">
        <v>3.5</v>
      </c>
      <c r="AM206">
        <v>3.5</v>
      </c>
      <c r="AN206">
        <v>3.5</v>
      </c>
      <c r="AO206">
        <v>3.5</v>
      </c>
      <c r="AP206">
        <v>3.5</v>
      </c>
      <c r="AQ206">
        <v>3.5</v>
      </c>
      <c r="AR206">
        <v>3.5</v>
      </c>
      <c r="AS206">
        <v>3.5</v>
      </c>
      <c r="AT206">
        <v>3.5</v>
      </c>
      <c r="AU206">
        <v>3.5</v>
      </c>
      <c r="AV206">
        <v>3.5</v>
      </c>
      <c r="AW206">
        <v>3.5</v>
      </c>
      <c r="AX206">
        <v>3.5</v>
      </c>
      <c r="AY206">
        <v>3.5</v>
      </c>
      <c r="AZ206">
        <v>3.5</v>
      </c>
      <c r="BA206">
        <v>3.5</v>
      </c>
      <c r="BB206">
        <v>3.5</v>
      </c>
      <c r="BC206">
        <v>3.5</v>
      </c>
      <c r="BD206">
        <v>3.5</v>
      </c>
      <c r="BE206">
        <v>3.5</v>
      </c>
      <c r="BF206">
        <v>3.5</v>
      </c>
      <c r="BG206">
        <v>3.5</v>
      </c>
      <c r="BH206">
        <v>3.5</v>
      </c>
      <c r="BI206">
        <v>3.5</v>
      </c>
      <c r="BJ206">
        <v>3.5</v>
      </c>
      <c r="BK206">
        <v>3.5</v>
      </c>
      <c r="BL206">
        <v>3.5</v>
      </c>
      <c r="BM206">
        <v>3.5</v>
      </c>
      <c r="BN206">
        <v>3.5</v>
      </c>
      <c r="BO206">
        <v>3.5</v>
      </c>
      <c r="BP206">
        <v>3.5</v>
      </c>
      <c r="BQ206">
        <v>3.5</v>
      </c>
    </row>
    <row r="207" spans="1:69" x14ac:dyDescent="0.25">
      <c r="A207" t="s">
        <v>124</v>
      </c>
      <c r="B207">
        <v>1</v>
      </c>
      <c r="C207">
        <v>1</v>
      </c>
      <c r="D207">
        <v>1</v>
      </c>
      <c r="E207">
        <v>1</v>
      </c>
      <c r="F207">
        <v>1</v>
      </c>
      <c r="G207">
        <v>1</v>
      </c>
      <c r="H207">
        <v>1</v>
      </c>
      <c r="I207">
        <v>1</v>
      </c>
      <c r="J207">
        <v>1</v>
      </c>
      <c r="K207">
        <v>1</v>
      </c>
      <c r="L207">
        <v>1</v>
      </c>
      <c r="M207">
        <v>1</v>
      </c>
      <c r="N207">
        <v>1</v>
      </c>
      <c r="O207">
        <v>1</v>
      </c>
      <c r="P207">
        <v>1</v>
      </c>
      <c r="Q207">
        <v>1</v>
      </c>
      <c r="R207">
        <v>1</v>
      </c>
      <c r="S207">
        <v>1</v>
      </c>
      <c r="T207">
        <v>1</v>
      </c>
      <c r="U207">
        <v>1</v>
      </c>
      <c r="V207">
        <v>1</v>
      </c>
      <c r="W207">
        <v>1</v>
      </c>
      <c r="X207">
        <v>1</v>
      </c>
      <c r="Y207">
        <v>1</v>
      </c>
      <c r="Z207">
        <v>1</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c r="BM207">
        <v>1</v>
      </c>
      <c r="BN207">
        <v>1</v>
      </c>
      <c r="BO207">
        <v>1</v>
      </c>
      <c r="BP207">
        <v>1</v>
      </c>
      <c r="BQ207">
        <v>1</v>
      </c>
    </row>
    <row r="208" spans="1:69" x14ac:dyDescent="0.25">
      <c r="A208" t="s">
        <v>42</v>
      </c>
      <c r="B208">
        <v>1.417</v>
      </c>
      <c r="C208">
        <v>1.4410000000000001</v>
      </c>
      <c r="D208">
        <v>1.4319999999999999</v>
      </c>
      <c r="E208">
        <v>1.38</v>
      </c>
      <c r="F208">
        <v>1.415</v>
      </c>
      <c r="G208">
        <v>1.4079999999999999</v>
      </c>
      <c r="H208">
        <v>1.403</v>
      </c>
      <c r="I208">
        <v>1.4970000000000001</v>
      </c>
      <c r="J208">
        <v>1.4990000000000001</v>
      </c>
      <c r="K208">
        <v>1.53</v>
      </c>
      <c r="L208">
        <v>1.5349999999999999</v>
      </c>
      <c r="M208">
        <v>1.5089999999999999</v>
      </c>
      <c r="N208">
        <v>1.5269999999999999</v>
      </c>
      <c r="O208">
        <v>1.52</v>
      </c>
      <c r="P208">
        <v>1.534</v>
      </c>
      <c r="Q208">
        <v>1.5549999999999999</v>
      </c>
      <c r="R208">
        <v>1.591</v>
      </c>
      <c r="S208">
        <v>1.59</v>
      </c>
      <c r="T208">
        <v>1.599</v>
      </c>
      <c r="U208">
        <v>1.6240000000000001</v>
      </c>
      <c r="V208">
        <v>1.5720000000000001</v>
      </c>
      <c r="W208">
        <v>1.5369999999999999</v>
      </c>
      <c r="X208">
        <v>1.484</v>
      </c>
      <c r="Y208">
        <v>1.504</v>
      </c>
      <c r="Z208">
        <v>1.5129999999999999</v>
      </c>
      <c r="AA208">
        <v>1.4730000000000001</v>
      </c>
      <c r="AB208">
        <v>1.494</v>
      </c>
      <c r="AC208">
        <v>1.51</v>
      </c>
      <c r="AD208">
        <v>1.53</v>
      </c>
      <c r="AE208">
        <v>1.5109999999999999</v>
      </c>
      <c r="AF208">
        <v>1.546</v>
      </c>
      <c r="AG208">
        <v>1.498</v>
      </c>
      <c r="AH208">
        <v>1.522</v>
      </c>
      <c r="AI208">
        <v>1.571</v>
      </c>
      <c r="AJ208">
        <v>1.556</v>
      </c>
      <c r="AK208">
        <v>1.5569999999999999</v>
      </c>
      <c r="AL208">
        <v>1.538</v>
      </c>
      <c r="AM208">
        <v>1.4770000000000001</v>
      </c>
      <c r="AN208">
        <v>1.4770000000000001</v>
      </c>
      <c r="AO208">
        <v>1.4930000000000001</v>
      </c>
      <c r="AP208">
        <v>1.4930000000000001</v>
      </c>
      <c r="AQ208">
        <v>1.5009999999999999</v>
      </c>
      <c r="AR208">
        <v>1.4370000000000001</v>
      </c>
      <c r="AS208">
        <v>1.448</v>
      </c>
      <c r="AT208">
        <v>1.4510000000000001</v>
      </c>
      <c r="AU208">
        <v>1.4970000000000001</v>
      </c>
      <c r="AV208">
        <v>1.5980000000000001</v>
      </c>
      <c r="AW208">
        <v>1.472</v>
      </c>
      <c r="AX208">
        <v>1.403</v>
      </c>
      <c r="AY208">
        <v>1.4810000000000001</v>
      </c>
      <c r="AZ208">
        <v>1.4359999999999999</v>
      </c>
      <c r="BA208">
        <v>1.423</v>
      </c>
      <c r="BB208">
        <v>1.339</v>
      </c>
      <c r="BC208">
        <v>1.365</v>
      </c>
      <c r="BD208">
        <v>1.3939999999999999</v>
      </c>
      <c r="BE208">
        <v>1.3759999999999999</v>
      </c>
      <c r="BF208">
        <v>1.401</v>
      </c>
      <c r="BG208">
        <v>1.369</v>
      </c>
      <c r="BH208">
        <v>1.39</v>
      </c>
      <c r="BI208">
        <v>1.357</v>
      </c>
      <c r="BJ208">
        <v>1.353</v>
      </c>
      <c r="BK208">
        <v>1.3220000000000001</v>
      </c>
      <c r="BL208">
        <v>1.2909999999999999</v>
      </c>
      <c r="BM208">
        <v>1.2869999999999999</v>
      </c>
      <c r="BN208">
        <v>1.3140000000000001</v>
      </c>
      <c r="BO208">
        <v>1.2889999999999999</v>
      </c>
      <c r="BP208">
        <v>1.288</v>
      </c>
      <c r="BQ208">
        <v>1.294</v>
      </c>
    </row>
    <row r="209" spans="1:69" x14ac:dyDescent="0.25">
      <c r="A209" t="s">
        <v>290</v>
      </c>
      <c r="B209">
        <v>3705.65</v>
      </c>
      <c r="C209">
        <v>3685</v>
      </c>
      <c r="D209">
        <v>3764.54</v>
      </c>
      <c r="E209">
        <v>3744.24</v>
      </c>
      <c r="F209">
        <v>3730.81</v>
      </c>
      <c r="G209">
        <v>3735.2</v>
      </c>
      <c r="H209">
        <v>3535.77</v>
      </c>
      <c r="I209">
        <v>3570.33</v>
      </c>
      <c r="J209">
        <v>3551.25</v>
      </c>
      <c r="K209">
        <v>3621.2</v>
      </c>
      <c r="L209">
        <v>3428</v>
      </c>
      <c r="M209">
        <v>3505.24</v>
      </c>
      <c r="N209">
        <v>3551.54</v>
      </c>
      <c r="O209">
        <v>3580</v>
      </c>
      <c r="P209">
        <v>3583</v>
      </c>
      <c r="Q209">
        <v>3648.48</v>
      </c>
      <c r="R209">
        <v>3671.86</v>
      </c>
      <c r="S209">
        <v>3665.16</v>
      </c>
      <c r="T209">
        <v>3677</v>
      </c>
      <c r="U209">
        <v>3695.5</v>
      </c>
      <c r="V209">
        <v>3654.14</v>
      </c>
      <c r="W209">
        <v>3665</v>
      </c>
      <c r="X209">
        <v>3661.37</v>
      </c>
      <c r="Y209">
        <v>3717.52</v>
      </c>
      <c r="Z209">
        <v>3726.91</v>
      </c>
      <c r="AA209">
        <v>3700</v>
      </c>
      <c r="AB209">
        <v>3745.75</v>
      </c>
      <c r="AC209">
        <v>3765</v>
      </c>
      <c r="AD209">
        <v>3806</v>
      </c>
      <c r="AE209">
        <v>3886.13</v>
      </c>
      <c r="AF209">
        <v>3866.35</v>
      </c>
      <c r="AG209">
        <v>3797</v>
      </c>
      <c r="AH209">
        <v>3789</v>
      </c>
      <c r="AI209">
        <v>3774</v>
      </c>
      <c r="AJ209">
        <v>3751.78</v>
      </c>
      <c r="AK209">
        <v>3722.75</v>
      </c>
      <c r="AL209">
        <v>3726</v>
      </c>
      <c r="AM209">
        <v>3665.79</v>
      </c>
      <c r="AN209">
        <v>3720</v>
      </c>
      <c r="AO209">
        <v>3720.15</v>
      </c>
      <c r="AP209">
        <v>3742.09</v>
      </c>
      <c r="AQ209">
        <v>3720.57</v>
      </c>
      <c r="AR209">
        <v>3668.32</v>
      </c>
      <c r="AS209">
        <v>3687.48</v>
      </c>
      <c r="AT209">
        <v>3690.67</v>
      </c>
      <c r="AU209">
        <v>3757.46</v>
      </c>
      <c r="AV209">
        <v>3832.15</v>
      </c>
      <c r="AW209">
        <v>3805.98</v>
      </c>
      <c r="AX209">
        <v>3808.61</v>
      </c>
      <c r="AY209">
        <v>3769.62</v>
      </c>
      <c r="AZ209">
        <v>3731.75</v>
      </c>
      <c r="BA209">
        <v>3591.26</v>
      </c>
      <c r="BB209">
        <v>3517.21</v>
      </c>
      <c r="BC209">
        <v>3608</v>
      </c>
      <c r="BD209">
        <v>3515.91</v>
      </c>
      <c r="BE209">
        <v>3519.64</v>
      </c>
      <c r="BF209">
        <v>3560</v>
      </c>
      <c r="BG209">
        <v>3548</v>
      </c>
      <c r="BH209">
        <v>3533.24</v>
      </c>
      <c r="BI209">
        <v>3540.06</v>
      </c>
      <c r="BJ209">
        <v>3544.15</v>
      </c>
      <c r="BK209">
        <v>3550</v>
      </c>
      <c r="BL209">
        <v>3545</v>
      </c>
      <c r="BM209">
        <v>3578.29</v>
      </c>
      <c r="BN209">
        <v>3660</v>
      </c>
      <c r="BO209">
        <v>3660</v>
      </c>
      <c r="BP209">
        <v>3684</v>
      </c>
      <c r="BQ209">
        <v>3633.5</v>
      </c>
    </row>
    <row r="210" spans="1:69" x14ac:dyDescent="0.25">
      <c r="A210" t="s">
        <v>287</v>
      </c>
      <c r="B210">
        <v>44.685000000000002</v>
      </c>
      <c r="C210">
        <v>44.79</v>
      </c>
      <c r="D210">
        <v>44.89</v>
      </c>
      <c r="E210">
        <v>43.89</v>
      </c>
      <c r="F210">
        <v>43.51</v>
      </c>
      <c r="G210">
        <v>44.215000000000003</v>
      </c>
      <c r="H210">
        <v>43</v>
      </c>
      <c r="I210">
        <v>43.09</v>
      </c>
      <c r="J210">
        <v>42.18</v>
      </c>
      <c r="K210">
        <v>42.1</v>
      </c>
      <c r="L210">
        <v>41.4</v>
      </c>
      <c r="M210">
        <v>41.3</v>
      </c>
      <c r="N210">
        <v>41.8</v>
      </c>
      <c r="O210">
        <v>41.8</v>
      </c>
      <c r="P210">
        <v>41.518000000000001</v>
      </c>
      <c r="Q210">
        <v>41.8</v>
      </c>
      <c r="R210">
        <v>41.5</v>
      </c>
      <c r="S210">
        <v>41.5</v>
      </c>
      <c r="T210">
        <v>41.8</v>
      </c>
      <c r="U210">
        <v>42.5</v>
      </c>
      <c r="V210">
        <v>41.65</v>
      </c>
      <c r="W210">
        <v>41.5</v>
      </c>
      <c r="X210">
        <v>41.5</v>
      </c>
      <c r="Y210">
        <v>41.5</v>
      </c>
      <c r="Z210">
        <v>41.5</v>
      </c>
      <c r="AA210">
        <v>40.799999999999997</v>
      </c>
      <c r="AB210">
        <v>40.5</v>
      </c>
      <c r="AC210">
        <v>39.5</v>
      </c>
      <c r="AD210">
        <v>39.1</v>
      </c>
      <c r="AE210">
        <v>38.5</v>
      </c>
      <c r="AF210">
        <v>38</v>
      </c>
      <c r="AG210">
        <v>38</v>
      </c>
      <c r="AH210">
        <v>37</v>
      </c>
      <c r="AI210">
        <v>37</v>
      </c>
      <c r="AJ210">
        <v>37</v>
      </c>
      <c r="AK210">
        <v>37</v>
      </c>
      <c r="AL210">
        <v>37</v>
      </c>
      <c r="AM210">
        <v>37</v>
      </c>
      <c r="AN210">
        <v>37</v>
      </c>
      <c r="AO210">
        <v>37</v>
      </c>
      <c r="AP210">
        <v>37</v>
      </c>
      <c r="AQ210">
        <v>37</v>
      </c>
      <c r="AR210">
        <v>37</v>
      </c>
      <c r="AS210">
        <v>37</v>
      </c>
      <c r="AT210">
        <v>37</v>
      </c>
      <c r="AU210">
        <v>37</v>
      </c>
      <c r="AV210">
        <v>37</v>
      </c>
      <c r="AW210">
        <v>37</v>
      </c>
      <c r="AX210">
        <v>37</v>
      </c>
      <c r="AY210">
        <v>30</v>
      </c>
      <c r="AZ210">
        <v>30</v>
      </c>
      <c r="BA210">
        <v>30</v>
      </c>
      <c r="BB210">
        <v>30</v>
      </c>
      <c r="BC210">
        <v>30</v>
      </c>
      <c r="BD210">
        <v>28.32</v>
      </c>
      <c r="BE210">
        <v>27.47</v>
      </c>
      <c r="BF210">
        <v>26.9</v>
      </c>
      <c r="BG210">
        <v>26.4</v>
      </c>
      <c r="BH210">
        <v>26.61</v>
      </c>
      <c r="BI210">
        <v>26.75</v>
      </c>
      <c r="BJ210">
        <v>27</v>
      </c>
      <c r="BK210">
        <v>27.3</v>
      </c>
      <c r="BL210">
        <v>27.6</v>
      </c>
      <c r="BM210">
        <v>28</v>
      </c>
      <c r="BN210">
        <v>28</v>
      </c>
      <c r="BO210">
        <v>28</v>
      </c>
      <c r="BP210">
        <v>28.25</v>
      </c>
      <c r="BQ210">
        <v>28.5</v>
      </c>
    </row>
    <row r="211" spans="1:69" x14ac:dyDescent="0.25">
      <c r="A211" t="s">
        <v>23</v>
      </c>
      <c r="B211">
        <v>3.673</v>
      </c>
      <c r="C211">
        <v>3.673</v>
      </c>
      <c r="D211">
        <v>3.673</v>
      </c>
      <c r="E211">
        <v>3.673</v>
      </c>
      <c r="F211">
        <v>3.673</v>
      </c>
      <c r="G211">
        <v>3.673</v>
      </c>
      <c r="H211">
        <v>3.673</v>
      </c>
      <c r="I211">
        <v>3.673</v>
      </c>
      <c r="J211">
        <v>3.673</v>
      </c>
      <c r="K211">
        <v>3.673</v>
      </c>
      <c r="L211">
        <v>3.6720000000000002</v>
      </c>
      <c r="M211">
        <v>3.673</v>
      </c>
      <c r="N211">
        <v>3.673</v>
      </c>
      <c r="O211">
        <v>3.673</v>
      </c>
      <c r="P211">
        <v>3.673</v>
      </c>
      <c r="Q211">
        <v>3.673</v>
      </c>
      <c r="R211">
        <v>3.673</v>
      </c>
      <c r="S211">
        <v>3.673</v>
      </c>
      <c r="T211">
        <v>3.673</v>
      </c>
      <c r="U211">
        <v>3.673</v>
      </c>
      <c r="V211">
        <v>3.673</v>
      </c>
      <c r="W211">
        <v>3.673</v>
      </c>
      <c r="X211">
        <v>3.673</v>
      </c>
      <c r="Y211">
        <v>3.673</v>
      </c>
      <c r="Z211">
        <v>3.673</v>
      </c>
      <c r="AA211">
        <v>3.673</v>
      </c>
      <c r="AB211">
        <v>3.673</v>
      </c>
      <c r="AC211">
        <v>3.673</v>
      </c>
      <c r="AD211">
        <v>3.6720000000000002</v>
      </c>
      <c r="AE211">
        <v>3.673</v>
      </c>
      <c r="AF211">
        <v>3.673</v>
      </c>
      <c r="AG211">
        <v>3.673</v>
      </c>
      <c r="AH211">
        <v>3.6720000000000002</v>
      </c>
      <c r="AI211">
        <v>3.673</v>
      </c>
      <c r="AJ211">
        <v>3.673</v>
      </c>
      <c r="AK211">
        <v>3.673</v>
      </c>
      <c r="AL211">
        <v>3.673</v>
      </c>
      <c r="AM211">
        <v>3.673</v>
      </c>
      <c r="AN211">
        <v>3.673</v>
      </c>
      <c r="AO211">
        <v>3.6720000000000002</v>
      </c>
      <c r="AP211">
        <v>3.6720000000000002</v>
      </c>
      <c r="AQ211">
        <v>3.673</v>
      </c>
      <c r="AR211">
        <v>3.673</v>
      </c>
      <c r="AS211">
        <v>3.673</v>
      </c>
      <c r="AT211">
        <v>3.673</v>
      </c>
      <c r="AU211">
        <v>3.673</v>
      </c>
      <c r="AV211">
        <v>3.673</v>
      </c>
      <c r="AW211">
        <v>3.673</v>
      </c>
      <c r="AX211">
        <v>3.673</v>
      </c>
      <c r="AY211">
        <v>3.673</v>
      </c>
      <c r="AZ211">
        <v>3.673</v>
      </c>
      <c r="BA211">
        <v>3.673</v>
      </c>
      <c r="BB211">
        <v>3.673</v>
      </c>
      <c r="BC211">
        <v>3.673</v>
      </c>
      <c r="BD211">
        <v>3.673</v>
      </c>
      <c r="BE211">
        <v>3.673</v>
      </c>
      <c r="BF211">
        <v>3.673</v>
      </c>
      <c r="BG211">
        <v>3.673</v>
      </c>
      <c r="BH211">
        <v>3.673</v>
      </c>
      <c r="BI211">
        <v>3.673</v>
      </c>
      <c r="BJ211">
        <v>3.673</v>
      </c>
      <c r="BK211">
        <v>3.673</v>
      </c>
      <c r="BL211">
        <v>3.673</v>
      </c>
      <c r="BM211">
        <v>3.673</v>
      </c>
      <c r="BN211">
        <v>3.673</v>
      </c>
      <c r="BO211">
        <v>3.673</v>
      </c>
      <c r="BP211">
        <v>3.673</v>
      </c>
      <c r="BQ211">
        <v>3.673</v>
      </c>
    </row>
    <row r="212" spans="1:69" x14ac:dyDescent="0.25">
      <c r="A212" t="s">
        <v>116</v>
      </c>
      <c r="B212">
        <v>0.74099999999999999</v>
      </c>
      <c r="C212">
        <v>0.747</v>
      </c>
      <c r="D212">
        <v>0.749</v>
      </c>
      <c r="E212">
        <v>0.74</v>
      </c>
      <c r="F212">
        <v>0.74299999999999999</v>
      </c>
      <c r="G212">
        <v>0.748</v>
      </c>
      <c r="H212">
        <v>0.73199999999999998</v>
      </c>
      <c r="I212">
        <v>0.74399999999999999</v>
      </c>
      <c r="J212">
        <v>0.745</v>
      </c>
      <c r="K212">
        <v>0.76400000000000001</v>
      </c>
      <c r="L212">
        <v>0.75</v>
      </c>
      <c r="M212">
        <v>0.73799999999999999</v>
      </c>
      <c r="N212">
        <v>0.73699999999999999</v>
      </c>
      <c r="O212">
        <v>0.74</v>
      </c>
      <c r="P212">
        <v>0.74</v>
      </c>
      <c r="Q212">
        <v>0.755</v>
      </c>
      <c r="R212">
        <v>0.76400000000000001</v>
      </c>
      <c r="S212">
        <v>0.77300000000000002</v>
      </c>
      <c r="T212">
        <v>0.80700000000000005</v>
      </c>
      <c r="U212">
        <v>0.82299999999999995</v>
      </c>
      <c r="V212">
        <v>0.78400000000000003</v>
      </c>
      <c r="W212">
        <v>0.78600000000000003</v>
      </c>
      <c r="X212">
        <v>0.76500000000000001</v>
      </c>
      <c r="Y212">
        <v>0.76600000000000001</v>
      </c>
      <c r="Z212">
        <v>0.78</v>
      </c>
      <c r="AA212">
        <v>0.77300000000000002</v>
      </c>
      <c r="AB212">
        <v>0.77900000000000003</v>
      </c>
      <c r="AC212">
        <v>0.79600000000000004</v>
      </c>
      <c r="AD212">
        <v>0.79700000000000004</v>
      </c>
      <c r="AE212">
        <v>0.78100000000000003</v>
      </c>
      <c r="AF212">
        <v>0.79300000000000004</v>
      </c>
      <c r="AG212">
        <v>0.78600000000000003</v>
      </c>
      <c r="AH212">
        <v>0.79900000000000004</v>
      </c>
      <c r="AI212">
        <v>0.81699999999999995</v>
      </c>
      <c r="AJ212">
        <v>0.81100000000000005</v>
      </c>
      <c r="AK212">
        <v>0.8</v>
      </c>
      <c r="AL212">
        <v>0.78800000000000003</v>
      </c>
      <c r="AM212">
        <v>0.77</v>
      </c>
      <c r="AN212">
        <v>0.79500000000000004</v>
      </c>
      <c r="AO212">
        <v>0.79900000000000004</v>
      </c>
      <c r="AP212">
        <v>0.80300000000000005</v>
      </c>
      <c r="AQ212">
        <v>0.82599999999999996</v>
      </c>
      <c r="AR212">
        <v>0.82399999999999995</v>
      </c>
      <c r="AS212">
        <v>0.82399999999999995</v>
      </c>
      <c r="AT212">
        <v>0.80400000000000005</v>
      </c>
      <c r="AU212">
        <v>0.85199999999999998</v>
      </c>
      <c r="AV212">
        <v>0.90600000000000003</v>
      </c>
      <c r="AW212">
        <v>0.86599999999999999</v>
      </c>
      <c r="AX212">
        <v>0.81699999999999995</v>
      </c>
      <c r="AY212">
        <v>0.84199999999999997</v>
      </c>
      <c r="AZ212">
        <v>0.82099999999999995</v>
      </c>
      <c r="BA212">
        <v>0.80800000000000005</v>
      </c>
      <c r="BB212">
        <v>0.76700000000000002</v>
      </c>
      <c r="BC212">
        <v>0.76400000000000001</v>
      </c>
      <c r="BD212">
        <v>0.73599999999999999</v>
      </c>
      <c r="BE212">
        <v>0.73099999999999998</v>
      </c>
      <c r="BF212">
        <v>0.752</v>
      </c>
      <c r="BG212">
        <v>0.747</v>
      </c>
      <c r="BH212">
        <v>0.74399999999999999</v>
      </c>
      <c r="BI212">
        <v>0.72299999999999998</v>
      </c>
      <c r="BJ212">
        <v>0.71499999999999997</v>
      </c>
      <c r="BK212">
        <v>0.71899999999999997</v>
      </c>
      <c r="BL212">
        <v>0.70599999999999996</v>
      </c>
      <c r="BM212">
        <v>0.71699999999999997</v>
      </c>
      <c r="BN212">
        <v>0.72899999999999998</v>
      </c>
      <c r="BO212">
        <v>0.71599999999999997</v>
      </c>
      <c r="BP212">
        <v>0.72399999999999998</v>
      </c>
      <c r="BQ212">
        <v>0.73299999999999998</v>
      </c>
    </row>
    <row r="213" spans="1:69" x14ac:dyDescent="0.25">
      <c r="A213" t="s">
        <v>124</v>
      </c>
      <c r="B213">
        <v>1</v>
      </c>
      <c r="C213">
        <v>1</v>
      </c>
      <c r="D213">
        <v>1</v>
      </c>
      <c r="E213">
        <v>1</v>
      </c>
      <c r="F213">
        <v>1</v>
      </c>
      <c r="G213">
        <v>1</v>
      </c>
      <c r="H213">
        <v>1</v>
      </c>
      <c r="I213">
        <v>1</v>
      </c>
      <c r="J213">
        <v>1</v>
      </c>
      <c r="K213">
        <v>1</v>
      </c>
      <c r="L213">
        <v>1</v>
      </c>
      <c r="M213">
        <v>1</v>
      </c>
      <c r="N213">
        <v>1</v>
      </c>
      <c r="O213">
        <v>1</v>
      </c>
      <c r="P213">
        <v>1</v>
      </c>
      <c r="Q213">
        <v>1</v>
      </c>
      <c r="R213">
        <v>1</v>
      </c>
      <c r="S213">
        <v>1</v>
      </c>
      <c r="T213">
        <v>1</v>
      </c>
      <c r="U213">
        <v>1</v>
      </c>
      <c r="V213">
        <v>1</v>
      </c>
      <c r="W213">
        <v>1</v>
      </c>
      <c r="X213">
        <v>1</v>
      </c>
      <c r="Y213">
        <v>1</v>
      </c>
      <c r="Z213">
        <v>1</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1</v>
      </c>
    </row>
    <row r="214" spans="1:69" x14ac:dyDescent="0.25">
      <c r="A214" t="s">
        <v>293</v>
      </c>
      <c r="B214">
        <v>40.31</v>
      </c>
      <c r="C214">
        <v>40.200000000000003</v>
      </c>
      <c r="D214">
        <v>40.537999999999997</v>
      </c>
      <c r="E214">
        <v>39.805</v>
      </c>
      <c r="F214">
        <v>40.18</v>
      </c>
      <c r="G214">
        <v>40.024000000000001</v>
      </c>
      <c r="H214">
        <v>38.688000000000002</v>
      </c>
      <c r="I214">
        <v>38.51</v>
      </c>
      <c r="J214">
        <v>39.159999999999997</v>
      </c>
      <c r="K214">
        <v>39.683</v>
      </c>
      <c r="L214">
        <v>40.1</v>
      </c>
      <c r="M214">
        <v>40.049999999999997</v>
      </c>
      <c r="N214">
        <v>39.880000000000003</v>
      </c>
      <c r="O214">
        <v>40.563000000000002</v>
      </c>
      <c r="P214">
        <v>41.15</v>
      </c>
      <c r="Q214">
        <v>41.65</v>
      </c>
      <c r="R214">
        <v>42.792999999999999</v>
      </c>
      <c r="S214">
        <v>42.35</v>
      </c>
      <c r="T214">
        <v>43.3</v>
      </c>
      <c r="U214">
        <v>43.95</v>
      </c>
      <c r="V214">
        <v>44.25</v>
      </c>
      <c r="W214">
        <v>42.427999999999997</v>
      </c>
      <c r="X214">
        <v>41.4</v>
      </c>
      <c r="Y214">
        <v>40.5</v>
      </c>
      <c r="Z214">
        <v>40.21</v>
      </c>
      <c r="AA214">
        <v>39.950000000000003</v>
      </c>
      <c r="AB214">
        <v>39.018000000000001</v>
      </c>
      <c r="AC214">
        <v>38.405000000000001</v>
      </c>
      <c r="AD214">
        <v>38.536000000000001</v>
      </c>
      <c r="AE214">
        <v>38.695</v>
      </c>
      <c r="AF214">
        <v>39.162999999999997</v>
      </c>
      <c r="AG214">
        <v>39.299999999999997</v>
      </c>
      <c r="AH214">
        <v>39.357999999999997</v>
      </c>
      <c r="AI214">
        <v>39.753</v>
      </c>
      <c r="AJ214">
        <v>39.700000000000003</v>
      </c>
      <c r="AK214">
        <v>38.1</v>
      </c>
      <c r="AL214">
        <v>37.704000000000001</v>
      </c>
      <c r="AM214">
        <v>37.988999999999997</v>
      </c>
      <c r="AN214">
        <v>38.526000000000003</v>
      </c>
      <c r="AO214">
        <v>38.695</v>
      </c>
      <c r="AP214">
        <v>38.572000000000003</v>
      </c>
      <c r="AQ214">
        <v>39.021999999999998</v>
      </c>
      <c r="AR214">
        <v>38.975000000000001</v>
      </c>
      <c r="AS214">
        <v>39.75</v>
      </c>
      <c r="AT214">
        <v>38.524999999999999</v>
      </c>
      <c r="AU214">
        <v>39.89</v>
      </c>
      <c r="AV214">
        <v>40.97</v>
      </c>
      <c r="AW214">
        <v>40.725000000000001</v>
      </c>
      <c r="AX214">
        <v>39.953000000000003</v>
      </c>
      <c r="AY214">
        <v>40.93</v>
      </c>
      <c r="AZ214">
        <v>39.4</v>
      </c>
      <c r="BA214">
        <v>41.54</v>
      </c>
      <c r="BB214">
        <v>41.25</v>
      </c>
      <c r="BC214">
        <v>42.384999999999998</v>
      </c>
      <c r="BD214">
        <v>43.05</v>
      </c>
      <c r="BE214">
        <v>44.484999999999999</v>
      </c>
      <c r="BF214">
        <v>43.966999999999999</v>
      </c>
      <c r="BG214">
        <v>43.502000000000002</v>
      </c>
      <c r="BH214">
        <v>42.667000000000002</v>
      </c>
      <c r="BI214">
        <v>42.371000000000002</v>
      </c>
      <c r="BJ214">
        <v>43.55</v>
      </c>
      <c r="BK214">
        <v>43.298999999999999</v>
      </c>
      <c r="BL214">
        <v>43.698</v>
      </c>
      <c r="BM214">
        <v>43.78</v>
      </c>
      <c r="BN214">
        <v>44.46</v>
      </c>
      <c r="BO214">
        <v>42.948</v>
      </c>
      <c r="BP214">
        <v>42.28</v>
      </c>
      <c r="BQ214">
        <v>42.05</v>
      </c>
    </row>
    <row r="215" spans="1:69" x14ac:dyDescent="0.25">
      <c r="A215" t="s">
        <v>295</v>
      </c>
      <c r="B215">
        <v>11912.73</v>
      </c>
      <c r="C215">
        <v>12078.88</v>
      </c>
      <c r="D215">
        <v>12015</v>
      </c>
      <c r="E215">
        <v>12095</v>
      </c>
      <c r="F215">
        <v>12125</v>
      </c>
      <c r="G215">
        <v>12090</v>
      </c>
      <c r="H215">
        <v>12255</v>
      </c>
      <c r="I215">
        <v>12030</v>
      </c>
      <c r="J215">
        <v>12025</v>
      </c>
      <c r="K215">
        <v>11965</v>
      </c>
      <c r="L215">
        <v>11965</v>
      </c>
      <c r="M215">
        <v>12380</v>
      </c>
      <c r="N215">
        <v>12540</v>
      </c>
      <c r="O215">
        <v>12550</v>
      </c>
      <c r="P215">
        <v>12680</v>
      </c>
      <c r="Q215">
        <v>12880</v>
      </c>
      <c r="R215">
        <v>12937</v>
      </c>
      <c r="S215">
        <v>12890</v>
      </c>
      <c r="T215">
        <v>12940</v>
      </c>
      <c r="U215">
        <v>12918</v>
      </c>
      <c r="V215">
        <v>12820</v>
      </c>
      <c r="W215">
        <v>12790</v>
      </c>
      <c r="X215">
        <v>12780</v>
      </c>
      <c r="Y215">
        <v>12690</v>
      </c>
      <c r="Z215">
        <v>12620</v>
      </c>
      <c r="AA215">
        <v>12585</v>
      </c>
      <c r="AB215">
        <v>12630</v>
      </c>
      <c r="AC215">
        <v>12665</v>
      </c>
      <c r="AD215">
        <v>12670</v>
      </c>
      <c r="AE215">
        <v>12490</v>
      </c>
      <c r="AF215">
        <v>12450</v>
      </c>
      <c r="AG215">
        <v>12394.65</v>
      </c>
      <c r="AH215">
        <v>12300</v>
      </c>
      <c r="AI215">
        <v>12270</v>
      </c>
      <c r="AJ215">
        <v>12180</v>
      </c>
      <c r="AK215">
        <v>12130</v>
      </c>
      <c r="AL215">
        <v>11665</v>
      </c>
      <c r="AM215">
        <v>11525</v>
      </c>
      <c r="AN215">
        <v>11450</v>
      </c>
      <c r="AO215">
        <v>11398</v>
      </c>
      <c r="AP215">
        <v>11395</v>
      </c>
      <c r="AQ215">
        <v>11382</v>
      </c>
      <c r="AR215">
        <v>11350</v>
      </c>
      <c r="AS215">
        <v>11290</v>
      </c>
      <c r="AT215">
        <v>11245</v>
      </c>
      <c r="AU215">
        <v>11145</v>
      </c>
      <c r="AV215">
        <v>11040</v>
      </c>
      <c r="AW215">
        <v>10980</v>
      </c>
      <c r="AX215">
        <v>10865</v>
      </c>
      <c r="AY215">
        <v>10894.88</v>
      </c>
      <c r="AZ215">
        <v>11010</v>
      </c>
      <c r="BA215">
        <v>11130</v>
      </c>
      <c r="BB215">
        <v>11290</v>
      </c>
      <c r="BC215">
        <v>10887</v>
      </c>
      <c r="BD215">
        <v>10780</v>
      </c>
      <c r="BE215">
        <v>10785</v>
      </c>
      <c r="BF215">
        <v>10725</v>
      </c>
      <c r="BG215">
        <v>10673</v>
      </c>
      <c r="BH215">
        <v>10650</v>
      </c>
      <c r="BI215">
        <v>10620</v>
      </c>
      <c r="BJ215">
        <v>10570</v>
      </c>
      <c r="BK215">
        <v>10551</v>
      </c>
      <c r="BL215">
        <v>10558</v>
      </c>
      <c r="BM215">
        <v>10520</v>
      </c>
      <c r="BN215">
        <v>10495</v>
      </c>
      <c r="BO215">
        <v>10549</v>
      </c>
      <c r="BP215">
        <v>10519</v>
      </c>
      <c r="BQ215">
        <v>10483</v>
      </c>
    </row>
    <row r="216" spans="1:69" x14ac:dyDescent="0.25">
      <c r="A216" t="s">
        <v>301</v>
      </c>
      <c r="B216">
        <v>115.38</v>
      </c>
      <c r="C216">
        <v>116.29</v>
      </c>
      <c r="D216">
        <v>115.7</v>
      </c>
      <c r="E216">
        <v>113.96</v>
      </c>
      <c r="F216">
        <v>115.44</v>
      </c>
      <c r="G216">
        <v>115.58</v>
      </c>
      <c r="H216">
        <v>115.65</v>
      </c>
      <c r="I216">
        <v>117.91</v>
      </c>
      <c r="J216">
        <v>118.02</v>
      </c>
      <c r="K216">
        <v>118.16</v>
      </c>
      <c r="L216">
        <v>117.25</v>
      </c>
      <c r="M216">
        <v>114.8</v>
      </c>
      <c r="N216">
        <v>115.44</v>
      </c>
      <c r="O216">
        <v>115.19</v>
      </c>
      <c r="P216">
        <v>115.73</v>
      </c>
      <c r="Q216">
        <v>116.6</v>
      </c>
      <c r="R216">
        <v>121.72</v>
      </c>
      <c r="S216">
        <v>118.51</v>
      </c>
      <c r="T216">
        <v>119.54</v>
      </c>
      <c r="U216">
        <v>120.76</v>
      </c>
      <c r="V216">
        <v>117.99</v>
      </c>
      <c r="W216">
        <v>115.64</v>
      </c>
      <c r="X216">
        <v>114.25</v>
      </c>
      <c r="Y216">
        <v>114.37</v>
      </c>
      <c r="Z216">
        <v>116.9</v>
      </c>
      <c r="AA216">
        <v>114.89</v>
      </c>
      <c r="AB216">
        <v>116.25</v>
      </c>
      <c r="AC216">
        <v>116.38</v>
      </c>
      <c r="AD216">
        <v>116.3</v>
      </c>
      <c r="AE216">
        <v>115.52</v>
      </c>
      <c r="AF216">
        <v>116.95</v>
      </c>
      <c r="AG216">
        <v>114.64</v>
      </c>
      <c r="AH216">
        <v>115.88</v>
      </c>
      <c r="AI216">
        <v>117.37</v>
      </c>
      <c r="AJ216">
        <v>118.57</v>
      </c>
      <c r="AK216">
        <v>118.37</v>
      </c>
      <c r="AL216">
        <v>116.05</v>
      </c>
      <c r="AM216">
        <v>115.39</v>
      </c>
      <c r="AN216">
        <v>115.91</v>
      </c>
      <c r="AO216">
        <v>114.21</v>
      </c>
      <c r="AP216">
        <v>114.48</v>
      </c>
      <c r="AQ216">
        <v>116.38</v>
      </c>
      <c r="AR216">
        <v>113.55</v>
      </c>
      <c r="AS216">
        <v>113.58</v>
      </c>
      <c r="AT216">
        <v>114.83</v>
      </c>
      <c r="AU216">
        <v>118.24</v>
      </c>
      <c r="AV216">
        <v>120.39</v>
      </c>
      <c r="AW216">
        <v>115.68</v>
      </c>
      <c r="AX216">
        <v>114.05</v>
      </c>
      <c r="AY216">
        <v>115.84</v>
      </c>
      <c r="AZ216">
        <v>111.04</v>
      </c>
      <c r="BA216">
        <v>113.17</v>
      </c>
      <c r="BB216">
        <v>107.95</v>
      </c>
      <c r="BC216">
        <v>109.23</v>
      </c>
      <c r="BD216">
        <v>110.37</v>
      </c>
      <c r="BE216">
        <v>109.88</v>
      </c>
      <c r="BF216">
        <v>109.19</v>
      </c>
      <c r="BG216">
        <v>106.8</v>
      </c>
      <c r="BH216">
        <v>108.57</v>
      </c>
      <c r="BI216">
        <v>108.91</v>
      </c>
      <c r="BJ216">
        <v>107.63</v>
      </c>
      <c r="BK216">
        <v>106.42</v>
      </c>
      <c r="BL216">
        <v>104.64</v>
      </c>
      <c r="BM216">
        <v>104.53</v>
      </c>
      <c r="BN216">
        <v>106.28</v>
      </c>
      <c r="BO216">
        <v>103.17</v>
      </c>
      <c r="BP216">
        <v>104.55</v>
      </c>
      <c r="BQ216">
        <v>105.58</v>
      </c>
    </row>
    <row r="217" spans="1:69" x14ac:dyDescent="0.25">
      <c r="A217" t="s">
        <v>297</v>
      </c>
      <c r="B217">
        <v>757.54100000000005</v>
      </c>
      <c r="C217">
        <v>700.22400000000005</v>
      </c>
      <c r="D217">
        <v>567.68299999999999</v>
      </c>
      <c r="E217">
        <v>500.46</v>
      </c>
      <c r="F217">
        <v>475.95800000000003</v>
      </c>
      <c r="G217">
        <v>436.24099999999999</v>
      </c>
      <c r="H217">
        <v>388.73899999999998</v>
      </c>
      <c r="I217">
        <v>330.375</v>
      </c>
      <c r="J217">
        <v>257.928</v>
      </c>
      <c r="K217">
        <v>231.04599999999999</v>
      </c>
      <c r="L217">
        <v>191.36600000000001</v>
      </c>
      <c r="M217">
        <v>154.982</v>
      </c>
      <c r="N217">
        <v>131.124</v>
      </c>
      <c r="O217">
        <v>113.75</v>
      </c>
      <c r="P217">
        <v>99.090999999999994</v>
      </c>
      <c r="Q217">
        <v>92.831000000000003</v>
      </c>
      <c r="R217">
        <v>73.356999999999999</v>
      </c>
      <c r="S217">
        <v>65.266000000000005</v>
      </c>
      <c r="T217">
        <v>60.542000000000002</v>
      </c>
      <c r="U217">
        <v>53.281999999999996</v>
      </c>
      <c r="V217">
        <v>48.326000000000001</v>
      </c>
      <c r="W217">
        <v>44.703000000000003</v>
      </c>
      <c r="X217">
        <v>37.039000000000001</v>
      </c>
      <c r="Y217">
        <v>36.683999999999997</v>
      </c>
      <c r="Z217">
        <v>36.68</v>
      </c>
      <c r="AA217">
        <v>36.512</v>
      </c>
      <c r="AB217">
        <v>36.511000000000003</v>
      </c>
      <c r="AC217">
        <v>36.582000000000001</v>
      </c>
      <c r="AD217">
        <v>36.229999999999997</v>
      </c>
      <c r="AE217">
        <v>36.200000000000003</v>
      </c>
      <c r="AF217">
        <v>36.317999999999998</v>
      </c>
      <c r="AG217">
        <v>35.917000000000002</v>
      </c>
      <c r="AH217">
        <v>35.624000000000002</v>
      </c>
      <c r="AI217">
        <v>35.334000000000003</v>
      </c>
      <c r="AJ217">
        <v>34.819000000000003</v>
      </c>
      <c r="AK217">
        <v>33.340000000000003</v>
      </c>
      <c r="AL217">
        <v>31.24</v>
      </c>
      <c r="AM217">
        <v>28.303999999999998</v>
      </c>
      <c r="AN217">
        <v>26.856999999999999</v>
      </c>
      <c r="AO217">
        <v>25.039000000000001</v>
      </c>
      <c r="AP217">
        <v>24.486999999999998</v>
      </c>
      <c r="AQ217">
        <v>24.135000000000002</v>
      </c>
      <c r="AR217">
        <v>23.809000000000001</v>
      </c>
      <c r="AS217">
        <v>18.61</v>
      </c>
      <c r="AT217">
        <v>13.596</v>
      </c>
      <c r="AU217">
        <v>8.8290000000000006</v>
      </c>
      <c r="AV217">
        <v>8.23</v>
      </c>
      <c r="AW217">
        <v>8</v>
      </c>
      <c r="AX217">
        <v>5.851</v>
      </c>
      <c r="AY217">
        <v>5.6120000000000001</v>
      </c>
      <c r="AZ217">
        <v>5.2530000000000001</v>
      </c>
      <c r="BA217">
        <v>4.5839999999999996</v>
      </c>
      <c r="BB217">
        <v>4.4219999999999997</v>
      </c>
      <c r="BC217">
        <v>4.327</v>
      </c>
      <c r="BD217">
        <v>4.49</v>
      </c>
      <c r="BE217">
        <v>4.6369999999999996</v>
      </c>
      <c r="BF217">
        <v>4.54</v>
      </c>
      <c r="BG217">
        <v>4.29</v>
      </c>
      <c r="BH217">
        <v>4.1040000000000001</v>
      </c>
      <c r="BI217">
        <v>4147300.52</v>
      </c>
      <c r="BJ217">
        <v>3885813.04</v>
      </c>
      <c r="BK217">
        <v>3183413.51</v>
      </c>
      <c r="BL217">
        <v>3055550</v>
      </c>
      <c r="BM217">
        <v>2721326.12</v>
      </c>
      <c r="BN217">
        <v>2235823.81</v>
      </c>
      <c r="BO217">
        <v>1829671.79</v>
      </c>
      <c r="BP217">
        <v>1732056.01</v>
      </c>
      <c r="BQ217">
        <v>1468241.15</v>
      </c>
    </row>
    <row r="218" spans="1:69" x14ac:dyDescent="0.25">
      <c r="A218" t="s">
        <v>299</v>
      </c>
      <c r="B218">
        <v>26051</v>
      </c>
      <c r="C218">
        <v>26254</v>
      </c>
      <c r="D218">
        <v>26321</v>
      </c>
      <c r="E218">
        <v>26347</v>
      </c>
      <c r="F218">
        <v>26338</v>
      </c>
      <c r="G218">
        <v>26269</v>
      </c>
      <c r="H218">
        <v>25959</v>
      </c>
      <c r="I218">
        <v>26275</v>
      </c>
      <c r="J218">
        <v>26325</v>
      </c>
      <c r="K218">
        <v>26340</v>
      </c>
      <c r="L218">
        <v>26335</v>
      </c>
      <c r="M218">
        <v>26388</v>
      </c>
      <c r="N218">
        <v>26272</v>
      </c>
      <c r="O218">
        <v>26097</v>
      </c>
      <c r="P218">
        <v>26010</v>
      </c>
      <c r="Q218">
        <v>25949</v>
      </c>
      <c r="R218">
        <v>25707</v>
      </c>
      <c r="S218">
        <v>25452</v>
      </c>
      <c r="T218">
        <v>25560</v>
      </c>
      <c r="U218">
        <v>25393</v>
      </c>
      <c r="V218">
        <v>25359</v>
      </c>
      <c r="W218">
        <v>25340</v>
      </c>
      <c r="X218">
        <v>24808</v>
      </c>
      <c r="Y218">
        <v>24589</v>
      </c>
      <c r="Z218">
        <v>25124</v>
      </c>
      <c r="AA218">
        <v>25427</v>
      </c>
      <c r="AB218">
        <v>25441</v>
      </c>
      <c r="AC218">
        <v>25451</v>
      </c>
      <c r="AD218">
        <v>24987</v>
      </c>
      <c r="AE218">
        <v>24667</v>
      </c>
      <c r="AF218">
        <v>24423</v>
      </c>
      <c r="AG218">
        <v>24438</v>
      </c>
      <c r="AH218">
        <v>24280</v>
      </c>
      <c r="AI218">
        <v>24384</v>
      </c>
      <c r="AJ218">
        <v>24417</v>
      </c>
      <c r="AK218">
        <v>24146</v>
      </c>
      <c r="AL218">
        <v>23749</v>
      </c>
      <c r="AM218">
        <v>23671</v>
      </c>
      <c r="AN218">
        <v>23490</v>
      </c>
      <c r="AO218">
        <v>23467</v>
      </c>
      <c r="AP218">
        <v>23447</v>
      </c>
      <c r="AQ218">
        <v>23586</v>
      </c>
      <c r="AR218">
        <v>23571</v>
      </c>
      <c r="AS218">
        <v>23442</v>
      </c>
      <c r="AT218">
        <v>23624</v>
      </c>
      <c r="AU218">
        <v>24815</v>
      </c>
      <c r="AV218">
        <v>23932</v>
      </c>
      <c r="AW218">
        <v>23551</v>
      </c>
      <c r="AX218">
        <v>23376</v>
      </c>
      <c r="AY218">
        <v>23345</v>
      </c>
      <c r="AZ218">
        <v>23195</v>
      </c>
      <c r="BA218">
        <v>22950</v>
      </c>
      <c r="BB218">
        <v>22875</v>
      </c>
      <c r="BC218">
        <v>22850</v>
      </c>
      <c r="BD218">
        <v>22665</v>
      </c>
      <c r="BE218">
        <v>22686</v>
      </c>
      <c r="BF218">
        <v>22674</v>
      </c>
      <c r="BG218">
        <v>22753</v>
      </c>
      <c r="BH218">
        <v>22735</v>
      </c>
      <c r="BI218">
        <v>22755</v>
      </c>
      <c r="BJ218">
        <v>22944</v>
      </c>
      <c r="BK218">
        <v>22996</v>
      </c>
      <c r="BL218">
        <v>23048</v>
      </c>
      <c r="BM218">
        <v>23045</v>
      </c>
      <c r="BN218">
        <v>23069</v>
      </c>
      <c r="BO218">
        <v>23019</v>
      </c>
      <c r="BP218">
        <v>23036</v>
      </c>
      <c r="BQ218">
        <v>23100</v>
      </c>
    </row>
    <row r="219" spans="1:69" x14ac:dyDescent="0.25">
      <c r="A219" t="s">
        <v>124</v>
      </c>
      <c r="B219">
        <v>1</v>
      </c>
      <c r="C219">
        <v>1</v>
      </c>
      <c r="D219">
        <v>1</v>
      </c>
      <c r="E219">
        <v>1</v>
      </c>
      <c r="F219">
        <v>1</v>
      </c>
      <c r="G219">
        <v>1</v>
      </c>
      <c r="H219">
        <v>1</v>
      </c>
      <c r="I219">
        <v>1</v>
      </c>
      <c r="J219">
        <v>1</v>
      </c>
      <c r="K219">
        <v>1</v>
      </c>
      <c r="L219">
        <v>1</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row>
    <row r="220" spans="1:69" x14ac:dyDescent="0.25">
      <c r="A220" t="s">
        <v>124</v>
      </c>
      <c r="B220">
        <v>1</v>
      </c>
      <c r="C220">
        <v>1</v>
      </c>
      <c r="D220">
        <v>1</v>
      </c>
      <c r="E220">
        <v>1</v>
      </c>
      <c r="F220">
        <v>1</v>
      </c>
      <c r="G220">
        <v>1</v>
      </c>
      <c r="H220">
        <v>1</v>
      </c>
      <c r="I220">
        <v>1</v>
      </c>
      <c r="J220">
        <v>1</v>
      </c>
      <c r="K220">
        <v>1</v>
      </c>
      <c r="L220">
        <v>1</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row>
    <row r="221" spans="1:69" x14ac:dyDescent="0.25">
      <c r="A221" t="s">
        <v>247</v>
      </c>
      <c r="B221">
        <v>103.425</v>
      </c>
      <c r="C221">
        <v>104.43</v>
      </c>
      <c r="D221">
        <v>103.569</v>
      </c>
      <c r="E221">
        <v>101.90600000000001</v>
      </c>
      <c r="F221">
        <v>101.90600000000001</v>
      </c>
      <c r="G221">
        <v>103.479</v>
      </c>
      <c r="H221">
        <v>100.39700000000001</v>
      </c>
      <c r="I221">
        <v>102.431</v>
      </c>
      <c r="J221">
        <v>101.62</v>
      </c>
      <c r="K221">
        <v>103.193</v>
      </c>
      <c r="L221">
        <v>103.193</v>
      </c>
      <c r="M221">
        <v>101.75</v>
      </c>
      <c r="N221">
        <v>101.976</v>
      </c>
      <c r="O221">
        <v>102.089</v>
      </c>
      <c r="P221">
        <v>104.057</v>
      </c>
      <c r="Q221">
        <v>107.053</v>
      </c>
      <c r="R221">
        <v>105.027</v>
      </c>
      <c r="S221">
        <v>109.589</v>
      </c>
      <c r="T221">
        <v>115.352</v>
      </c>
      <c r="U221">
        <v>116.91200000000001</v>
      </c>
      <c r="V221">
        <v>113.67100000000001</v>
      </c>
      <c r="W221">
        <v>112.535</v>
      </c>
      <c r="X221">
        <v>109.089</v>
      </c>
      <c r="Y221">
        <v>108.306</v>
      </c>
      <c r="Z221">
        <v>108.919</v>
      </c>
      <c r="AA221">
        <v>109.6</v>
      </c>
      <c r="AB221">
        <v>110.146</v>
      </c>
      <c r="AC221">
        <v>110.452</v>
      </c>
      <c r="AD221">
        <v>111.182</v>
      </c>
      <c r="AE221">
        <v>109.089</v>
      </c>
      <c r="AF221">
        <v>111.286</v>
      </c>
      <c r="AG221">
        <v>108.949</v>
      </c>
      <c r="AH221">
        <v>110.605</v>
      </c>
      <c r="AI221">
        <v>111.828</v>
      </c>
      <c r="AJ221">
        <v>112.27</v>
      </c>
      <c r="AK221">
        <v>111.089</v>
      </c>
      <c r="AL221">
        <v>108.899</v>
      </c>
      <c r="AM221">
        <v>107.59399999999999</v>
      </c>
      <c r="AN221">
        <v>110.657</v>
      </c>
      <c r="AO221">
        <v>109.379</v>
      </c>
      <c r="AP221">
        <v>108.691</v>
      </c>
      <c r="AQ221">
        <v>111.42100000000001</v>
      </c>
      <c r="AR221">
        <v>111.35899999999999</v>
      </c>
      <c r="AS221">
        <v>110.842</v>
      </c>
      <c r="AT221">
        <v>111.95399999999999</v>
      </c>
      <c r="AU221">
        <v>116.003</v>
      </c>
      <c r="AV221">
        <v>123.11199999999999</v>
      </c>
      <c r="AW221">
        <v>118.93899999999999</v>
      </c>
      <c r="AX221">
        <v>115.196</v>
      </c>
      <c r="AY221">
        <v>118.86799999999999</v>
      </c>
      <c r="AZ221">
        <v>114.27</v>
      </c>
      <c r="BA221">
        <v>113.036</v>
      </c>
      <c r="BB221">
        <v>109.761</v>
      </c>
      <c r="BC221">
        <v>108.899</v>
      </c>
      <c r="BD221">
        <v>104.732</v>
      </c>
      <c r="BE221">
        <v>104.512</v>
      </c>
      <c r="BF221">
        <v>105.913</v>
      </c>
      <c r="BG221">
        <v>104.075</v>
      </c>
      <c r="BH221">
        <v>102.598</v>
      </c>
      <c r="BI221">
        <v>101.129</v>
      </c>
      <c r="BJ221">
        <v>100.372</v>
      </c>
      <c r="BK221">
        <v>100.035</v>
      </c>
      <c r="BL221">
        <v>97.820999999999998</v>
      </c>
      <c r="BM221">
        <v>98.572999999999993</v>
      </c>
      <c r="BN221">
        <v>101.819</v>
      </c>
      <c r="BO221">
        <v>99.918000000000006</v>
      </c>
      <c r="BP221">
        <v>98.320999999999998</v>
      </c>
      <c r="BQ221">
        <v>98.102999999999994</v>
      </c>
    </row>
    <row r="222" spans="1:69" x14ac:dyDescent="0.25">
      <c r="A222" t="s">
        <v>309</v>
      </c>
      <c r="B222">
        <v>526.26</v>
      </c>
      <c r="C222">
        <v>526.26</v>
      </c>
      <c r="D222">
        <v>526.26</v>
      </c>
      <c r="E222">
        <v>526.26</v>
      </c>
      <c r="F222">
        <v>526.26</v>
      </c>
      <c r="G222">
        <v>526.26</v>
      </c>
      <c r="H222">
        <v>529.00300000000004</v>
      </c>
      <c r="I222">
        <v>529.73</v>
      </c>
      <c r="J222">
        <v>529.73</v>
      </c>
      <c r="K222">
        <v>529.73</v>
      </c>
      <c r="L222">
        <v>529.73</v>
      </c>
      <c r="M222">
        <v>529.73</v>
      </c>
      <c r="N222">
        <v>529.73</v>
      </c>
      <c r="O222">
        <v>529.73</v>
      </c>
      <c r="P222">
        <v>529.73</v>
      </c>
      <c r="Q222">
        <v>529.72799999999995</v>
      </c>
      <c r="R222">
        <v>529.73</v>
      </c>
      <c r="S222">
        <v>529.73</v>
      </c>
      <c r="T222">
        <v>529.73</v>
      </c>
      <c r="U222">
        <v>529.73</v>
      </c>
      <c r="V222">
        <v>528.74</v>
      </c>
      <c r="W222">
        <v>521.27</v>
      </c>
      <c r="X222">
        <v>522.34</v>
      </c>
      <c r="Y222">
        <v>523.23</v>
      </c>
      <c r="Z222">
        <v>523.72</v>
      </c>
      <c r="AA222">
        <v>524.29999999999995</v>
      </c>
      <c r="AB222">
        <v>520.38</v>
      </c>
      <c r="AC222">
        <v>520.38</v>
      </c>
      <c r="AD222">
        <v>519.4</v>
      </c>
      <c r="AE222">
        <v>513.52</v>
      </c>
      <c r="AF222">
        <v>514.99</v>
      </c>
      <c r="AG222">
        <v>514.5</v>
      </c>
      <c r="AH222">
        <v>516.95000000000005</v>
      </c>
      <c r="AI222">
        <v>516.95000000000005</v>
      </c>
      <c r="AJ222">
        <v>508.62</v>
      </c>
      <c r="AK222">
        <v>517.44000000000005</v>
      </c>
      <c r="AL222">
        <v>512.16</v>
      </c>
      <c r="AM222">
        <v>511.68</v>
      </c>
      <c r="AN222">
        <v>511.19</v>
      </c>
      <c r="AO222">
        <v>528.16999999999996</v>
      </c>
      <c r="AP222">
        <v>528.16999999999996</v>
      </c>
      <c r="AQ222">
        <v>528.16999999999996</v>
      </c>
      <c r="AR222">
        <v>530.59</v>
      </c>
      <c r="AS222">
        <v>542.23</v>
      </c>
      <c r="AT222">
        <v>541.75</v>
      </c>
      <c r="AU222">
        <v>542.23</v>
      </c>
      <c r="AV222">
        <v>542.23</v>
      </c>
      <c r="AW222">
        <v>541.75</v>
      </c>
      <c r="AX222">
        <v>541.75</v>
      </c>
      <c r="AY222">
        <v>541.26</v>
      </c>
      <c r="AZ222">
        <v>540.78</v>
      </c>
      <c r="BA222">
        <v>541.26</v>
      </c>
      <c r="BB222">
        <v>568.48</v>
      </c>
      <c r="BC222">
        <v>583.94000000000005</v>
      </c>
      <c r="BD222">
        <v>582.97</v>
      </c>
      <c r="BE222">
        <v>583.46</v>
      </c>
      <c r="BF222">
        <v>582.97</v>
      </c>
      <c r="BG222">
        <v>582</v>
      </c>
      <c r="BH222">
        <v>582</v>
      </c>
      <c r="BI222">
        <v>581.03</v>
      </c>
      <c r="BJ222">
        <v>579.09</v>
      </c>
      <c r="BK222">
        <v>579.09</v>
      </c>
      <c r="BL222">
        <v>578.12</v>
      </c>
      <c r="BM222">
        <v>579.09</v>
      </c>
      <c r="BN222">
        <v>581.03</v>
      </c>
      <c r="BO222">
        <v>580.05999999999995</v>
      </c>
      <c r="BP222">
        <v>575.21</v>
      </c>
      <c r="BQ222">
        <v>582.49</v>
      </c>
    </row>
    <row r="223" spans="1:69" x14ac:dyDescent="0.25">
      <c r="A223" t="s">
        <v>312</v>
      </c>
      <c r="B223">
        <v>18.701000000000001</v>
      </c>
      <c r="C223">
        <v>17.925000000000001</v>
      </c>
      <c r="D223">
        <v>17.260000000000002</v>
      </c>
      <c r="E223">
        <v>18.8</v>
      </c>
      <c r="F223">
        <v>19.079999999999998</v>
      </c>
      <c r="G223">
        <v>19.798999999999999</v>
      </c>
      <c r="H223">
        <v>18.5</v>
      </c>
      <c r="I223">
        <v>19.460999999999999</v>
      </c>
      <c r="J223">
        <v>22.95</v>
      </c>
      <c r="K223">
        <v>22.417999999999999</v>
      </c>
      <c r="L223">
        <v>22.600999999999999</v>
      </c>
      <c r="M223">
        <v>23.850999999999999</v>
      </c>
      <c r="N223">
        <v>23.05</v>
      </c>
      <c r="O223">
        <v>23.225000000000001</v>
      </c>
      <c r="P223">
        <v>24.9</v>
      </c>
      <c r="Q223">
        <v>26.506</v>
      </c>
      <c r="R223">
        <v>28.2</v>
      </c>
      <c r="S223">
        <v>28.547999999999998</v>
      </c>
      <c r="T223">
        <v>28.074999999999999</v>
      </c>
      <c r="U223">
        <v>27.65</v>
      </c>
      <c r="V223">
        <v>27.6</v>
      </c>
      <c r="W223">
        <v>27.288</v>
      </c>
      <c r="X223">
        <v>26.4</v>
      </c>
      <c r="Y223">
        <v>26.45</v>
      </c>
      <c r="Z223">
        <v>26.15</v>
      </c>
      <c r="AA223">
        <v>25.465</v>
      </c>
      <c r="AB223">
        <v>26.414999999999999</v>
      </c>
      <c r="AC223">
        <v>26</v>
      </c>
      <c r="AD223">
        <v>24.925000000000001</v>
      </c>
      <c r="AE223">
        <v>24.687999999999999</v>
      </c>
      <c r="AF223">
        <v>26.841000000000001</v>
      </c>
      <c r="AG223">
        <v>26.1</v>
      </c>
      <c r="AH223">
        <v>24.45</v>
      </c>
      <c r="AI223">
        <v>22.86</v>
      </c>
      <c r="AJ223">
        <v>21.452999999999999</v>
      </c>
      <c r="AK223">
        <v>21.1</v>
      </c>
      <c r="AL223">
        <v>19.05</v>
      </c>
      <c r="AM223">
        <v>18.399999999999999</v>
      </c>
      <c r="AN223">
        <v>18.899999999999999</v>
      </c>
      <c r="AO223">
        <v>18.260000000000002</v>
      </c>
      <c r="AP223">
        <v>18.850000000000001</v>
      </c>
      <c r="AQ223">
        <v>20.221</v>
      </c>
      <c r="AR223">
        <v>19.29</v>
      </c>
      <c r="AS223">
        <v>18.32</v>
      </c>
      <c r="AT223">
        <v>17.440000000000001</v>
      </c>
      <c r="AU223">
        <v>16.38</v>
      </c>
      <c r="AV223">
        <v>15.835000000000001</v>
      </c>
      <c r="AW223">
        <v>15.535</v>
      </c>
      <c r="AX223">
        <v>16.055</v>
      </c>
      <c r="AY223">
        <v>16.399999999999999</v>
      </c>
      <c r="AZ223">
        <v>16.89</v>
      </c>
      <c r="BA223">
        <v>17.05</v>
      </c>
      <c r="BB223">
        <v>17.41</v>
      </c>
      <c r="BC223">
        <v>18.222999999999999</v>
      </c>
      <c r="BD223">
        <v>18.707999999999998</v>
      </c>
      <c r="BE223">
        <v>16.95</v>
      </c>
      <c r="BF223">
        <v>17.757999999999999</v>
      </c>
      <c r="BG223">
        <v>17.222999999999999</v>
      </c>
      <c r="BH223">
        <v>16.73</v>
      </c>
      <c r="BI223">
        <v>15.87</v>
      </c>
      <c r="BJ223">
        <v>19.2</v>
      </c>
      <c r="BK223">
        <v>22.603000000000002</v>
      </c>
      <c r="BL223">
        <v>22.49</v>
      </c>
      <c r="BM223">
        <v>22.274999999999999</v>
      </c>
      <c r="BN223">
        <v>22.06</v>
      </c>
      <c r="BO223">
        <v>21.75</v>
      </c>
      <c r="BP223">
        <v>21.331</v>
      </c>
      <c r="BQ223">
        <v>21.128</v>
      </c>
    </row>
    <row r="224" spans="1:69" x14ac:dyDescent="0.25">
      <c r="A224" t="s">
        <v>340</v>
      </c>
      <c r="B224">
        <v>25.701000000000001</v>
      </c>
      <c r="C224">
        <v>25.933</v>
      </c>
      <c r="D224">
        <v>25.765000000000001</v>
      </c>
      <c r="E224">
        <v>24.646000000000001</v>
      </c>
      <c r="F224">
        <v>24.6</v>
      </c>
      <c r="G224">
        <v>24.852</v>
      </c>
      <c r="H224">
        <v>25.001000000000001</v>
      </c>
      <c r="I224">
        <v>25.218</v>
      </c>
      <c r="J224">
        <v>25.46</v>
      </c>
      <c r="K224">
        <v>26.391999999999999</v>
      </c>
      <c r="L224">
        <v>26.648</v>
      </c>
      <c r="M224">
        <v>26.728999999999999</v>
      </c>
      <c r="N224">
        <v>26.76</v>
      </c>
      <c r="O224">
        <v>26.890999999999998</v>
      </c>
      <c r="P224">
        <v>26.952999999999999</v>
      </c>
      <c r="Q224">
        <v>26.834</v>
      </c>
      <c r="R224">
        <v>26.79</v>
      </c>
      <c r="S224">
        <v>26.640999999999998</v>
      </c>
      <c r="T224">
        <v>26.407</v>
      </c>
      <c r="U224">
        <v>25.882999999999999</v>
      </c>
      <c r="V224">
        <v>25.646999999999998</v>
      </c>
      <c r="W224">
        <v>25.588999999999999</v>
      </c>
      <c r="X224">
        <v>26.068999999999999</v>
      </c>
      <c r="Y224">
        <v>13.891</v>
      </c>
      <c r="Z224">
        <v>13.782</v>
      </c>
      <c r="AA224">
        <v>13.760999999999999</v>
      </c>
      <c r="AB224">
        <v>13.430999999999999</v>
      </c>
      <c r="AC224">
        <v>13.664999999999999</v>
      </c>
      <c r="AD224" s="3">
        <v>20945.169000000002</v>
      </c>
      <c r="AE224" s="3">
        <v>16878.373</v>
      </c>
      <c r="AF224" s="3">
        <v>11450.664000000001</v>
      </c>
      <c r="AG224" s="3">
        <v>6908.9859999999999</v>
      </c>
      <c r="AH224">
        <v>5839.2430000000004</v>
      </c>
      <c r="AI224">
        <v>5739.5219999999999</v>
      </c>
      <c r="AJ224">
        <v>5592.9620000000004</v>
      </c>
      <c r="AK224">
        <v>4648.3860000000004</v>
      </c>
      <c r="AL224">
        <v>4559.741</v>
      </c>
      <c r="AM224">
        <v>5297.5029999999997</v>
      </c>
      <c r="AN224">
        <v>4868.5110000000004</v>
      </c>
      <c r="AO224">
        <v>1125.6669999999999</v>
      </c>
      <c r="AP224">
        <v>944.71299999999997</v>
      </c>
      <c r="AQ224">
        <v>907.92399999999998</v>
      </c>
      <c r="AR224">
        <v>796.63</v>
      </c>
      <c r="AS224">
        <v>686.572</v>
      </c>
      <c r="AT224">
        <v>645.41399999999999</v>
      </c>
      <c r="AU224">
        <v>620.46400000000006</v>
      </c>
      <c r="AV224">
        <v>611.75</v>
      </c>
      <c r="AW224">
        <v>567.51099999999997</v>
      </c>
      <c r="AX224">
        <v>459.03699999999998</v>
      </c>
      <c r="AY224">
        <v>375.52199999999999</v>
      </c>
      <c r="AZ224">
        <v>317.19799999999998</v>
      </c>
      <c r="BA224">
        <v>270.101</v>
      </c>
      <c r="BB224">
        <v>142.22499999999999</v>
      </c>
      <c r="BC224">
        <v>126.90300000000001</v>
      </c>
      <c r="BD224">
        <v>115.9</v>
      </c>
      <c r="BE224">
        <v>105.949</v>
      </c>
      <c r="BF224">
        <v>103.054</v>
      </c>
      <c r="BG224">
        <v>90.8</v>
      </c>
      <c r="BH224">
        <v>84.5</v>
      </c>
      <c r="BI224">
        <v>83.8</v>
      </c>
      <c r="BJ224">
        <v>83.7</v>
      </c>
      <c r="BK224">
        <v>83.24</v>
      </c>
      <c r="BL224">
        <v>82.7</v>
      </c>
      <c r="BM224">
        <v>82.5</v>
      </c>
      <c r="BN224">
        <v>82.2</v>
      </c>
      <c r="BO224">
        <v>81.900000000000006</v>
      </c>
      <c r="BP224">
        <v>80.05</v>
      </c>
      <c r="BQ224">
        <v>79.739999999999995</v>
      </c>
    </row>
  </sheetData>
  <sheetProtection algorithmName="SHA-512" hashValue="mblzaGBynGRmTJ2C2tV9xAhYnHKvGvA7XDR1tOSZqdYMaQiNp0OqnhxNFnjwYSHpIUd/lOWg7EsFE0lw+p2AqA==" saltValue="MY4FoWUMCq2PXHxepXOkiQ=="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1D1E-EA35-4329-842A-3ECD988404DF}">
  <sheetPr codeName="Sheet8"/>
  <dimension ref="A1:AB206"/>
  <sheetViews>
    <sheetView workbookViewId="0">
      <selection activeCell="I23" sqref="I23"/>
    </sheetView>
  </sheetViews>
  <sheetFormatPr defaultRowHeight="15" x14ac:dyDescent="0.25"/>
  <cols>
    <col min="3" max="3" width="35.7109375" bestFit="1" customWidth="1"/>
    <col min="5" max="5" width="17.28515625" bestFit="1" customWidth="1"/>
    <col min="7" max="7" width="48.7109375" bestFit="1" customWidth="1"/>
    <col min="8" max="22" width="15.7109375" customWidth="1"/>
    <col min="23" max="23" width="4.7109375" style="154" customWidth="1"/>
    <col min="24" max="24" width="4.7109375" style="155" customWidth="1"/>
    <col min="25" max="26" width="15.7109375" customWidth="1"/>
    <col min="27" max="27" width="36.140625" bestFit="1" customWidth="1"/>
  </cols>
  <sheetData>
    <row r="1" spans="1:28" x14ac:dyDescent="0.25">
      <c r="A1" s="2" t="s">
        <v>584</v>
      </c>
      <c r="B1" s="2" t="s">
        <v>585</v>
      </c>
      <c r="C1" s="2" t="s">
        <v>537</v>
      </c>
      <c r="D1" s="2" t="s">
        <v>538</v>
      </c>
      <c r="E1" s="2" t="s">
        <v>506</v>
      </c>
      <c r="G1" s="2" t="s">
        <v>507</v>
      </c>
      <c r="H1" s="2" t="s">
        <v>458</v>
      </c>
      <c r="I1" s="2" t="s">
        <v>459</v>
      </c>
      <c r="J1" s="2" t="s">
        <v>5</v>
      </c>
      <c r="K1" s="2" t="s">
        <v>476</v>
      </c>
      <c r="L1" s="2" t="s">
        <v>484</v>
      </c>
      <c r="M1" s="2" t="s">
        <v>485</v>
      </c>
      <c r="N1" s="2" t="s">
        <v>597</v>
      </c>
      <c r="O1" s="2" t="s">
        <v>486</v>
      </c>
      <c r="P1" s="2" t="s">
        <v>487</v>
      </c>
      <c r="Q1" s="2" t="s">
        <v>8</v>
      </c>
      <c r="R1" s="2" t="s">
        <v>488</v>
      </c>
      <c r="S1" s="2" t="s">
        <v>489</v>
      </c>
      <c r="T1" s="2" t="s">
        <v>490</v>
      </c>
      <c r="U1" s="2" t="s">
        <v>447</v>
      </c>
      <c r="V1" s="2"/>
      <c r="W1" s="152" t="s">
        <v>510</v>
      </c>
      <c r="X1" s="153" t="s">
        <v>509</v>
      </c>
      <c r="Y1" s="2" t="s">
        <v>508</v>
      </c>
      <c r="Z1" s="2"/>
      <c r="AA1" s="2" t="s">
        <v>600</v>
      </c>
      <c r="AB1" s="2" t="s">
        <v>602</v>
      </c>
    </row>
    <row r="2" spans="1:28" x14ac:dyDescent="0.25">
      <c r="A2">
        <v>1</v>
      </c>
      <c r="B2" t="s">
        <v>586</v>
      </c>
      <c r="C2" t="s">
        <v>0</v>
      </c>
      <c r="D2" t="s">
        <v>1</v>
      </c>
      <c r="E2" t="s">
        <v>2</v>
      </c>
      <c r="G2" t="s">
        <v>3</v>
      </c>
      <c r="H2" t="s">
        <v>449</v>
      </c>
      <c r="I2" t="s">
        <v>451</v>
      </c>
      <c r="J2" t="s">
        <v>467</v>
      </c>
      <c r="K2" t="s">
        <v>475</v>
      </c>
      <c r="L2" t="s">
        <v>609</v>
      </c>
      <c r="M2" t="s">
        <v>493</v>
      </c>
      <c r="N2" t="s">
        <v>610</v>
      </c>
      <c r="O2" t="s">
        <v>505</v>
      </c>
      <c r="P2" t="s">
        <v>511</v>
      </c>
      <c r="Q2" t="s">
        <v>624</v>
      </c>
      <c r="R2" t="s">
        <v>516</v>
      </c>
      <c r="S2" t="s">
        <v>522</v>
      </c>
      <c r="T2" t="s">
        <v>534</v>
      </c>
      <c r="U2" t="s">
        <v>503</v>
      </c>
      <c r="W2" s="154">
        <v>3</v>
      </c>
      <c r="X2" s="155" t="s">
        <v>24</v>
      </c>
      <c r="Y2" t="s">
        <v>449</v>
      </c>
      <c r="AA2" s="151" t="s">
        <v>606</v>
      </c>
      <c r="AB2" t="s">
        <v>607</v>
      </c>
    </row>
    <row r="3" spans="1:28" x14ac:dyDescent="0.25">
      <c r="A3">
        <v>2</v>
      </c>
      <c r="B3" t="s">
        <v>587</v>
      </c>
      <c r="C3" t="s">
        <v>18</v>
      </c>
      <c r="D3" t="s">
        <v>19</v>
      </c>
      <c r="E3" t="s">
        <v>20</v>
      </c>
      <c r="G3" t="s">
        <v>4</v>
      </c>
      <c r="H3" t="s">
        <v>608</v>
      </c>
      <c r="I3" t="s">
        <v>452</v>
      </c>
      <c r="J3" t="s">
        <v>468</v>
      </c>
      <c r="K3" t="s">
        <v>477</v>
      </c>
      <c r="L3" t="s">
        <v>450</v>
      </c>
      <c r="M3" t="s">
        <v>495</v>
      </c>
      <c r="N3" t="s">
        <v>611</v>
      </c>
      <c r="O3" t="s">
        <v>504</v>
      </c>
      <c r="P3" t="s">
        <v>512</v>
      </c>
      <c r="Q3" t="s">
        <v>625</v>
      </c>
      <c r="R3" t="s">
        <v>517</v>
      </c>
      <c r="S3" t="s">
        <v>523</v>
      </c>
      <c r="T3" t="s">
        <v>533</v>
      </c>
      <c r="U3" t="s">
        <v>440</v>
      </c>
      <c r="W3" s="154">
        <v>4</v>
      </c>
      <c r="X3" s="155" t="s">
        <v>24</v>
      </c>
      <c r="Y3" t="s">
        <v>608</v>
      </c>
      <c r="AA3" s="151" t="s">
        <v>632</v>
      </c>
      <c r="AB3" t="s">
        <v>607</v>
      </c>
    </row>
    <row r="4" spans="1:28" x14ac:dyDescent="0.25">
      <c r="A4">
        <v>3</v>
      </c>
      <c r="B4" t="s">
        <v>588</v>
      </c>
      <c r="C4" t="s">
        <v>25</v>
      </c>
      <c r="D4" t="s">
        <v>26</v>
      </c>
      <c r="G4" t="s">
        <v>5</v>
      </c>
      <c r="I4" t="s">
        <v>453</v>
      </c>
      <c r="J4" t="s">
        <v>469</v>
      </c>
      <c r="L4" t="s">
        <v>481</v>
      </c>
      <c r="M4" t="s">
        <v>492</v>
      </c>
      <c r="P4" t="s">
        <v>513</v>
      </c>
      <c r="Q4" t="s">
        <v>515</v>
      </c>
      <c r="R4" t="s">
        <v>518</v>
      </c>
      <c r="S4" t="s">
        <v>524</v>
      </c>
      <c r="T4" t="s">
        <v>532</v>
      </c>
      <c r="U4" t="s">
        <v>441</v>
      </c>
      <c r="W4" s="154">
        <v>5</v>
      </c>
      <c r="X4" s="155" t="s">
        <v>24</v>
      </c>
      <c r="Y4" t="s">
        <v>451</v>
      </c>
      <c r="AA4" s="156" t="s">
        <v>599</v>
      </c>
      <c r="AB4" t="s">
        <v>601</v>
      </c>
    </row>
    <row r="5" spans="1:28" x14ac:dyDescent="0.25">
      <c r="A5">
        <v>4</v>
      </c>
      <c r="B5" t="s">
        <v>589</v>
      </c>
      <c r="C5" t="s">
        <v>29</v>
      </c>
      <c r="D5" t="s">
        <v>30</v>
      </c>
      <c r="G5" t="s">
        <v>455</v>
      </c>
      <c r="I5" t="s">
        <v>454</v>
      </c>
      <c r="J5" t="s">
        <v>470</v>
      </c>
      <c r="L5" t="s">
        <v>479</v>
      </c>
      <c r="M5" t="s">
        <v>491</v>
      </c>
      <c r="P5" t="s">
        <v>514</v>
      </c>
      <c r="R5" t="s">
        <v>519</v>
      </c>
      <c r="S5" t="s">
        <v>525</v>
      </c>
      <c r="U5" t="s">
        <v>496</v>
      </c>
      <c r="W5" s="154">
        <v>26</v>
      </c>
      <c r="X5" s="155" t="s">
        <v>11</v>
      </c>
      <c r="Y5" t="s">
        <v>452</v>
      </c>
      <c r="AA5" s="156" t="s">
        <v>633</v>
      </c>
      <c r="AB5" t="s">
        <v>601</v>
      </c>
    </row>
    <row r="6" spans="1:28" x14ac:dyDescent="0.25">
      <c r="A6">
        <v>5</v>
      </c>
      <c r="B6" t="s">
        <v>35</v>
      </c>
      <c r="C6" t="s">
        <v>539</v>
      </c>
      <c r="D6" t="s">
        <v>286</v>
      </c>
      <c r="G6" t="s">
        <v>457</v>
      </c>
      <c r="J6" t="s">
        <v>471</v>
      </c>
      <c r="L6" t="s">
        <v>483</v>
      </c>
      <c r="M6" t="s">
        <v>494</v>
      </c>
      <c r="R6" t="s">
        <v>436</v>
      </c>
      <c r="S6" t="s">
        <v>526</v>
      </c>
      <c r="U6" t="s">
        <v>501</v>
      </c>
      <c r="W6" s="154">
        <v>27</v>
      </c>
      <c r="X6" s="155" t="s">
        <v>11</v>
      </c>
      <c r="Y6" t="s">
        <v>453</v>
      </c>
      <c r="AA6" s="156" t="s">
        <v>603</v>
      </c>
      <c r="AB6" t="s">
        <v>604</v>
      </c>
    </row>
    <row r="7" spans="1:28" x14ac:dyDescent="0.25">
      <c r="A7">
        <v>6</v>
      </c>
      <c r="B7" t="s">
        <v>590</v>
      </c>
      <c r="C7" t="s">
        <v>540</v>
      </c>
      <c r="D7" t="s">
        <v>286</v>
      </c>
      <c r="G7" t="s">
        <v>456</v>
      </c>
      <c r="J7" t="s">
        <v>472</v>
      </c>
      <c r="L7" t="s">
        <v>478</v>
      </c>
      <c r="R7" t="s">
        <v>520</v>
      </c>
      <c r="S7" t="s">
        <v>527</v>
      </c>
      <c r="U7" t="s">
        <v>502</v>
      </c>
      <c r="W7" s="154">
        <v>28</v>
      </c>
      <c r="X7" s="155" t="s">
        <v>11</v>
      </c>
      <c r="Y7" t="s">
        <v>454</v>
      </c>
      <c r="AA7" s="156" t="s">
        <v>634</v>
      </c>
      <c r="AB7" t="s">
        <v>604</v>
      </c>
    </row>
    <row r="8" spans="1:28" x14ac:dyDescent="0.25">
      <c r="A8">
        <v>7</v>
      </c>
      <c r="B8" t="s">
        <v>591</v>
      </c>
      <c r="C8" t="s">
        <v>36</v>
      </c>
      <c r="D8" t="s">
        <v>37</v>
      </c>
      <c r="G8" t="s">
        <v>597</v>
      </c>
      <c r="J8" t="s">
        <v>473</v>
      </c>
      <c r="L8" t="s">
        <v>480</v>
      </c>
      <c r="R8" t="s">
        <v>521</v>
      </c>
      <c r="S8" t="s">
        <v>528</v>
      </c>
      <c r="U8" t="s">
        <v>499</v>
      </c>
      <c r="W8" s="154" t="s">
        <v>410</v>
      </c>
      <c r="X8" s="155" t="s">
        <v>11</v>
      </c>
      <c r="Y8" t="s">
        <v>467</v>
      </c>
    </row>
    <row r="9" spans="1:28" x14ac:dyDescent="0.25">
      <c r="A9">
        <v>8</v>
      </c>
      <c r="B9" t="s">
        <v>592</v>
      </c>
      <c r="C9" t="s">
        <v>39</v>
      </c>
      <c r="D9" t="s">
        <v>34</v>
      </c>
      <c r="G9" t="s">
        <v>390</v>
      </c>
      <c r="J9" t="s">
        <v>460</v>
      </c>
      <c r="L9" t="s">
        <v>482</v>
      </c>
      <c r="S9" t="s">
        <v>529</v>
      </c>
      <c r="U9" t="s">
        <v>535</v>
      </c>
      <c r="W9" s="154" t="s">
        <v>411</v>
      </c>
      <c r="X9" s="155" t="s">
        <v>11</v>
      </c>
      <c r="Y9" t="s">
        <v>468</v>
      </c>
    </row>
    <row r="10" spans="1:28" x14ac:dyDescent="0.25">
      <c r="A10">
        <v>9</v>
      </c>
      <c r="B10" t="s">
        <v>593</v>
      </c>
      <c r="C10" t="s">
        <v>541</v>
      </c>
      <c r="D10" t="s">
        <v>49</v>
      </c>
      <c r="G10" t="s">
        <v>372</v>
      </c>
      <c r="J10" t="s">
        <v>461</v>
      </c>
      <c r="S10" t="s">
        <v>530</v>
      </c>
      <c r="U10" t="s">
        <v>536</v>
      </c>
      <c r="W10" s="154" t="s">
        <v>412</v>
      </c>
      <c r="X10" s="155" t="s">
        <v>11</v>
      </c>
      <c r="Y10" t="s">
        <v>469</v>
      </c>
    </row>
    <row r="11" spans="1:28" x14ac:dyDescent="0.25">
      <c r="A11">
        <v>10</v>
      </c>
      <c r="B11" t="s">
        <v>594</v>
      </c>
      <c r="C11" t="s">
        <v>41</v>
      </c>
      <c r="D11" t="s">
        <v>42</v>
      </c>
      <c r="G11" t="s">
        <v>8</v>
      </c>
      <c r="J11" t="s">
        <v>462</v>
      </c>
      <c r="S11" t="s">
        <v>531</v>
      </c>
      <c r="U11" t="s">
        <v>500</v>
      </c>
      <c r="W11" s="154" t="s">
        <v>413</v>
      </c>
      <c r="X11" s="155" t="s">
        <v>11</v>
      </c>
      <c r="Y11" t="s">
        <v>470</v>
      </c>
    </row>
    <row r="12" spans="1:28" x14ac:dyDescent="0.25">
      <c r="A12">
        <v>11</v>
      </c>
      <c r="B12" t="s">
        <v>595</v>
      </c>
      <c r="C12" t="s">
        <v>44</v>
      </c>
      <c r="D12" t="s">
        <v>45</v>
      </c>
      <c r="G12" t="s">
        <v>448</v>
      </c>
      <c r="J12" t="s">
        <v>463</v>
      </c>
      <c r="U12" t="s">
        <v>498</v>
      </c>
      <c r="W12" s="154" t="s">
        <v>420</v>
      </c>
      <c r="X12" s="155" t="s">
        <v>11</v>
      </c>
      <c r="Y12" t="s">
        <v>471</v>
      </c>
    </row>
    <row r="13" spans="1:28" x14ac:dyDescent="0.25">
      <c r="A13">
        <v>12</v>
      </c>
      <c r="B13" t="s">
        <v>596</v>
      </c>
      <c r="C13" t="s">
        <v>47</v>
      </c>
      <c r="D13" t="s">
        <v>48</v>
      </c>
      <c r="G13" t="s">
        <v>9</v>
      </c>
      <c r="J13" t="s">
        <v>464</v>
      </c>
      <c r="U13" t="s">
        <v>497</v>
      </c>
      <c r="W13" s="154" t="s">
        <v>421</v>
      </c>
      <c r="X13" s="155" t="s">
        <v>11</v>
      </c>
      <c r="Y13" t="s">
        <v>472</v>
      </c>
    </row>
    <row r="14" spans="1:28" x14ac:dyDescent="0.25">
      <c r="C14" t="s">
        <v>50</v>
      </c>
      <c r="D14" t="s">
        <v>51</v>
      </c>
      <c r="G14" t="s">
        <v>396</v>
      </c>
      <c r="J14" t="s">
        <v>465</v>
      </c>
      <c r="W14" s="154" t="s">
        <v>422</v>
      </c>
      <c r="X14" s="155" t="s">
        <v>11</v>
      </c>
      <c r="Y14" t="s">
        <v>473</v>
      </c>
    </row>
    <row r="15" spans="1:28" x14ac:dyDescent="0.25">
      <c r="C15" t="s">
        <v>52</v>
      </c>
      <c r="D15" t="s">
        <v>53</v>
      </c>
      <c r="G15" t="s">
        <v>447</v>
      </c>
      <c r="J15" t="s">
        <v>466</v>
      </c>
      <c r="W15" s="154" t="s">
        <v>425</v>
      </c>
      <c r="X15" s="155" t="s">
        <v>11</v>
      </c>
      <c r="Y15" t="s">
        <v>460</v>
      </c>
    </row>
    <row r="16" spans="1:28" x14ac:dyDescent="0.25">
      <c r="C16" t="s">
        <v>55</v>
      </c>
      <c r="D16" t="s">
        <v>56</v>
      </c>
      <c r="J16" t="s">
        <v>474</v>
      </c>
      <c r="W16" s="154" t="s">
        <v>426</v>
      </c>
      <c r="X16" s="155" t="s">
        <v>11</v>
      </c>
      <c r="Y16" t="s">
        <v>461</v>
      </c>
    </row>
    <row r="17" spans="3:25" x14ac:dyDescent="0.25">
      <c r="C17" t="s">
        <v>58</v>
      </c>
      <c r="D17" t="s">
        <v>57</v>
      </c>
      <c r="W17" s="154" t="s">
        <v>427</v>
      </c>
      <c r="X17" s="155" t="s">
        <v>11</v>
      </c>
      <c r="Y17" t="s">
        <v>462</v>
      </c>
    </row>
    <row r="18" spans="3:25" x14ac:dyDescent="0.25">
      <c r="C18" t="s">
        <v>59</v>
      </c>
      <c r="D18" t="s">
        <v>60</v>
      </c>
      <c r="W18" s="154" t="s">
        <v>428</v>
      </c>
      <c r="X18" s="155" t="s">
        <v>11</v>
      </c>
      <c r="Y18" t="s">
        <v>463</v>
      </c>
    </row>
    <row r="19" spans="3:25" x14ac:dyDescent="0.25">
      <c r="C19" t="s">
        <v>61</v>
      </c>
      <c r="D19" t="s">
        <v>45</v>
      </c>
      <c r="W19" s="154" t="s">
        <v>429</v>
      </c>
      <c r="X19" s="155" t="s">
        <v>11</v>
      </c>
      <c r="Y19" t="s">
        <v>464</v>
      </c>
    </row>
    <row r="20" spans="3:25" x14ac:dyDescent="0.25">
      <c r="C20" t="s">
        <v>62</v>
      </c>
      <c r="D20" t="s">
        <v>63</v>
      </c>
      <c r="W20" s="154" t="s">
        <v>430</v>
      </c>
      <c r="X20" s="155" t="s">
        <v>11</v>
      </c>
      <c r="Y20" t="s">
        <v>465</v>
      </c>
    </row>
    <row r="21" spans="3:25" x14ac:dyDescent="0.25">
      <c r="C21" t="s">
        <v>65</v>
      </c>
      <c r="D21" t="s">
        <v>66</v>
      </c>
      <c r="W21" s="154" t="s">
        <v>431</v>
      </c>
      <c r="X21" s="155" t="s">
        <v>11</v>
      </c>
      <c r="Y21" t="s">
        <v>466</v>
      </c>
    </row>
    <row r="22" spans="3:25" x14ac:dyDescent="0.25">
      <c r="C22" t="s">
        <v>542</v>
      </c>
      <c r="D22" t="s">
        <v>67</v>
      </c>
      <c r="W22" s="154" t="s">
        <v>346</v>
      </c>
      <c r="X22" s="155" t="s">
        <v>11</v>
      </c>
      <c r="Y22" t="s">
        <v>474</v>
      </c>
    </row>
    <row r="23" spans="3:25" x14ac:dyDescent="0.25">
      <c r="C23" t="s">
        <v>68</v>
      </c>
      <c r="D23" t="s">
        <v>69</v>
      </c>
      <c r="W23" s="154">
        <v>1</v>
      </c>
      <c r="X23" s="155" t="s">
        <v>24</v>
      </c>
      <c r="Y23" t="s">
        <v>475</v>
      </c>
    </row>
    <row r="24" spans="3:25" x14ac:dyDescent="0.25">
      <c r="C24" t="s">
        <v>71</v>
      </c>
      <c r="D24" t="s">
        <v>72</v>
      </c>
      <c r="W24" s="154">
        <v>2</v>
      </c>
      <c r="X24" s="155" t="s">
        <v>24</v>
      </c>
      <c r="Y24" t="s">
        <v>477</v>
      </c>
    </row>
    <row r="25" spans="3:25" x14ac:dyDescent="0.25">
      <c r="C25" t="s">
        <v>543</v>
      </c>
      <c r="D25" t="s">
        <v>124</v>
      </c>
      <c r="W25" s="154">
        <v>29</v>
      </c>
      <c r="X25" s="155" t="s">
        <v>11</v>
      </c>
      <c r="Y25" t="s">
        <v>450</v>
      </c>
    </row>
    <row r="26" spans="3:25" x14ac:dyDescent="0.25">
      <c r="C26" t="s">
        <v>73</v>
      </c>
      <c r="D26" t="s">
        <v>54</v>
      </c>
      <c r="W26" s="154">
        <v>32</v>
      </c>
      <c r="X26" s="155" t="s">
        <v>11</v>
      </c>
      <c r="Y26" t="s">
        <v>481</v>
      </c>
    </row>
    <row r="27" spans="3:25" x14ac:dyDescent="0.25">
      <c r="C27" t="s">
        <v>75</v>
      </c>
      <c r="D27" t="s">
        <v>76</v>
      </c>
      <c r="W27" s="154">
        <v>30</v>
      </c>
      <c r="X27" s="155" t="s">
        <v>11</v>
      </c>
      <c r="Y27" t="s">
        <v>479</v>
      </c>
    </row>
    <row r="28" spans="3:25" x14ac:dyDescent="0.25">
      <c r="C28" t="s">
        <v>77</v>
      </c>
      <c r="D28" t="s">
        <v>74</v>
      </c>
      <c r="W28" s="154">
        <v>55</v>
      </c>
      <c r="X28" s="155" t="s">
        <v>46</v>
      </c>
      <c r="Y28" t="s">
        <v>483</v>
      </c>
    </row>
    <row r="29" spans="3:25" x14ac:dyDescent="0.25">
      <c r="C29" t="s">
        <v>544</v>
      </c>
      <c r="D29" t="s">
        <v>124</v>
      </c>
      <c r="W29" s="154">
        <v>6</v>
      </c>
      <c r="X29" s="155" t="s">
        <v>24</v>
      </c>
      <c r="Y29" t="s">
        <v>478</v>
      </c>
    </row>
    <row r="30" spans="3:25" x14ac:dyDescent="0.25">
      <c r="C30" t="s">
        <v>78</v>
      </c>
      <c r="D30" t="s">
        <v>45</v>
      </c>
      <c r="W30" s="154">
        <v>31</v>
      </c>
      <c r="X30" s="155" t="s">
        <v>11</v>
      </c>
      <c r="Y30" t="s">
        <v>480</v>
      </c>
    </row>
    <row r="31" spans="3:25" x14ac:dyDescent="0.25">
      <c r="C31" t="s">
        <v>79</v>
      </c>
      <c r="D31" t="s">
        <v>66</v>
      </c>
      <c r="W31" s="154">
        <v>33</v>
      </c>
      <c r="X31" s="155" t="s">
        <v>11</v>
      </c>
      <c r="Y31" t="s">
        <v>482</v>
      </c>
    </row>
    <row r="32" spans="3:25" x14ac:dyDescent="0.25">
      <c r="C32" t="s">
        <v>80</v>
      </c>
      <c r="D32" t="s">
        <v>64</v>
      </c>
      <c r="W32" s="154">
        <v>35</v>
      </c>
      <c r="X32" s="155" t="s">
        <v>11</v>
      </c>
      <c r="Y32" t="s">
        <v>493</v>
      </c>
    </row>
    <row r="33" spans="3:25" x14ac:dyDescent="0.25">
      <c r="C33" t="s">
        <v>545</v>
      </c>
      <c r="D33" t="s">
        <v>89</v>
      </c>
      <c r="W33" s="154">
        <v>37</v>
      </c>
      <c r="X33" s="155" t="s">
        <v>11</v>
      </c>
      <c r="Y33" t="s">
        <v>495</v>
      </c>
    </row>
    <row r="34" spans="3:25" x14ac:dyDescent="0.25">
      <c r="C34" t="s">
        <v>81</v>
      </c>
      <c r="D34" t="s">
        <v>82</v>
      </c>
      <c r="W34" s="154">
        <v>34</v>
      </c>
      <c r="X34" s="155" t="s">
        <v>11</v>
      </c>
      <c r="Y34" t="s">
        <v>492</v>
      </c>
    </row>
    <row r="35" spans="3:25" x14ac:dyDescent="0.25">
      <c r="C35" t="s">
        <v>84</v>
      </c>
      <c r="D35" t="s">
        <v>85</v>
      </c>
      <c r="W35" s="154">
        <v>7</v>
      </c>
      <c r="X35" s="155" t="s">
        <v>24</v>
      </c>
      <c r="Y35" t="s">
        <v>491</v>
      </c>
    </row>
    <row r="36" spans="3:25" x14ac:dyDescent="0.25">
      <c r="C36" t="s">
        <v>87</v>
      </c>
      <c r="D36" t="s">
        <v>83</v>
      </c>
      <c r="W36" s="154">
        <v>36</v>
      </c>
      <c r="X36" s="155" t="s">
        <v>11</v>
      </c>
      <c r="Y36" t="s">
        <v>494</v>
      </c>
    </row>
    <row r="37" spans="3:25" x14ac:dyDescent="0.25">
      <c r="C37" t="s">
        <v>546</v>
      </c>
      <c r="D37" t="s">
        <v>169</v>
      </c>
      <c r="W37" s="154" t="s">
        <v>612</v>
      </c>
      <c r="X37" s="155" t="s">
        <v>24</v>
      </c>
      <c r="Y37" t="s">
        <v>609</v>
      </c>
    </row>
    <row r="38" spans="3:25" x14ac:dyDescent="0.25">
      <c r="C38" t="s">
        <v>91</v>
      </c>
      <c r="D38" t="s">
        <v>85</v>
      </c>
      <c r="W38" s="154" t="s">
        <v>613</v>
      </c>
      <c r="X38" s="155" t="s">
        <v>24</v>
      </c>
      <c r="Y38" t="s">
        <v>610</v>
      </c>
    </row>
    <row r="39" spans="3:25" x14ac:dyDescent="0.25">
      <c r="C39" t="s">
        <v>93</v>
      </c>
      <c r="D39" t="s">
        <v>85</v>
      </c>
      <c r="W39" s="154" t="s">
        <v>614</v>
      </c>
      <c r="X39" s="155" t="s">
        <v>24</v>
      </c>
      <c r="Y39" t="s">
        <v>611</v>
      </c>
    </row>
    <row r="40" spans="3:25" x14ac:dyDescent="0.25">
      <c r="C40" t="s">
        <v>95</v>
      </c>
      <c r="D40" t="s">
        <v>90</v>
      </c>
      <c r="W40" s="154">
        <v>42</v>
      </c>
      <c r="X40" s="155" t="s">
        <v>11</v>
      </c>
      <c r="Y40" t="s">
        <v>505</v>
      </c>
    </row>
    <row r="41" spans="3:25" x14ac:dyDescent="0.25">
      <c r="C41" t="s">
        <v>547</v>
      </c>
      <c r="D41" t="s">
        <v>92</v>
      </c>
      <c r="W41" s="154">
        <v>12</v>
      </c>
      <c r="X41" s="155" t="s">
        <v>24</v>
      </c>
      <c r="Y41" t="s">
        <v>504</v>
      </c>
    </row>
    <row r="42" spans="3:25" x14ac:dyDescent="0.25">
      <c r="C42" t="s">
        <v>548</v>
      </c>
      <c r="D42" t="s">
        <v>98</v>
      </c>
      <c r="W42" s="154">
        <v>48</v>
      </c>
      <c r="X42" s="155" t="s">
        <v>11</v>
      </c>
      <c r="Y42" t="s">
        <v>398</v>
      </c>
    </row>
    <row r="43" spans="3:25" x14ac:dyDescent="0.25">
      <c r="C43" t="s">
        <v>549</v>
      </c>
      <c r="D43" t="s">
        <v>99</v>
      </c>
      <c r="W43" s="154">
        <v>22</v>
      </c>
      <c r="X43" s="155" t="s">
        <v>24</v>
      </c>
      <c r="Y43" t="s">
        <v>375</v>
      </c>
    </row>
    <row r="44" spans="3:25" x14ac:dyDescent="0.25">
      <c r="C44" t="s">
        <v>101</v>
      </c>
      <c r="D44" t="s">
        <v>94</v>
      </c>
      <c r="W44" s="154">
        <v>20</v>
      </c>
      <c r="X44" s="155" t="s">
        <v>24</v>
      </c>
      <c r="Y44" t="s">
        <v>373</v>
      </c>
    </row>
    <row r="45" spans="3:25" x14ac:dyDescent="0.25">
      <c r="C45" t="s">
        <v>103</v>
      </c>
      <c r="D45" t="s">
        <v>104</v>
      </c>
      <c r="W45" s="154">
        <v>21</v>
      </c>
      <c r="X45" s="155" t="s">
        <v>24</v>
      </c>
      <c r="Y45" t="s">
        <v>374</v>
      </c>
    </row>
    <row r="46" spans="3:25" x14ac:dyDescent="0.25">
      <c r="C46" t="s">
        <v>106</v>
      </c>
      <c r="D46" t="s">
        <v>85</v>
      </c>
      <c r="W46" s="154">
        <v>25</v>
      </c>
      <c r="X46" s="155" t="s">
        <v>24</v>
      </c>
      <c r="Y46" t="s">
        <v>624</v>
      </c>
    </row>
    <row r="47" spans="3:25" x14ac:dyDescent="0.25">
      <c r="C47" t="s">
        <v>550</v>
      </c>
      <c r="D47" t="s">
        <v>218</v>
      </c>
      <c r="W47" s="154">
        <v>51</v>
      </c>
      <c r="X47" s="155" t="s">
        <v>11</v>
      </c>
      <c r="Y47" t="s">
        <v>625</v>
      </c>
    </row>
    <row r="48" spans="3:25" x14ac:dyDescent="0.25">
      <c r="C48" t="s">
        <v>108</v>
      </c>
      <c r="D48" t="s">
        <v>96</v>
      </c>
      <c r="W48" s="154">
        <v>24</v>
      </c>
      <c r="X48" s="155" t="s">
        <v>24</v>
      </c>
      <c r="Y48" t="s">
        <v>32</v>
      </c>
    </row>
    <row r="49" spans="3:25" x14ac:dyDescent="0.25">
      <c r="C49" t="s">
        <v>551</v>
      </c>
      <c r="D49" t="s">
        <v>66</v>
      </c>
      <c r="W49" s="154" t="s">
        <v>399</v>
      </c>
      <c r="X49" s="155" t="s">
        <v>11</v>
      </c>
      <c r="Y49" t="s">
        <v>404</v>
      </c>
    </row>
    <row r="50" spans="3:25" x14ac:dyDescent="0.25">
      <c r="C50" t="s">
        <v>111</v>
      </c>
      <c r="D50" t="s">
        <v>45</v>
      </c>
      <c r="W50" s="154">
        <v>23</v>
      </c>
      <c r="X50" s="155" t="s">
        <v>24</v>
      </c>
      <c r="Y50" t="s">
        <v>38</v>
      </c>
    </row>
    <row r="51" spans="3:25" x14ac:dyDescent="0.25">
      <c r="C51" t="s">
        <v>113</v>
      </c>
      <c r="D51" t="s">
        <v>97</v>
      </c>
      <c r="W51" s="154">
        <v>57</v>
      </c>
      <c r="X51" s="155" t="s">
        <v>46</v>
      </c>
      <c r="Y51" t="s">
        <v>435</v>
      </c>
    </row>
    <row r="52" spans="3:25" x14ac:dyDescent="0.25">
      <c r="C52" t="s">
        <v>114</v>
      </c>
      <c r="D52" t="s">
        <v>45</v>
      </c>
      <c r="W52" s="154" t="s">
        <v>400</v>
      </c>
      <c r="X52" s="155" t="s">
        <v>11</v>
      </c>
      <c r="Y52" t="s">
        <v>405</v>
      </c>
    </row>
    <row r="53" spans="3:25" x14ac:dyDescent="0.25">
      <c r="C53" t="s">
        <v>552</v>
      </c>
      <c r="D53" t="s">
        <v>100</v>
      </c>
      <c r="W53" s="154" t="s">
        <v>402</v>
      </c>
      <c r="X53" s="155" t="s">
        <v>11</v>
      </c>
      <c r="Y53" t="s">
        <v>40</v>
      </c>
    </row>
    <row r="54" spans="3:25" x14ac:dyDescent="0.25">
      <c r="C54" t="s">
        <v>553</v>
      </c>
      <c r="D54" t="s">
        <v>163</v>
      </c>
      <c r="W54" s="154" t="s">
        <v>403</v>
      </c>
      <c r="X54" s="155" t="s">
        <v>11</v>
      </c>
      <c r="Y54" t="s">
        <v>407</v>
      </c>
    </row>
    <row r="55" spans="3:25" x14ac:dyDescent="0.25">
      <c r="C55" t="s">
        <v>554</v>
      </c>
      <c r="D55" t="s">
        <v>86</v>
      </c>
      <c r="W55" s="154" t="s">
        <v>401</v>
      </c>
      <c r="X55" s="155" t="s">
        <v>11</v>
      </c>
      <c r="Y55" t="s">
        <v>406</v>
      </c>
    </row>
    <row r="56" spans="3:25" x14ac:dyDescent="0.25">
      <c r="C56" t="s">
        <v>117</v>
      </c>
      <c r="D56" t="s">
        <v>105</v>
      </c>
      <c r="W56" s="154">
        <v>15</v>
      </c>
      <c r="X56" s="155" t="s">
        <v>24</v>
      </c>
      <c r="Y56" t="s">
        <v>363</v>
      </c>
    </row>
    <row r="57" spans="3:25" x14ac:dyDescent="0.25">
      <c r="C57" t="s">
        <v>119</v>
      </c>
      <c r="D57" t="s">
        <v>102</v>
      </c>
      <c r="W57" s="154">
        <v>44</v>
      </c>
      <c r="X57" s="155" t="s">
        <v>11</v>
      </c>
      <c r="Y57" t="s">
        <v>393</v>
      </c>
    </row>
    <row r="58" spans="3:25" x14ac:dyDescent="0.25">
      <c r="C58" t="s">
        <v>555</v>
      </c>
      <c r="D58" t="s">
        <v>286</v>
      </c>
      <c r="W58" s="154">
        <v>45</v>
      </c>
      <c r="X58" s="155" t="s">
        <v>11</v>
      </c>
      <c r="Y58" t="s">
        <v>394</v>
      </c>
    </row>
    <row r="59" spans="3:25" x14ac:dyDescent="0.25">
      <c r="C59" t="s">
        <v>121</v>
      </c>
      <c r="D59" t="s">
        <v>107</v>
      </c>
      <c r="W59" s="154">
        <v>56</v>
      </c>
      <c r="X59" s="155" t="s">
        <v>46</v>
      </c>
      <c r="Y59" t="s">
        <v>434</v>
      </c>
    </row>
    <row r="60" spans="3:25" x14ac:dyDescent="0.25">
      <c r="C60" t="s">
        <v>123</v>
      </c>
      <c r="D60" t="s">
        <v>124</v>
      </c>
      <c r="W60" s="154">
        <v>17</v>
      </c>
      <c r="X60" s="155" t="s">
        <v>24</v>
      </c>
      <c r="Y60" t="s">
        <v>369</v>
      </c>
    </row>
    <row r="61" spans="3:25" x14ac:dyDescent="0.25">
      <c r="C61" t="s">
        <v>126</v>
      </c>
      <c r="D61" t="s">
        <v>109</v>
      </c>
      <c r="W61" s="154">
        <v>46</v>
      </c>
      <c r="X61" s="155" t="s">
        <v>11</v>
      </c>
      <c r="Y61" t="s">
        <v>395</v>
      </c>
    </row>
    <row r="62" spans="3:25" x14ac:dyDescent="0.25">
      <c r="C62" t="s">
        <v>128</v>
      </c>
      <c r="D62" t="s">
        <v>124</v>
      </c>
      <c r="W62" s="154">
        <v>13</v>
      </c>
      <c r="X62" s="155" t="s">
        <v>24</v>
      </c>
      <c r="Y62" t="s">
        <v>361</v>
      </c>
    </row>
    <row r="63" spans="3:25" x14ac:dyDescent="0.25">
      <c r="C63" t="s">
        <v>130</v>
      </c>
      <c r="D63" t="s">
        <v>85</v>
      </c>
      <c r="W63" s="154">
        <v>16</v>
      </c>
      <c r="X63" s="155" t="s">
        <v>24</v>
      </c>
      <c r="Y63" t="s">
        <v>368</v>
      </c>
    </row>
    <row r="64" spans="3:25" x14ac:dyDescent="0.25">
      <c r="C64" t="s">
        <v>131</v>
      </c>
      <c r="D64" t="s">
        <v>110</v>
      </c>
      <c r="W64" s="154">
        <v>43</v>
      </c>
      <c r="X64" s="155" t="s">
        <v>11</v>
      </c>
      <c r="Y64" t="s">
        <v>392</v>
      </c>
    </row>
    <row r="65" spans="3:25" x14ac:dyDescent="0.25">
      <c r="C65" t="s">
        <v>133</v>
      </c>
      <c r="D65" t="s">
        <v>45</v>
      </c>
      <c r="W65" s="154">
        <v>14</v>
      </c>
      <c r="X65" s="155" t="s">
        <v>24</v>
      </c>
      <c r="Y65" t="s">
        <v>362</v>
      </c>
    </row>
    <row r="66" spans="3:25" x14ac:dyDescent="0.25">
      <c r="C66" t="s">
        <v>556</v>
      </c>
      <c r="D66" t="s">
        <v>134</v>
      </c>
      <c r="W66" s="154">
        <v>47</v>
      </c>
      <c r="X66" s="155" t="s">
        <v>11</v>
      </c>
      <c r="Y66" t="s">
        <v>397</v>
      </c>
    </row>
    <row r="67" spans="3:25" x14ac:dyDescent="0.25">
      <c r="C67" t="s">
        <v>136</v>
      </c>
      <c r="D67" t="s">
        <v>112</v>
      </c>
      <c r="W67" s="154">
        <v>19</v>
      </c>
      <c r="X67" s="155" t="s">
        <v>24</v>
      </c>
      <c r="Y67" t="s">
        <v>371</v>
      </c>
    </row>
    <row r="68" spans="3:25" x14ac:dyDescent="0.25">
      <c r="C68" t="s">
        <v>138</v>
      </c>
      <c r="D68" t="s">
        <v>115</v>
      </c>
      <c r="W68" s="154">
        <v>18</v>
      </c>
      <c r="X68" s="155" t="s">
        <v>24</v>
      </c>
      <c r="Y68" t="s">
        <v>370</v>
      </c>
    </row>
    <row r="69" spans="3:25" x14ac:dyDescent="0.25">
      <c r="C69" t="s">
        <v>140</v>
      </c>
      <c r="D69" t="s">
        <v>45</v>
      </c>
      <c r="W69" s="154">
        <v>41</v>
      </c>
      <c r="X69" s="155" t="s">
        <v>11</v>
      </c>
      <c r="Y69" t="s">
        <v>503</v>
      </c>
    </row>
    <row r="70" spans="3:25" x14ac:dyDescent="0.25">
      <c r="C70" t="s">
        <v>142</v>
      </c>
      <c r="D70" t="s">
        <v>45</v>
      </c>
      <c r="W70" s="154" t="s">
        <v>438</v>
      </c>
      <c r="X70" s="155" t="s">
        <v>46</v>
      </c>
      <c r="Y70" t="s">
        <v>440</v>
      </c>
    </row>
    <row r="71" spans="3:25" x14ac:dyDescent="0.25">
      <c r="C71" t="s">
        <v>557</v>
      </c>
      <c r="D71" t="s">
        <v>45</v>
      </c>
      <c r="W71" s="154" t="s">
        <v>439</v>
      </c>
      <c r="X71" s="155" t="s">
        <v>46</v>
      </c>
      <c r="Y71" t="s">
        <v>441</v>
      </c>
    </row>
    <row r="72" spans="3:25" x14ac:dyDescent="0.25">
      <c r="C72" t="s">
        <v>144</v>
      </c>
      <c r="D72" t="s">
        <v>85</v>
      </c>
      <c r="W72" s="154">
        <v>8</v>
      </c>
      <c r="X72" s="155" t="s">
        <v>24</v>
      </c>
      <c r="Y72" t="s">
        <v>496</v>
      </c>
    </row>
    <row r="73" spans="3:25" x14ac:dyDescent="0.25">
      <c r="C73" t="s">
        <v>146</v>
      </c>
      <c r="D73" t="s">
        <v>122</v>
      </c>
      <c r="W73" s="154">
        <v>39</v>
      </c>
      <c r="X73" s="155" t="s">
        <v>11</v>
      </c>
      <c r="Y73" t="s">
        <v>501</v>
      </c>
    </row>
    <row r="74" spans="3:25" x14ac:dyDescent="0.25">
      <c r="C74" t="s">
        <v>148</v>
      </c>
      <c r="D74" t="s">
        <v>118</v>
      </c>
      <c r="W74" s="154">
        <v>40</v>
      </c>
      <c r="X74" s="155" t="s">
        <v>11</v>
      </c>
      <c r="Y74" t="s">
        <v>502</v>
      </c>
    </row>
    <row r="75" spans="3:25" x14ac:dyDescent="0.25">
      <c r="C75" t="s">
        <v>150</v>
      </c>
      <c r="D75" t="s">
        <v>45</v>
      </c>
      <c r="W75" s="154">
        <v>11</v>
      </c>
      <c r="X75" s="155" t="s">
        <v>24</v>
      </c>
      <c r="Y75" t="s">
        <v>499</v>
      </c>
    </row>
    <row r="76" spans="3:25" x14ac:dyDescent="0.25">
      <c r="C76" t="s">
        <v>152</v>
      </c>
      <c r="D76" t="s">
        <v>120</v>
      </c>
      <c r="W76" s="154" t="s">
        <v>442</v>
      </c>
      <c r="X76" s="155" t="s">
        <v>46</v>
      </c>
      <c r="Y76" t="s">
        <v>444</v>
      </c>
    </row>
    <row r="77" spans="3:25" x14ac:dyDescent="0.25">
      <c r="C77" t="s">
        <v>558</v>
      </c>
      <c r="D77" t="s">
        <v>338</v>
      </c>
      <c r="W77" s="154" t="s">
        <v>443</v>
      </c>
      <c r="X77" s="155" t="s">
        <v>46</v>
      </c>
      <c r="Y77" t="s">
        <v>445</v>
      </c>
    </row>
    <row r="78" spans="3:25" x14ac:dyDescent="0.25">
      <c r="C78" t="s">
        <v>154</v>
      </c>
      <c r="D78" t="s">
        <v>45</v>
      </c>
      <c r="W78" s="154">
        <v>38</v>
      </c>
      <c r="X78" s="155" t="s">
        <v>11</v>
      </c>
      <c r="Y78" t="s">
        <v>500</v>
      </c>
    </row>
    <row r="79" spans="3:25" x14ac:dyDescent="0.25">
      <c r="C79" t="s">
        <v>559</v>
      </c>
      <c r="D79" t="s">
        <v>286</v>
      </c>
      <c r="W79" s="154">
        <v>10</v>
      </c>
      <c r="X79" s="155" t="s">
        <v>24</v>
      </c>
      <c r="Y79" t="s">
        <v>498</v>
      </c>
    </row>
    <row r="80" spans="3:25" x14ac:dyDescent="0.25">
      <c r="C80" t="s">
        <v>156</v>
      </c>
      <c r="D80" t="s">
        <v>127</v>
      </c>
      <c r="W80" s="154">
        <v>9</v>
      </c>
      <c r="X80" s="155" t="s">
        <v>24</v>
      </c>
      <c r="Y80" t="s">
        <v>497</v>
      </c>
    </row>
    <row r="81" spans="3:4" x14ac:dyDescent="0.25">
      <c r="C81" t="s">
        <v>158</v>
      </c>
      <c r="D81" t="s">
        <v>125</v>
      </c>
    </row>
    <row r="82" spans="3:4" x14ac:dyDescent="0.25">
      <c r="C82" t="s">
        <v>160</v>
      </c>
      <c r="D82" t="s">
        <v>66</v>
      </c>
    </row>
    <row r="83" spans="3:4" x14ac:dyDescent="0.25">
      <c r="C83" t="s">
        <v>161</v>
      </c>
      <c r="D83" t="s">
        <v>129</v>
      </c>
    </row>
    <row r="84" spans="3:4" x14ac:dyDescent="0.25">
      <c r="C84" t="s">
        <v>162</v>
      </c>
      <c r="D84" t="s">
        <v>135</v>
      </c>
    </row>
    <row r="85" spans="3:4" x14ac:dyDescent="0.25">
      <c r="C85" t="s">
        <v>164</v>
      </c>
      <c r="D85" t="s">
        <v>132</v>
      </c>
    </row>
    <row r="86" spans="3:4" x14ac:dyDescent="0.25">
      <c r="C86" t="s">
        <v>166</v>
      </c>
      <c r="D86" t="s">
        <v>137</v>
      </c>
    </row>
    <row r="87" spans="3:4" x14ac:dyDescent="0.25">
      <c r="C87" t="s">
        <v>560</v>
      </c>
      <c r="D87" t="s">
        <v>149</v>
      </c>
    </row>
    <row r="88" spans="3:4" x14ac:dyDescent="0.25">
      <c r="C88" t="s">
        <v>168</v>
      </c>
      <c r="D88" t="s">
        <v>143</v>
      </c>
    </row>
    <row r="89" spans="3:4" x14ac:dyDescent="0.25">
      <c r="C89" t="s">
        <v>170</v>
      </c>
      <c r="D89" t="s">
        <v>139</v>
      </c>
    </row>
    <row r="90" spans="3:4" x14ac:dyDescent="0.25">
      <c r="C90" t="s">
        <v>172</v>
      </c>
      <c r="D90" t="s">
        <v>147</v>
      </c>
    </row>
    <row r="91" spans="3:4" x14ac:dyDescent="0.25">
      <c r="C91" t="s">
        <v>174</v>
      </c>
      <c r="D91" t="s">
        <v>145</v>
      </c>
    </row>
    <row r="92" spans="3:4" x14ac:dyDescent="0.25">
      <c r="C92" t="s">
        <v>176</v>
      </c>
      <c r="D92" t="s">
        <v>45</v>
      </c>
    </row>
    <row r="93" spans="3:4" x14ac:dyDescent="0.25">
      <c r="C93" t="s">
        <v>561</v>
      </c>
      <c r="D93" t="s">
        <v>141</v>
      </c>
    </row>
    <row r="94" spans="3:4" x14ac:dyDescent="0.25">
      <c r="C94" t="s">
        <v>178</v>
      </c>
      <c r="D94" t="s">
        <v>45</v>
      </c>
    </row>
    <row r="95" spans="3:4" x14ac:dyDescent="0.25">
      <c r="C95" t="s">
        <v>180</v>
      </c>
      <c r="D95" t="s">
        <v>151</v>
      </c>
    </row>
    <row r="96" spans="3:4" x14ac:dyDescent="0.25">
      <c r="C96" t="s">
        <v>182</v>
      </c>
      <c r="D96" t="s">
        <v>155</v>
      </c>
    </row>
    <row r="97" spans="3:4" x14ac:dyDescent="0.25">
      <c r="C97" t="s">
        <v>184</v>
      </c>
      <c r="D97" t="s">
        <v>141</v>
      </c>
    </row>
    <row r="98" spans="3:4" x14ac:dyDescent="0.25">
      <c r="C98" t="s">
        <v>186</v>
      </c>
      <c r="D98" t="s">
        <v>153</v>
      </c>
    </row>
    <row r="99" spans="3:4" x14ac:dyDescent="0.25">
      <c r="C99" t="s">
        <v>188</v>
      </c>
      <c r="D99" t="s">
        <v>171</v>
      </c>
    </row>
    <row r="100" spans="3:4" x14ac:dyDescent="0.25">
      <c r="C100" t="s">
        <v>190</v>
      </c>
      <c r="D100" t="s">
        <v>157</v>
      </c>
    </row>
    <row r="101" spans="3:4" x14ac:dyDescent="0.25">
      <c r="C101" t="s">
        <v>192</v>
      </c>
      <c r="D101" t="s">
        <v>42</v>
      </c>
    </row>
    <row r="102" spans="3:4" x14ac:dyDescent="0.25">
      <c r="C102" t="s">
        <v>195</v>
      </c>
      <c r="D102" t="s">
        <v>167</v>
      </c>
    </row>
    <row r="103" spans="3:4" x14ac:dyDescent="0.25">
      <c r="C103" t="s">
        <v>197</v>
      </c>
      <c r="D103" t="s">
        <v>159</v>
      </c>
    </row>
    <row r="104" spans="3:4" x14ac:dyDescent="0.25">
      <c r="C104" t="s">
        <v>562</v>
      </c>
      <c r="D104" t="s">
        <v>173</v>
      </c>
    </row>
    <row r="105" spans="3:4" x14ac:dyDescent="0.25">
      <c r="C105" t="s">
        <v>200</v>
      </c>
      <c r="D105" t="s">
        <v>45</v>
      </c>
    </row>
    <row r="106" spans="3:4" x14ac:dyDescent="0.25">
      <c r="C106" t="s">
        <v>202</v>
      </c>
      <c r="D106" t="s">
        <v>175</v>
      </c>
    </row>
    <row r="107" spans="3:4" x14ac:dyDescent="0.25">
      <c r="C107" t="s">
        <v>204</v>
      </c>
      <c r="D107" t="s">
        <v>181</v>
      </c>
    </row>
    <row r="108" spans="3:4" x14ac:dyDescent="0.25">
      <c r="C108" t="s">
        <v>206</v>
      </c>
      <c r="D108" t="s">
        <v>179</v>
      </c>
    </row>
    <row r="109" spans="3:4" x14ac:dyDescent="0.25">
      <c r="C109" t="s">
        <v>563</v>
      </c>
      <c r="D109" t="s">
        <v>183</v>
      </c>
    </row>
    <row r="110" spans="3:4" x14ac:dyDescent="0.25">
      <c r="C110" t="s">
        <v>209</v>
      </c>
      <c r="D110" t="s">
        <v>45</v>
      </c>
    </row>
    <row r="111" spans="3:4" x14ac:dyDescent="0.25">
      <c r="C111" t="s">
        <v>564</v>
      </c>
      <c r="D111" t="s">
        <v>45</v>
      </c>
    </row>
    <row r="112" spans="3:4" x14ac:dyDescent="0.25">
      <c r="C112" t="s">
        <v>211</v>
      </c>
      <c r="D112" t="s">
        <v>189</v>
      </c>
    </row>
    <row r="113" spans="3:4" x14ac:dyDescent="0.25">
      <c r="C113" t="s">
        <v>213</v>
      </c>
      <c r="D113" t="s">
        <v>201</v>
      </c>
    </row>
    <row r="114" spans="3:4" x14ac:dyDescent="0.25">
      <c r="C114" t="s">
        <v>215</v>
      </c>
      <c r="D114" t="s">
        <v>205</v>
      </c>
    </row>
    <row r="115" spans="3:4" x14ac:dyDescent="0.25">
      <c r="C115" t="s">
        <v>217</v>
      </c>
      <c r="D115" t="s">
        <v>199</v>
      </c>
    </row>
    <row r="116" spans="3:4" x14ac:dyDescent="0.25">
      <c r="C116" t="s">
        <v>219</v>
      </c>
      <c r="D116" t="s">
        <v>66</v>
      </c>
    </row>
    <row r="117" spans="3:4" x14ac:dyDescent="0.25">
      <c r="C117" t="s">
        <v>221</v>
      </c>
      <c r="D117" t="s">
        <v>45</v>
      </c>
    </row>
    <row r="118" spans="3:4" x14ac:dyDescent="0.25">
      <c r="C118" t="s">
        <v>565</v>
      </c>
      <c r="D118" t="s">
        <v>124</v>
      </c>
    </row>
    <row r="119" spans="3:4" x14ac:dyDescent="0.25">
      <c r="C119" t="s">
        <v>223</v>
      </c>
      <c r="D119" t="s">
        <v>196</v>
      </c>
    </row>
    <row r="120" spans="3:4" x14ac:dyDescent="0.25">
      <c r="C120" t="s">
        <v>225</v>
      </c>
      <c r="D120" t="s">
        <v>198</v>
      </c>
    </row>
    <row r="121" spans="3:4" x14ac:dyDescent="0.25">
      <c r="C121" t="s">
        <v>227</v>
      </c>
      <c r="D121" t="s">
        <v>203</v>
      </c>
    </row>
    <row r="122" spans="3:4" x14ac:dyDescent="0.25">
      <c r="C122" t="s">
        <v>566</v>
      </c>
      <c r="D122" t="s">
        <v>124</v>
      </c>
    </row>
    <row r="123" spans="3:4" x14ac:dyDescent="0.25">
      <c r="C123" t="s">
        <v>567</v>
      </c>
      <c r="D123" t="s">
        <v>45</v>
      </c>
    </row>
    <row r="124" spans="3:4" x14ac:dyDescent="0.25">
      <c r="C124" t="s">
        <v>230</v>
      </c>
      <c r="D124" t="s">
        <v>194</v>
      </c>
    </row>
    <row r="125" spans="3:4" x14ac:dyDescent="0.25">
      <c r="C125" t="s">
        <v>232</v>
      </c>
      <c r="D125" t="s">
        <v>45</v>
      </c>
    </row>
    <row r="126" spans="3:4" x14ac:dyDescent="0.25">
      <c r="C126" t="s">
        <v>234</v>
      </c>
      <c r="D126" t="s">
        <v>185</v>
      </c>
    </row>
    <row r="127" spans="3:4" x14ac:dyDescent="0.25">
      <c r="C127" t="s">
        <v>236</v>
      </c>
      <c r="D127" t="s">
        <v>207</v>
      </c>
    </row>
    <row r="128" spans="3:4" x14ac:dyDescent="0.25">
      <c r="C128" t="s">
        <v>238</v>
      </c>
      <c r="D128" t="s">
        <v>193</v>
      </c>
    </row>
    <row r="129" spans="3:4" x14ac:dyDescent="0.25">
      <c r="C129" t="s">
        <v>240</v>
      </c>
      <c r="D129" t="s">
        <v>208</v>
      </c>
    </row>
    <row r="130" spans="3:4" x14ac:dyDescent="0.25">
      <c r="C130" t="s">
        <v>568</v>
      </c>
      <c r="D130" t="s">
        <v>42</v>
      </c>
    </row>
    <row r="131" spans="3:4" x14ac:dyDescent="0.25">
      <c r="C131" t="s">
        <v>242</v>
      </c>
      <c r="D131" t="s">
        <v>216</v>
      </c>
    </row>
    <row r="132" spans="3:4" x14ac:dyDescent="0.25">
      <c r="C132" t="s">
        <v>244</v>
      </c>
      <c r="D132" t="s">
        <v>45</v>
      </c>
    </row>
    <row r="133" spans="3:4" x14ac:dyDescent="0.25">
      <c r="C133" t="s">
        <v>246</v>
      </c>
      <c r="D133" t="s">
        <v>247</v>
      </c>
    </row>
    <row r="134" spans="3:4" x14ac:dyDescent="0.25">
      <c r="C134" t="s">
        <v>249</v>
      </c>
      <c r="D134" t="s">
        <v>218</v>
      </c>
    </row>
    <row r="135" spans="3:4" x14ac:dyDescent="0.25">
      <c r="C135" t="s">
        <v>251</v>
      </c>
      <c r="D135" t="s">
        <v>212</v>
      </c>
    </row>
    <row r="136" spans="3:4" x14ac:dyDescent="0.25">
      <c r="C136" t="s">
        <v>253</v>
      </c>
      <c r="D136" t="s">
        <v>66</v>
      </c>
    </row>
    <row r="137" spans="3:4" x14ac:dyDescent="0.25">
      <c r="C137" t="s">
        <v>255</v>
      </c>
      <c r="D137" t="s">
        <v>210</v>
      </c>
    </row>
    <row r="138" spans="3:4" x14ac:dyDescent="0.25">
      <c r="C138" t="s">
        <v>569</v>
      </c>
      <c r="D138" t="s">
        <v>191</v>
      </c>
    </row>
    <row r="139" spans="3:4" x14ac:dyDescent="0.25">
      <c r="C139" t="s">
        <v>258</v>
      </c>
      <c r="D139" t="s">
        <v>214</v>
      </c>
    </row>
    <row r="140" spans="3:4" x14ac:dyDescent="0.25">
      <c r="C140" t="s">
        <v>259</v>
      </c>
      <c r="D140" t="s">
        <v>220</v>
      </c>
    </row>
    <row r="141" spans="3:4" x14ac:dyDescent="0.25">
      <c r="C141" t="s">
        <v>262</v>
      </c>
      <c r="D141" t="s">
        <v>229</v>
      </c>
    </row>
    <row r="142" spans="3:4" x14ac:dyDescent="0.25">
      <c r="C142" t="s">
        <v>570</v>
      </c>
      <c r="D142" t="s">
        <v>124</v>
      </c>
    </row>
    <row r="143" spans="3:4" x14ac:dyDescent="0.25">
      <c r="C143" t="s">
        <v>264</v>
      </c>
      <c r="D143" t="s">
        <v>222</v>
      </c>
    </row>
    <row r="144" spans="3:4" x14ac:dyDescent="0.25">
      <c r="C144" t="s">
        <v>266</v>
      </c>
      <c r="D144" t="s">
        <v>226</v>
      </c>
    </row>
    <row r="145" spans="3:4" x14ac:dyDescent="0.25">
      <c r="C145" t="s">
        <v>268</v>
      </c>
      <c r="D145" t="s">
        <v>233</v>
      </c>
    </row>
    <row r="146" spans="3:4" x14ac:dyDescent="0.25">
      <c r="C146" t="s">
        <v>269</v>
      </c>
      <c r="D146" t="s">
        <v>224</v>
      </c>
    </row>
    <row r="147" spans="3:4" x14ac:dyDescent="0.25">
      <c r="C147" t="s">
        <v>271</v>
      </c>
      <c r="D147" t="s">
        <v>228</v>
      </c>
    </row>
    <row r="148" spans="3:4" x14ac:dyDescent="0.25">
      <c r="C148" t="s">
        <v>273</v>
      </c>
      <c r="D148" t="s">
        <v>231</v>
      </c>
    </row>
    <row r="149" spans="3:4" x14ac:dyDescent="0.25">
      <c r="C149" t="s">
        <v>275</v>
      </c>
      <c r="D149" t="s">
        <v>45</v>
      </c>
    </row>
    <row r="150" spans="3:4" x14ac:dyDescent="0.25">
      <c r="C150" t="s">
        <v>571</v>
      </c>
      <c r="D150" t="s">
        <v>124</v>
      </c>
    </row>
    <row r="151" spans="3:4" x14ac:dyDescent="0.25">
      <c r="C151" t="s">
        <v>277</v>
      </c>
      <c r="D151" t="s">
        <v>235</v>
      </c>
    </row>
    <row r="152" spans="3:4" x14ac:dyDescent="0.25">
      <c r="C152" t="s">
        <v>572</v>
      </c>
      <c r="D152" t="s">
        <v>165</v>
      </c>
    </row>
    <row r="153" spans="3:4" x14ac:dyDescent="0.25">
      <c r="C153" t="s">
        <v>573</v>
      </c>
      <c r="D153" t="s">
        <v>187</v>
      </c>
    </row>
    <row r="154" spans="3:4" x14ac:dyDescent="0.25">
      <c r="C154" t="s">
        <v>279</v>
      </c>
      <c r="D154" t="s">
        <v>237</v>
      </c>
    </row>
    <row r="155" spans="3:4" x14ac:dyDescent="0.25">
      <c r="C155" t="s">
        <v>281</v>
      </c>
      <c r="D155" t="s">
        <v>241</v>
      </c>
    </row>
    <row r="156" spans="3:4" x14ac:dyDescent="0.25">
      <c r="C156" t="s">
        <v>283</v>
      </c>
      <c r="D156" t="s">
        <v>243</v>
      </c>
    </row>
    <row r="157" spans="3:4" x14ac:dyDescent="0.25">
      <c r="C157" t="s">
        <v>574</v>
      </c>
      <c r="D157" t="s">
        <v>257</v>
      </c>
    </row>
    <row r="158" spans="3:4" x14ac:dyDescent="0.25">
      <c r="C158" t="s">
        <v>575</v>
      </c>
      <c r="D158" t="s">
        <v>286</v>
      </c>
    </row>
    <row r="159" spans="3:4" x14ac:dyDescent="0.25">
      <c r="C159" t="s">
        <v>285</v>
      </c>
      <c r="D159" t="s">
        <v>286</v>
      </c>
    </row>
    <row r="160" spans="3:4" x14ac:dyDescent="0.25">
      <c r="C160" t="s">
        <v>576</v>
      </c>
      <c r="D160" t="s">
        <v>286</v>
      </c>
    </row>
    <row r="161" spans="3:4" x14ac:dyDescent="0.25">
      <c r="C161" t="s">
        <v>288</v>
      </c>
      <c r="D161" t="s">
        <v>289</v>
      </c>
    </row>
    <row r="162" spans="3:4" x14ac:dyDescent="0.25">
      <c r="C162" t="s">
        <v>291</v>
      </c>
      <c r="D162" t="s">
        <v>265</v>
      </c>
    </row>
    <row r="163" spans="3:4" x14ac:dyDescent="0.25">
      <c r="C163" t="s">
        <v>292</v>
      </c>
      <c r="D163" t="s">
        <v>245</v>
      </c>
    </row>
    <row r="164" spans="3:4" x14ac:dyDescent="0.25">
      <c r="C164" t="s">
        <v>294</v>
      </c>
      <c r="D164" t="s">
        <v>66</v>
      </c>
    </row>
    <row r="165" spans="3:4" x14ac:dyDescent="0.25">
      <c r="C165" t="s">
        <v>296</v>
      </c>
      <c r="D165" t="s">
        <v>239</v>
      </c>
    </row>
    <row r="166" spans="3:4" x14ac:dyDescent="0.25">
      <c r="C166" t="s">
        <v>298</v>
      </c>
      <c r="D166" t="s">
        <v>250</v>
      </c>
    </row>
    <row r="167" spans="3:4" x14ac:dyDescent="0.25">
      <c r="C167" t="s">
        <v>300</v>
      </c>
      <c r="D167" t="s">
        <v>339</v>
      </c>
    </row>
    <row r="168" spans="3:4" x14ac:dyDescent="0.25">
      <c r="C168" t="s">
        <v>302</v>
      </c>
      <c r="D168" t="s">
        <v>256</v>
      </c>
    </row>
    <row r="169" spans="3:4" x14ac:dyDescent="0.25">
      <c r="C169" t="s">
        <v>303</v>
      </c>
      <c r="D169" t="s">
        <v>45</v>
      </c>
    </row>
    <row r="170" spans="3:4" x14ac:dyDescent="0.25">
      <c r="C170" t="s">
        <v>304</v>
      </c>
      <c r="D170" t="s">
        <v>45</v>
      </c>
    </row>
    <row r="171" spans="3:4" x14ac:dyDescent="0.25">
      <c r="C171" t="s">
        <v>305</v>
      </c>
      <c r="D171" t="s">
        <v>248</v>
      </c>
    </row>
    <row r="172" spans="3:4" x14ac:dyDescent="0.25">
      <c r="C172" t="s">
        <v>306</v>
      </c>
      <c r="D172" t="s">
        <v>260</v>
      </c>
    </row>
    <row r="173" spans="3:4" x14ac:dyDescent="0.25">
      <c r="C173" t="s">
        <v>307</v>
      </c>
      <c r="D173" t="s">
        <v>308</v>
      </c>
    </row>
    <row r="174" spans="3:4" x14ac:dyDescent="0.25">
      <c r="C174" t="s">
        <v>310</v>
      </c>
      <c r="D174" t="s">
        <v>263</v>
      </c>
    </row>
    <row r="175" spans="3:4" x14ac:dyDescent="0.25">
      <c r="C175" t="s">
        <v>311</v>
      </c>
      <c r="D175" t="s">
        <v>45</v>
      </c>
    </row>
    <row r="176" spans="3:4" x14ac:dyDescent="0.25">
      <c r="C176" t="s">
        <v>313</v>
      </c>
      <c r="D176" t="s">
        <v>177</v>
      </c>
    </row>
    <row r="177" spans="3:4" x14ac:dyDescent="0.25">
      <c r="C177" t="s">
        <v>314</v>
      </c>
      <c r="D177" t="s">
        <v>252</v>
      </c>
    </row>
    <row r="178" spans="3:4" x14ac:dyDescent="0.25">
      <c r="C178" t="s">
        <v>315</v>
      </c>
      <c r="D178" t="s">
        <v>261</v>
      </c>
    </row>
    <row r="179" spans="3:4" x14ac:dyDescent="0.25">
      <c r="C179" t="s">
        <v>316</v>
      </c>
      <c r="D179" t="s">
        <v>254</v>
      </c>
    </row>
    <row r="180" spans="3:4" x14ac:dyDescent="0.25">
      <c r="C180" t="s">
        <v>317</v>
      </c>
      <c r="D180" t="s">
        <v>88</v>
      </c>
    </row>
    <row r="181" spans="3:4" x14ac:dyDescent="0.25">
      <c r="C181" t="s">
        <v>318</v>
      </c>
      <c r="D181" t="s">
        <v>267</v>
      </c>
    </row>
    <row r="182" spans="3:4" x14ac:dyDescent="0.25">
      <c r="C182" t="s">
        <v>319</v>
      </c>
      <c r="D182" t="s">
        <v>272</v>
      </c>
    </row>
    <row r="183" spans="3:4" x14ac:dyDescent="0.25">
      <c r="C183" t="s">
        <v>320</v>
      </c>
      <c r="D183" t="s">
        <v>270</v>
      </c>
    </row>
    <row r="184" spans="3:4" x14ac:dyDescent="0.25">
      <c r="C184" t="s">
        <v>321</v>
      </c>
      <c r="D184" t="s">
        <v>124</v>
      </c>
    </row>
    <row r="185" spans="3:4" x14ac:dyDescent="0.25">
      <c r="C185" t="s">
        <v>322</v>
      </c>
      <c r="D185" t="s">
        <v>66</v>
      </c>
    </row>
    <row r="186" spans="3:4" x14ac:dyDescent="0.25">
      <c r="C186" t="s">
        <v>323</v>
      </c>
      <c r="D186" t="s">
        <v>278</v>
      </c>
    </row>
    <row r="187" spans="3:4" x14ac:dyDescent="0.25">
      <c r="C187" t="s">
        <v>324</v>
      </c>
      <c r="D187" t="s">
        <v>282</v>
      </c>
    </row>
    <row r="188" spans="3:4" x14ac:dyDescent="0.25">
      <c r="C188" t="s">
        <v>325</v>
      </c>
      <c r="D188" t="s">
        <v>276</v>
      </c>
    </row>
    <row r="189" spans="3:4" x14ac:dyDescent="0.25">
      <c r="C189" t="s">
        <v>577</v>
      </c>
      <c r="D189" t="s">
        <v>280</v>
      </c>
    </row>
    <row r="190" spans="3:4" x14ac:dyDescent="0.25">
      <c r="C190" t="s">
        <v>326</v>
      </c>
      <c r="D190" t="s">
        <v>274</v>
      </c>
    </row>
    <row r="191" spans="3:4" x14ac:dyDescent="0.25">
      <c r="C191" t="s">
        <v>578</v>
      </c>
      <c r="D191" t="s">
        <v>42</v>
      </c>
    </row>
    <row r="192" spans="3:4" x14ac:dyDescent="0.25">
      <c r="C192" t="s">
        <v>327</v>
      </c>
      <c r="D192" t="s">
        <v>290</v>
      </c>
    </row>
    <row r="193" spans="3:4" x14ac:dyDescent="0.25">
      <c r="C193" t="s">
        <v>328</v>
      </c>
      <c r="D193" t="s">
        <v>287</v>
      </c>
    </row>
    <row r="194" spans="3:4" x14ac:dyDescent="0.25">
      <c r="C194" t="s">
        <v>329</v>
      </c>
      <c r="D194" t="s">
        <v>23</v>
      </c>
    </row>
    <row r="195" spans="3:4" x14ac:dyDescent="0.25">
      <c r="C195" t="s">
        <v>330</v>
      </c>
      <c r="D195" t="s">
        <v>116</v>
      </c>
    </row>
    <row r="196" spans="3:4" x14ac:dyDescent="0.25">
      <c r="C196" t="s">
        <v>579</v>
      </c>
      <c r="D196" t="s">
        <v>284</v>
      </c>
    </row>
    <row r="197" spans="3:4" x14ac:dyDescent="0.25">
      <c r="C197" t="s">
        <v>580</v>
      </c>
      <c r="D197" t="s">
        <v>124</v>
      </c>
    </row>
    <row r="198" spans="3:4" x14ac:dyDescent="0.25">
      <c r="C198" t="s">
        <v>331</v>
      </c>
      <c r="D198" t="s">
        <v>293</v>
      </c>
    </row>
    <row r="199" spans="3:4" x14ac:dyDescent="0.25">
      <c r="C199" t="s">
        <v>332</v>
      </c>
      <c r="D199" t="s">
        <v>295</v>
      </c>
    </row>
    <row r="200" spans="3:4" x14ac:dyDescent="0.25">
      <c r="C200" t="s">
        <v>333</v>
      </c>
      <c r="D200" t="s">
        <v>301</v>
      </c>
    </row>
    <row r="201" spans="3:4" x14ac:dyDescent="0.25">
      <c r="C201" t="s">
        <v>334</v>
      </c>
      <c r="D201" t="s">
        <v>297</v>
      </c>
    </row>
    <row r="202" spans="3:4" x14ac:dyDescent="0.25">
      <c r="C202" t="s">
        <v>581</v>
      </c>
      <c r="D202" t="s">
        <v>299</v>
      </c>
    </row>
    <row r="203" spans="3:4" x14ac:dyDescent="0.25">
      <c r="C203" t="s">
        <v>582</v>
      </c>
      <c r="D203" t="s">
        <v>141</v>
      </c>
    </row>
    <row r="204" spans="3:4" x14ac:dyDescent="0.25">
      <c r="C204" t="s">
        <v>583</v>
      </c>
      <c r="D204" t="s">
        <v>309</v>
      </c>
    </row>
    <row r="205" spans="3:4" x14ac:dyDescent="0.25">
      <c r="C205" t="s">
        <v>335</v>
      </c>
      <c r="D205" t="s">
        <v>312</v>
      </c>
    </row>
    <row r="206" spans="3:4" x14ac:dyDescent="0.25">
      <c r="C206" t="s">
        <v>336</v>
      </c>
      <c r="D206" t="s">
        <v>340</v>
      </c>
    </row>
  </sheetData>
  <sheetProtection algorithmName="SHA-512" hashValue="7/O3Rf1MP4lCKU0bAqfLVeZThh0IyFRqsCmG2E7dd7X+VCLGpWcWQvCTigfXKFVJXJ4880nRKc/RiLMf3tR5xA==" saltValue="zidWUcQ+QGypHo1u13AHNg==" spinCount="100000" sheet="1" objects="1" scenarios="1"/>
  <sortState xmlns:xlrd2="http://schemas.microsoft.com/office/spreadsheetml/2017/richdata2" ref="T2:T4">
    <sortCondition ref="T2:T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3710-1448-446C-95EE-9132BA6A98CE}">
  <sheetPr codeName="Sheet9"/>
  <dimension ref="B2:H19"/>
  <sheetViews>
    <sheetView workbookViewId="0">
      <selection activeCell="G26" sqref="G26"/>
    </sheetView>
  </sheetViews>
  <sheetFormatPr defaultRowHeight="15" x14ac:dyDescent="0.25"/>
  <cols>
    <col min="1" max="1" width="2.7109375" style="176" customWidth="1"/>
    <col min="2" max="2" width="54" style="176" bestFit="1" customWidth="1"/>
    <col min="3" max="3" width="13.28515625" style="189" customWidth="1"/>
    <col min="4" max="8" width="13.28515625" style="176" customWidth="1"/>
    <col min="9" max="16384" width="9.140625" style="176"/>
  </cols>
  <sheetData>
    <row r="2" spans="2:8" ht="15.75" thickBot="1" x14ac:dyDescent="0.3">
      <c r="B2" s="174" t="s">
        <v>357</v>
      </c>
      <c r="C2" s="175">
        <v>3</v>
      </c>
      <c r="D2" s="175">
        <v>4</v>
      </c>
      <c r="E2" s="175">
        <v>1</v>
      </c>
      <c r="F2" s="175">
        <v>2</v>
      </c>
      <c r="G2" s="175">
        <v>5</v>
      </c>
      <c r="H2" s="175">
        <v>6</v>
      </c>
    </row>
    <row r="3" spans="2:8" s="183" customFormat="1" ht="32.1" customHeight="1" thickTop="1" thickBot="1" x14ac:dyDescent="0.3">
      <c r="B3" s="177" t="s">
        <v>353</v>
      </c>
      <c r="C3" s="178" t="s">
        <v>627</v>
      </c>
      <c r="D3" s="179" t="s">
        <v>630</v>
      </c>
      <c r="E3" s="180" t="s">
        <v>626</v>
      </c>
      <c r="F3" s="181" t="s">
        <v>629</v>
      </c>
      <c r="G3" s="180" t="s">
        <v>628</v>
      </c>
      <c r="H3" s="182" t="s">
        <v>631</v>
      </c>
    </row>
    <row r="4" spans="2:8" x14ac:dyDescent="0.25">
      <c r="B4" s="184" t="s">
        <v>455</v>
      </c>
      <c r="C4" s="185">
        <f ca="1">SUMIFS('Data Table'!$J:$J,'Data Table'!$B:$B,"&lt;="&amp;TODAY(),'Data Table'!$C:$C,$B4)-SUMIFS('Data Table'!$J:$J,'Data Table'!$B:$B,"&lt;="&amp;(TODAY()-30),'Data Table'!C:C,$B4)</f>
        <v>141.14326040931545</v>
      </c>
      <c r="D4" s="185">
        <f ca="1">C4*(VLOOKUP((_xlfn.XLOOKUP(DSCountry,DS_Country_List,DS_Currency_List)),'FX Rates'!$A$1:$BQ$152,2))</f>
        <v>200</v>
      </c>
      <c r="E4" s="186">
        <f>SUMIF('Data Table'!$C:$C,$B4,'Data Table'!$J:$J)</f>
        <v>141.14326040931545</v>
      </c>
      <c r="F4" s="185">
        <f>E4*(VLOOKUP((_xlfn.XLOOKUP(DSCountry,DS_Country_List,DS_Currency_List)),'FX Rates'!$A$1:$BQ$152,2))</f>
        <v>200</v>
      </c>
      <c r="G4" s="186">
        <f ca="1">SUMIFS('Data Table'!J:J,'Data Table'!B:B,"&lt;="&amp;TODAY(),'Data Table'!I:I,"M",'Data Table'!C:C,$B4)-SUMIFS('Data Table'!J:J,'Data Table'!B:B,"&lt;="&amp;(TODAY()-30),'Data Table'!I:I,"M",'Data Table'!C:C,$B4)+(SUMIFS('Data Table'!J:J,'Data Table'!B:B,"&lt;="&amp;TODAY(),'Data Table'!I:I,"Y",'Data Table'!C:C,$B4)/12)-(SUMIFS('Data Table'!J:J,'Data Table'!B:B,"&lt;="&amp;(TODAY()-365),'Data Table'!I:I,"Y",'Data Table'!C:C,$B4)/12)+(SUMIFS('Data Table'!J:J,'Data Table'!B:B,"&lt;="&amp;TODAY(),'Data Table'!I:I,"5Y",'Data Table'!C:C,$B4)/60-SUMIFS('Data Table'!J:J,'Data Table'!B:B,"&lt;="&amp;(TODAY()-1826),'Data Table'!I:I,"5Y",'Data Table'!C:C,$B4)/60)</f>
        <v>141.14326040931545</v>
      </c>
      <c r="H4" s="187">
        <f ca="1">G4*(VLOOKUP((_xlfn.XLOOKUP(DSCountry,DS_Country_List,DS_Currency_List)),'FX Rates'!$A$1:$BQ$152,2))</f>
        <v>200</v>
      </c>
    </row>
    <row r="5" spans="2:8" x14ac:dyDescent="0.25">
      <c r="B5" s="188" t="s">
        <v>3</v>
      </c>
      <c r="C5" s="189">
        <f ca="1">SUMIFS('Data Table'!$J:$J,'Data Table'!$B:$B,"&lt;="&amp;TODAY(),'Data Table'!$C:$C,$B5)-SUMIFS('Data Table'!$J:$J,'Data Table'!$B:$B,"&lt;="&amp;(TODAY()-30),'Data Table'!C:C,$B5)</f>
        <v>0</v>
      </c>
      <c r="D5" s="189">
        <f ca="1">C5*(VLOOKUP((_xlfn.XLOOKUP(DSCountry,DS_Country_List,DS_Currency_List)),'FX Rates'!$A$1:$BQ$152,2))</f>
        <v>0</v>
      </c>
      <c r="E5" s="190">
        <f>SUMIF('Data Table'!$C:$C,$B5,'Data Table'!$J:$J)</f>
        <v>0</v>
      </c>
      <c r="F5" s="189">
        <f>E5*(VLOOKUP((_xlfn.XLOOKUP(DSCountry,DS_Country_List,DS_Currency_List)),'FX Rates'!$A$1:$BQ$152,2))</f>
        <v>0</v>
      </c>
      <c r="G5" s="190">
        <f ca="1">SUMIFS('Data Table'!J:J,'Data Table'!B:B,"&lt;="&amp;TODAY(),'Data Table'!I:I,"M",'Data Table'!C:C,$B5)-SUMIFS('Data Table'!J:J,'Data Table'!B:B,"&lt;="&amp;(TODAY()-30),'Data Table'!I:I,"M",'Data Table'!C:C,$B5)+(SUMIFS('Data Table'!J:J,'Data Table'!B:B,"&lt;="&amp;TODAY(),'Data Table'!I:I,"Y",'Data Table'!C:C,$B5)/12)-(SUMIFS('Data Table'!J:J,'Data Table'!B:B,"&lt;="&amp;(TODAY()-365),'Data Table'!I:I,"Y",'Data Table'!C:C,$B5)/12)+(SUMIFS('Data Table'!J:J,'Data Table'!B:B,"&lt;="&amp;TODAY(),'Data Table'!I:I,"5Y",'Data Table'!C:C,$B5)/60-SUMIFS('Data Table'!J:J,'Data Table'!B:B,"&lt;="&amp;(TODAY()-1826),'Data Table'!I:I,"5Y",'Data Table'!C:C,$B5)/60)</f>
        <v>0</v>
      </c>
      <c r="H5" s="191">
        <f ca="1">G5*(VLOOKUP((_xlfn.XLOOKUP(DSCountry,DS_Country_List,DS_Currency_List)),'FX Rates'!$A$1:$BQ$152,2))</f>
        <v>0</v>
      </c>
    </row>
    <row r="6" spans="2:8" x14ac:dyDescent="0.25">
      <c r="B6" s="188" t="s">
        <v>4</v>
      </c>
      <c r="C6" s="189">
        <f ca="1">SUMIFS('Data Table'!$J:$J,'Data Table'!$B:$B,"&lt;="&amp;TODAY(),'Data Table'!$C:$C,$B6)-SUMIFS('Data Table'!$J:$J,'Data Table'!$B:$B,"&lt;="&amp;(TODAY()-30),'Data Table'!C:C,$B6)</f>
        <v>0</v>
      </c>
      <c r="D6" s="189">
        <f ca="1">C6*(VLOOKUP((_xlfn.XLOOKUP(DSCountry,DS_Country_List,DS_Currency_List)),'FX Rates'!$A$1:$BQ$152,2))</f>
        <v>0</v>
      </c>
      <c r="E6" s="190">
        <f>SUMIF('Data Table'!$C:$C,$B6,'Data Table'!$J:$J)</f>
        <v>0</v>
      </c>
      <c r="F6" s="189">
        <f>E6*(VLOOKUP((_xlfn.XLOOKUP(DSCountry,DS_Country_List,DS_Currency_List)),'FX Rates'!$A$1:$BQ$152,2))</f>
        <v>0</v>
      </c>
      <c r="G6" s="190">
        <f ca="1">SUMIFS('Data Table'!J:J,'Data Table'!B:B,"&lt;="&amp;TODAY(),'Data Table'!I:I,"M",'Data Table'!C:C,$B6)-SUMIFS('Data Table'!J:J,'Data Table'!B:B,"&lt;="&amp;(TODAY()-30),'Data Table'!I:I,"M",'Data Table'!C:C,$B6)+(SUMIFS('Data Table'!J:J,'Data Table'!B:B,"&lt;="&amp;TODAY(),'Data Table'!I:I,"Y",'Data Table'!C:C,$B6)/12)-(SUMIFS('Data Table'!J:J,'Data Table'!B:B,"&lt;="&amp;(TODAY()-365),'Data Table'!I:I,"Y",'Data Table'!C:C,$B6)/12)+(SUMIFS('Data Table'!J:J,'Data Table'!B:B,"&lt;="&amp;TODAY(),'Data Table'!I:I,"5Y",'Data Table'!C:C,$B6)/60-SUMIFS('Data Table'!J:J,'Data Table'!B:B,"&lt;="&amp;(TODAY()-1826),'Data Table'!I:I,"5Y",'Data Table'!C:C,$B6)/60)</f>
        <v>0</v>
      </c>
      <c r="H6" s="191">
        <f ca="1">G6*(VLOOKUP((_xlfn.XLOOKUP(DSCountry,DS_Country_List,DS_Currency_List)),'FX Rates'!$A$1:$BQ$152,2))</f>
        <v>0</v>
      </c>
    </row>
    <row r="7" spans="2:8" x14ac:dyDescent="0.25">
      <c r="B7" s="188" t="s">
        <v>597</v>
      </c>
      <c r="C7" s="189">
        <f ca="1">SUMIFS('Data Table'!$J:$J,'Data Table'!$B:$B,"&lt;="&amp;TODAY(),'Data Table'!$C:$C,$B7)-SUMIFS('Data Table'!$J:$J,'Data Table'!$B:$B,"&lt;="&amp;(TODAY()-30),'Data Table'!C:C,$B7)</f>
        <v>0</v>
      </c>
      <c r="D7" s="189">
        <f ca="1">C7*(VLOOKUP((_xlfn.XLOOKUP(DSCountry,DS_Country_List,DS_Currency_List)),'FX Rates'!$A$1:$BQ$152,2))</f>
        <v>0</v>
      </c>
      <c r="E7" s="190">
        <f>SUMIF('Data Table'!$C:$C,$B7,'Data Table'!$J:$J)</f>
        <v>0</v>
      </c>
      <c r="F7" s="189">
        <f>E7*(VLOOKUP((_xlfn.XLOOKUP(DSCountry,DS_Country_List,DS_Currency_List)),'FX Rates'!$A$1:$BQ$152,2))</f>
        <v>0</v>
      </c>
      <c r="G7" s="190">
        <f ca="1">SUMIFS('Data Table'!J:J,'Data Table'!B:B,"&lt;="&amp;TODAY(),'Data Table'!I:I,"M",'Data Table'!C:C,$B7)-SUMIFS('Data Table'!J:J,'Data Table'!B:B,"&lt;="&amp;(TODAY()-30),'Data Table'!I:I,"M",'Data Table'!C:C,$B7)+(SUMIFS('Data Table'!J:J,'Data Table'!B:B,"&lt;="&amp;TODAY(),'Data Table'!I:I,"Y",'Data Table'!C:C,$B7)/12)-(SUMIFS('Data Table'!J:J,'Data Table'!B:B,"&lt;="&amp;(TODAY()-365),'Data Table'!I:I,"Y",'Data Table'!C:C,$B7)/12)+(SUMIFS('Data Table'!J:J,'Data Table'!B:B,"&lt;="&amp;TODAY(),'Data Table'!I:I,"5Y",'Data Table'!C:C,$B7)/60-SUMIFS('Data Table'!J:J,'Data Table'!B:B,"&lt;="&amp;(TODAY()-1826),'Data Table'!I:I,"5Y",'Data Table'!C:C,$B7)/60)</f>
        <v>0</v>
      </c>
      <c r="H7" s="191">
        <f ca="1">G7*(VLOOKUP((_xlfn.XLOOKUP(DSCountry,DS_Country_List,DS_Currency_List)),'FX Rates'!$A$1:$BQ$152,2))</f>
        <v>0</v>
      </c>
    </row>
    <row r="8" spans="2:8" x14ac:dyDescent="0.25">
      <c r="B8" s="188" t="s">
        <v>457</v>
      </c>
      <c r="C8" s="189">
        <f ca="1">SUMIFS('Data Table'!$J:$J,'Data Table'!$B:$B,"&lt;="&amp;TODAY(),'Data Table'!$C:$C,$B8)-SUMIFS('Data Table'!$J:$J,'Data Table'!$B:$B,"&lt;="&amp;(TODAY()-30),'Data Table'!C:C,$B8)</f>
        <v>0</v>
      </c>
      <c r="D8" s="189">
        <f ca="1">C8*(VLOOKUP((_xlfn.XLOOKUP(DSCountry,DS_Country_List,DS_Currency_List)),'FX Rates'!$A$1:$BQ$152,2))</f>
        <v>0</v>
      </c>
      <c r="E8" s="190">
        <f>SUMIF('Data Table'!$C:$C,$B8,'Data Table'!$J:$J)</f>
        <v>0</v>
      </c>
      <c r="F8" s="189">
        <f>E8*(VLOOKUP((_xlfn.XLOOKUP(DSCountry,DS_Country_List,DS_Currency_List)),'FX Rates'!$A$1:$BQ$152,2))</f>
        <v>0</v>
      </c>
      <c r="G8" s="190">
        <f ca="1">SUMIFS('Data Table'!J:J,'Data Table'!B:B,"&lt;="&amp;TODAY(),'Data Table'!I:I,"M",'Data Table'!C:C,$B8)-SUMIFS('Data Table'!J:J,'Data Table'!B:B,"&lt;="&amp;(TODAY()-30),'Data Table'!I:I,"M",'Data Table'!C:C,$B8)+(SUMIFS('Data Table'!J:J,'Data Table'!B:B,"&lt;="&amp;TODAY(),'Data Table'!I:I,"Y",'Data Table'!C:C,$B8)/12)-(SUMIFS('Data Table'!J:J,'Data Table'!B:B,"&lt;="&amp;(TODAY()-365),'Data Table'!I:I,"Y",'Data Table'!C:C,$B8)/12)+(SUMIFS('Data Table'!J:J,'Data Table'!B:B,"&lt;="&amp;TODAY(),'Data Table'!I:I,"5Y",'Data Table'!C:C,$B8)/60-SUMIFS('Data Table'!J:J,'Data Table'!B:B,"&lt;="&amp;(TODAY()-1826),'Data Table'!I:I,"5Y",'Data Table'!C:C,$B8)/60)</f>
        <v>0</v>
      </c>
      <c r="H8" s="191">
        <f ca="1">G8*(VLOOKUP((_xlfn.XLOOKUP(DSCountry,DS_Country_List,DS_Currency_List)),'FX Rates'!$A$1:$BQ$152,2))</f>
        <v>0</v>
      </c>
    </row>
    <row r="9" spans="2:8" x14ac:dyDescent="0.25">
      <c r="B9" s="188" t="s">
        <v>456</v>
      </c>
      <c r="C9" s="189">
        <f ca="1">SUMIFS('Data Table'!$J:$J,'Data Table'!$B:$B,"&lt;="&amp;TODAY(),'Data Table'!$C:$C,$B9)-SUMIFS('Data Table'!$J:$J,'Data Table'!$B:$B,"&lt;="&amp;(TODAY()-30),'Data Table'!C:C,$B9)</f>
        <v>0</v>
      </c>
      <c r="D9" s="189">
        <f ca="1">C9*(VLOOKUP((_xlfn.XLOOKUP(DSCountry,DS_Country_List,DS_Currency_List)),'FX Rates'!$A$1:$BQ$152,2))</f>
        <v>0</v>
      </c>
      <c r="E9" s="190">
        <f>SUMIF('Data Table'!$C:$C,$B9,'Data Table'!$J:$J)</f>
        <v>0</v>
      </c>
      <c r="F9" s="189">
        <f>E9*(VLOOKUP((_xlfn.XLOOKUP(DSCountry,DS_Country_List,DS_Currency_List)),'FX Rates'!$A$1:$BQ$152,2))</f>
        <v>0</v>
      </c>
      <c r="G9" s="190">
        <f ca="1">SUMIFS('Data Table'!J:J,'Data Table'!B:B,"&lt;="&amp;TODAY(),'Data Table'!I:I,"M",'Data Table'!C:C,$B9)-SUMIFS('Data Table'!J:J,'Data Table'!B:B,"&lt;="&amp;(TODAY()-30),'Data Table'!I:I,"M",'Data Table'!C:C,$B9)+(SUMIFS('Data Table'!J:J,'Data Table'!B:B,"&lt;="&amp;TODAY(),'Data Table'!I:I,"Y",'Data Table'!C:C,$B9)/12)-(SUMIFS('Data Table'!J:J,'Data Table'!B:B,"&lt;="&amp;(TODAY()-365),'Data Table'!I:I,"Y",'Data Table'!C:C,$B9)/12)+(SUMIFS('Data Table'!J:J,'Data Table'!B:B,"&lt;="&amp;TODAY(),'Data Table'!I:I,"5Y",'Data Table'!C:C,$B9)/60-SUMIFS('Data Table'!J:J,'Data Table'!B:B,"&lt;="&amp;(TODAY()-1826),'Data Table'!I:I,"5Y",'Data Table'!C:C,$B9)/60)</f>
        <v>0</v>
      </c>
      <c r="H9" s="191">
        <f ca="1">G9*(VLOOKUP((_xlfn.XLOOKUP(DSCountry,DS_Country_List,DS_Currency_List)),'FX Rates'!$A$1:$BQ$152,2))</f>
        <v>0</v>
      </c>
    </row>
    <row r="10" spans="2:8" x14ac:dyDescent="0.25">
      <c r="B10" s="188" t="s">
        <v>447</v>
      </c>
      <c r="C10" s="189">
        <f ca="1">SUMIFS('Data Table'!$J:$J,'Data Table'!$B:$B,"&lt;="&amp;TODAY(),'Data Table'!$C:$C,$B10)-SUMIFS('Data Table'!$J:$J,'Data Table'!$B:$B,"&lt;="&amp;(TODAY()-30),'Data Table'!C:C,$B10)</f>
        <v>0</v>
      </c>
      <c r="D10" s="189">
        <f ca="1">C10*(VLOOKUP((_xlfn.XLOOKUP(DSCountry,DS_Country_List,DS_Currency_List)),'FX Rates'!$A$1:$BQ$152,2))</f>
        <v>0</v>
      </c>
      <c r="E10" s="190">
        <f>SUMIF('Data Table'!$C:$C,$B10,'Data Table'!$J:$J)</f>
        <v>0</v>
      </c>
      <c r="F10" s="189">
        <f>E10*(VLOOKUP((_xlfn.XLOOKUP(DSCountry,DS_Country_List,DS_Currency_List)),'FX Rates'!$A$1:$BQ$152,2))</f>
        <v>0</v>
      </c>
      <c r="G10" s="190">
        <f ca="1">SUMIFS('Data Table'!J:J,'Data Table'!B:B,"&lt;="&amp;TODAY(),'Data Table'!I:I,"M",'Data Table'!C:C,$B10)-SUMIFS('Data Table'!J:J,'Data Table'!B:B,"&lt;="&amp;(TODAY()-30),'Data Table'!I:I,"M",'Data Table'!C:C,$B10)+(SUMIFS('Data Table'!J:J,'Data Table'!B:B,"&lt;="&amp;TODAY(),'Data Table'!I:I,"Y",'Data Table'!C:C,$B10)/12)-(SUMIFS('Data Table'!J:J,'Data Table'!B:B,"&lt;="&amp;(TODAY()-365),'Data Table'!I:I,"Y",'Data Table'!C:C,$B10)/12)+(SUMIFS('Data Table'!J:J,'Data Table'!B:B,"&lt;="&amp;TODAY(),'Data Table'!I:I,"5Y",'Data Table'!C:C,$B10)/60-SUMIFS('Data Table'!J:J,'Data Table'!B:B,"&lt;="&amp;(TODAY()-1826),'Data Table'!I:I,"5Y",'Data Table'!C:C,$B10)/60)</f>
        <v>0</v>
      </c>
      <c r="H10" s="191">
        <f ca="1">G10*(VLOOKUP((_xlfn.XLOOKUP(DSCountry,DS_Country_List,DS_Currency_List)),'FX Rates'!$A$1:$BQ$152,2))</f>
        <v>0</v>
      </c>
    </row>
    <row r="11" spans="2:8" x14ac:dyDescent="0.25">
      <c r="B11" s="188" t="s">
        <v>390</v>
      </c>
      <c r="C11" s="189">
        <f ca="1">SUMIFS('Data Table'!$J:$J,'Data Table'!$B:$B,"&lt;="&amp;TODAY(),'Data Table'!$C:$C,$B11)-SUMIFS('Data Table'!$J:$J,'Data Table'!$B:$B,"&lt;="&amp;(TODAY()-30),'Data Table'!C:C,$B11)</f>
        <v>0</v>
      </c>
      <c r="D11" s="189">
        <f ca="1">C11*(VLOOKUP((_xlfn.XLOOKUP(DSCountry,DS_Country_List,DS_Currency_List)),'FX Rates'!$A$1:$BQ$152,2))</f>
        <v>0</v>
      </c>
      <c r="E11" s="190">
        <f>SUMIF('Data Table'!$C:$C,$B11,'Data Table'!$J:$J)</f>
        <v>0</v>
      </c>
      <c r="F11" s="189">
        <f>E11*(VLOOKUP((_xlfn.XLOOKUP(DSCountry,DS_Country_List,DS_Currency_List)),'FX Rates'!$A$1:$BQ$152,2))</f>
        <v>0</v>
      </c>
      <c r="G11" s="190">
        <f ca="1">SUMIFS('Data Table'!J:J,'Data Table'!B:B,"&lt;="&amp;TODAY(),'Data Table'!I:I,"M",'Data Table'!C:C,$B11)-SUMIFS('Data Table'!J:J,'Data Table'!B:B,"&lt;="&amp;(TODAY()-30),'Data Table'!I:I,"M",'Data Table'!C:C,$B11)+(SUMIFS('Data Table'!J:J,'Data Table'!B:B,"&lt;="&amp;TODAY(),'Data Table'!I:I,"Y",'Data Table'!C:C,$B11)/12)-(SUMIFS('Data Table'!J:J,'Data Table'!B:B,"&lt;="&amp;(TODAY()-365),'Data Table'!I:I,"Y",'Data Table'!C:C,$B11)/12)+(SUMIFS('Data Table'!J:J,'Data Table'!B:B,"&lt;="&amp;TODAY(),'Data Table'!I:I,"5Y",'Data Table'!C:C,$B11)/60-SUMIFS('Data Table'!J:J,'Data Table'!B:B,"&lt;="&amp;(TODAY()-1826),'Data Table'!I:I,"5Y",'Data Table'!C:C,$B11)/60)</f>
        <v>0</v>
      </c>
      <c r="H11" s="191">
        <f ca="1">G11*(VLOOKUP((_xlfn.XLOOKUP(DSCountry,DS_Country_List,DS_Currency_List)),'FX Rates'!$A$1:$BQ$152,2))</f>
        <v>0</v>
      </c>
    </row>
    <row r="12" spans="2:8" x14ac:dyDescent="0.25">
      <c r="B12" s="188" t="s">
        <v>9</v>
      </c>
      <c r="C12" s="189">
        <f ca="1">SUMIFS('Data Table'!$J:$J,'Data Table'!$B:$B,"&lt;="&amp;TODAY(),'Data Table'!$C:$C,$B12)-SUMIFS('Data Table'!$J:$J,'Data Table'!$B:$B,"&lt;="&amp;(TODAY()-30),'Data Table'!C:C,$B12)</f>
        <v>0</v>
      </c>
      <c r="D12" s="189">
        <f ca="1">C12*(VLOOKUP((_xlfn.XLOOKUP(DSCountry,DS_Country_List,DS_Currency_List)),'FX Rates'!$A$1:$BQ$152,2))</f>
        <v>0</v>
      </c>
      <c r="E12" s="190">
        <f>SUMIF('Data Table'!$C:$C,$B12,'Data Table'!$J:$J)</f>
        <v>0</v>
      </c>
      <c r="F12" s="189">
        <f>E12*(VLOOKUP((_xlfn.XLOOKUP(DSCountry,DS_Country_List,DS_Currency_List)),'FX Rates'!$A$1:$BQ$152,2))</f>
        <v>0</v>
      </c>
      <c r="G12" s="190">
        <f ca="1">SUMIFS('Data Table'!J:J,'Data Table'!B:B,"&lt;="&amp;TODAY(),'Data Table'!I:I,"M",'Data Table'!C:C,$B12)-SUMIFS('Data Table'!J:J,'Data Table'!B:B,"&lt;="&amp;(TODAY()-30),'Data Table'!I:I,"M",'Data Table'!C:C,$B12)+(SUMIFS('Data Table'!J:J,'Data Table'!B:B,"&lt;="&amp;TODAY(),'Data Table'!I:I,"Y",'Data Table'!C:C,$B12)/12)-(SUMIFS('Data Table'!J:J,'Data Table'!B:B,"&lt;="&amp;(TODAY()-365),'Data Table'!I:I,"Y",'Data Table'!C:C,$B12)/12)+(SUMIFS('Data Table'!J:J,'Data Table'!B:B,"&lt;="&amp;TODAY(),'Data Table'!I:I,"5Y",'Data Table'!C:C,$B12)/60-SUMIFS('Data Table'!J:J,'Data Table'!B:B,"&lt;="&amp;(TODAY()-1826),'Data Table'!I:I,"5Y",'Data Table'!C:C,$B12)/60)</f>
        <v>0</v>
      </c>
      <c r="H12" s="191">
        <f ca="1">G12*(VLOOKUP((_xlfn.XLOOKUP(DSCountry,DS_Country_List,DS_Currency_List)),'FX Rates'!$A$1:$BQ$152,2))</f>
        <v>0</v>
      </c>
    </row>
    <row r="13" spans="2:8" x14ac:dyDescent="0.25">
      <c r="B13" s="188" t="s">
        <v>5</v>
      </c>
      <c r="C13" s="189">
        <f ca="1">SUMIFS('Data Table'!$J:$J,'Data Table'!$B:$B,"&lt;="&amp;TODAY(),'Data Table'!$C:$C,$B13)-SUMIFS('Data Table'!$J:$J,'Data Table'!$B:$B,"&lt;="&amp;(TODAY()-30),'Data Table'!C:C,$B13)</f>
        <v>0</v>
      </c>
      <c r="D13" s="189">
        <f ca="1">C13*(VLOOKUP((_xlfn.XLOOKUP(DSCountry,DS_Country_List,DS_Currency_List)),'FX Rates'!$A$1:$BQ$152,2))</f>
        <v>0</v>
      </c>
      <c r="E13" s="190">
        <f>SUMIF('Data Table'!$C:$C,$B13,'Data Table'!$J:$J)</f>
        <v>0</v>
      </c>
      <c r="F13" s="189">
        <f>E13*(VLOOKUP((_xlfn.XLOOKUP(DSCountry,DS_Country_List,DS_Currency_List)),'FX Rates'!$A$1:$BQ$152,2))</f>
        <v>0</v>
      </c>
      <c r="G13" s="190">
        <f ca="1">SUMIFS('Data Table'!J:J,'Data Table'!B:B,"&lt;="&amp;TODAY(),'Data Table'!I:I,"M",'Data Table'!C:C,$B13)-SUMIFS('Data Table'!J:J,'Data Table'!B:B,"&lt;="&amp;(TODAY()-30),'Data Table'!I:I,"M",'Data Table'!C:C,$B13)+(SUMIFS('Data Table'!J:J,'Data Table'!B:B,"&lt;="&amp;TODAY(),'Data Table'!I:I,"Y",'Data Table'!C:C,$B13)/12)-(SUMIFS('Data Table'!J:J,'Data Table'!B:B,"&lt;="&amp;(TODAY()-365),'Data Table'!I:I,"Y",'Data Table'!C:C,$B13)/12)+(SUMIFS('Data Table'!J:J,'Data Table'!B:B,"&lt;="&amp;TODAY(),'Data Table'!I:I,"5Y",'Data Table'!C:C,$B13)/60-SUMIFS('Data Table'!J:J,'Data Table'!B:B,"&lt;="&amp;(TODAY()-1826),'Data Table'!I:I,"5Y",'Data Table'!C:C,$B13)/60)</f>
        <v>0</v>
      </c>
      <c r="H13" s="191">
        <f ca="1">G13*(VLOOKUP((_xlfn.XLOOKUP(DSCountry,DS_Country_List,DS_Currency_List)),'FX Rates'!$A$1:$BQ$152,2))</f>
        <v>0</v>
      </c>
    </row>
    <row r="14" spans="2:8" x14ac:dyDescent="0.25">
      <c r="B14" s="188" t="s">
        <v>396</v>
      </c>
      <c r="C14" s="189">
        <f ca="1">SUMIFS('Data Table'!$J:$J,'Data Table'!$B:$B,"&lt;="&amp;TODAY(),'Data Table'!$C:$C,$B14)-SUMIFS('Data Table'!$J:$J,'Data Table'!$B:$B,"&lt;="&amp;(TODAY()-30),'Data Table'!C:C,$B14)</f>
        <v>0</v>
      </c>
      <c r="D14" s="189">
        <f ca="1">C14*(VLOOKUP((_xlfn.XLOOKUP(DSCountry,DS_Country_List,DS_Currency_List)),'FX Rates'!$A$1:$BQ$152,2))</f>
        <v>0</v>
      </c>
      <c r="E14" s="190">
        <f>SUMIF('Data Table'!$C:$C,$B14,'Data Table'!$J:$J)</f>
        <v>0</v>
      </c>
      <c r="F14" s="189">
        <f>E14*(VLOOKUP((_xlfn.XLOOKUP(DSCountry,DS_Country_List,DS_Currency_List)),'FX Rates'!$A$1:$BQ$152,2))</f>
        <v>0</v>
      </c>
      <c r="G14" s="190">
        <f ca="1">SUMIFS('Data Table'!J:J,'Data Table'!B:B,"&lt;="&amp;TODAY(),'Data Table'!I:I,"M",'Data Table'!C:C,$B14)-SUMIFS('Data Table'!J:J,'Data Table'!B:B,"&lt;="&amp;(TODAY()-30),'Data Table'!I:I,"M",'Data Table'!C:C,$B14)+(SUMIFS('Data Table'!J:J,'Data Table'!B:B,"&lt;="&amp;TODAY(),'Data Table'!I:I,"Y",'Data Table'!C:C,$B14)/12)-(SUMIFS('Data Table'!J:J,'Data Table'!B:B,"&lt;="&amp;(TODAY()-365),'Data Table'!I:I,"Y",'Data Table'!C:C,$B14)/12)+(SUMIFS('Data Table'!J:J,'Data Table'!B:B,"&lt;="&amp;TODAY(),'Data Table'!I:I,"5Y",'Data Table'!C:C,$B14)/60-SUMIFS('Data Table'!J:J,'Data Table'!B:B,"&lt;="&amp;(TODAY()-1826),'Data Table'!I:I,"5Y",'Data Table'!C:C,$B14)/60)</f>
        <v>0</v>
      </c>
      <c r="H14" s="191">
        <f ca="1">G14*(VLOOKUP((_xlfn.XLOOKUP(DSCountry,DS_Country_List,DS_Currency_List)),'FX Rates'!$A$1:$BQ$152,2))</f>
        <v>0</v>
      </c>
    </row>
    <row r="15" spans="2:8" x14ac:dyDescent="0.25">
      <c r="B15" s="188" t="s">
        <v>372</v>
      </c>
      <c r="C15" s="189">
        <f ca="1">SUMIFS('Data Table'!$J:$J,'Data Table'!$B:$B,"&lt;="&amp;TODAY(),'Data Table'!$C:$C,$B15)-SUMIFS('Data Table'!$J:$J,'Data Table'!$B:$B,"&lt;="&amp;(TODAY()-30),'Data Table'!C:C,$B15)</f>
        <v>0</v>
      </c>
      <c r="D15" s="189">
        <f ca="1">C15*(VLOOKUP((_xlfn.XLOOKUP(DSCountry,DS_Country_List,DS_Currency_List)),'FX Rates'!$A$1:$BQ$152,2))</f>
        <v>0</v>
      </c>
      <c r="E15" s="190">
        <f>SUMIF('Data Table'!$C:$C,$B15,'Data Table'!$J:$J)</f>
        <v>0</v>
      </c>
      <c r="F15" s="189">
        <f>E15*(VLOOKUP((_xlfn.XLOOKUP(DSCountry,DS_Country_List,DS_Currency_List)),'FX Rates'!$A$1:$BQ$152,2))</f>
        <v>0</v>
      </c>
      <c r="G15" s="190">
        <f ca="1">SUMIFS('Data Table'!J:J,'Data Table'!B:B,"&lt;="&amp;TODAY(),'Data Table'!I:I,"M",'Data Table'!C:C,$B15)-SUMIFS('Data Table'!J:J,'Data Table'!B:B,"&lt;="&amp;(TODAY()-30),'Data Table'!I:I,"M",'Data Table'!C:C,$B15)+(SUMIFS('Data Table'!J:J,'Data Table'!B:B,"&lt;="&amp;TODAY(),'Data Table'!I:I,"Y",'Data Table'!C:C,$B15)/12)-(SUMIFS('Data Table'!J:J,'Data Table'!B:B,"&lt;="&amp;(TODAY()-365),'Data Table'!I:I,"Y",'Data Table'!C:C,$B15)/12)+(SUMIFS('Data Table'!J:J,'Data Table'!B:B,"&lt;="&amp;TODAY(),'Data Table'!I:I,"5Y",'Data Table'!C:C,$B15)/60-SUMIFS('Data Table'!J:J,'Data Table'!B:B,"&lt;="&amp;(TODAY()-1826),'Data Table'!I:I,"5Y",'Data Table'!C:C,$B15)/60)</f>
        <v>0</v>
      </c>
      <c r="H15" s="191">
        <f ca="1">G15*(VLOOKUP((_xlfn.XLOOKUP(DSCountry,DS_Country_List,DS_Currency_List)),'FX Rates'!$A$1:$BQ$152,2))</f>
        <v>0</v>
      </c>
    </row>
    <row r="16" spans="2:8" x14ac:dyDescent="0.25">
      <c r="B16" s="188" t="s">
        <v>448</v>
      </c>
      <c r="C16" s="189">
        <f ca="1">SUMIFS('Data Table'!$J:$J,'Data Table'!$B:$B,"&lt;="&amp;TODAY(),'Data Table'!$C:$C,$B16)-SUMIFS('Data Table'!$J:$J,'Data Table'!$B:$B,"&lt;="&amp;(TODAY()-30),'Data Table'!C:C,$B16)</f>
        <v>0</v>
      </c>
      <c r="D16" s="189">
        <f ca="1">C16*(VLOOKUP((_xlfn.XLOOKUP(DSCountry,DS_Country_List,DS_Currency_List)),'FX Rates'!$A$1:$BQ$152,2))</f>
        <v>0</v>
      </c>
      <c r="E16" s="190">
        <f>SUMIF('Data Table'!$C:$C,$B16,'Data Table'!$J:$J)</f>
        <v>0</v>
      </c>
      <c r="F16" s="189">
        <f>E16*(VLOOKUP((_xlfn.XLOOKUP(DSCountry,DS_Country_List,DS_Currency_List)),'FX Rates'!$A$1:$BQ$152,2))</f>
        <v>0</v>
      </c>
      <c r="G16" s="190">
        <f ca="1">SUMIFS('Data Table'!J:J,'Data Table'!B:B,"&lt;="&amp;TODAY(),'Data Table'!I:I,"M",'Data Table'!C:C,$B16)-SUMIFS('Data Table'!J:J,'Data Table'!B:B,"&lt;="&amp;(TODAY()-30),'Data Table'!I:I,"M",'Data Table'!C:C,$B16)+(SUMIFS('Data Table'!J:J,'Data Table'!B:B,"&lt;="&amp;TODAY(),'Data Table'!I:I,"Y",'Data Table'!C:C,$B16)/12)-(SUMIFS('Data Table'!J:J,'Data Table'!B:B,"&lt;="&amp;(TODAY()-365),'Data Table'!I:I,"Y",'Data Table'!C:C,$B16)/12)+(SUMIFS('Data Table'!J:J,'Data Table'!B:B,"&lt;="&amp;TODAY(),'Data Table'!I:I,"5Y",'Data Table'!C:C,$B16)/60-SUMIFS('Data Table'!J:J,'Data Table'!B:B,"&lt;="&amp;(TODAY()-1826),'Data Table'!I:I,"5Y",'Data Table'!C:C,$B16)/60)</f>
        <v>0</v>
      </c>
      <c r="H16" s="191">
        <f ca="1">G16*(VLOOKUP((_xlfn.XLOOKUP(DSCountry,DS_Country_List,DS_Currency_List)),'FX Rates'!$A$1:$BQ$152,2))</f>
        <v>0</v>
      </c>
    </row>
    <row r="17" spans="2:8" ht="15.75" thickBot="1" x14ac:dyDescent="0.3">
      <c r="B17" s="192" t="s">
        <v>8</v>
      </c>
      <c r="C17" s="193">
        <f ca="1">SUMIFS('Data Table'!$J:$J,'Data Table'!$B:$B,"&lt;="&amp;TODAY(),'Data Table'!$C:$C,$B17)-SUMIFS('Data Table'!$J:$J,'Data Table'!$B:$B,"&lt;="&amp;(TODAY()-30),'Data Table'!C:C,$B17)</f>
        <v>0</v>
      </c>
      <c r="D17" s="193">
        <f ca="1">C17*(VLOOKUP((_xlfn.XLOOKUP(DSCountry,DS_Country_List,DS_Currency_List)),'FX Rates'!$A$1:$BQ$152,2))</f>
        <v>0</v>
      </c>
      <c r="E17" s="194">
        <f>SUMIF('Data Table'!$C:$C,$B17,'Data Table'!$J:$J)</f>
        <v>0</v>
      </c>
      <c r="F17" s="193">
        <f>E17*(VLOOKUP((_xlfn.XLOOKUP(DSCountry,DS_Country_List,DS_Currency_List)),'FX Rates'!$A$1:$BQ$152,2))</f>
        <v>0</v>
      </c>
      <c r="G17" s="194">
        <f ca="1">SUMIFS('Data Table'!J:J,'Data Table'!B:B,"&lt;="&amp;TODAY(),'Data Table'!I:I,"M",'Data Table'!C:C,$B17)-SUMIFS('Data Table'!J:J,'Data Table'!B:B,"&lt;="&amp;(TODAY()-30),'Data Table'!I:I,"M",'Data Table'!C:C,$B17)+(SUMIFS('Data Table'!J:J,'Data Table'!B:B,"&lt;="&amp;TODAY(),'Data Table'!I:I,"Y",'Data Table'!C:C,$B17)/12)-(SUMIFS('Data Table'!J:J,'Data Table'!B:B,"&lt;="&amp;(TODAY()-365),'Data Table'!I:I,"Y",'Data Table'!C:C,$B17)/12)+(SUMIFS('Data Table'!J:J,'Data Table'!B:B,"&lt;="&amp;TODAY(),'Data Table'!I:I,"5Y",'Data Table'!C:C,$B17)/60-SUMIFS('Data Table'!J:J,'Data Table'!B:B,"&lt;="&amp;(TODAY()-1826),'Data Table'!I:I,"5Y",'Data Table'!C:C,$B17)/60)</f>
        <v>0</v>
      </c>
      <c r="H17" s="195">
        <f ca="1">G17*(VLOOKUP((_xlfn.XLOOKUP(DSCountry,DS_Country_List,DS_Currency_List)),'FX Rates'!$A$1:$BQ$152,2))</f>
        <v>0</v>
      </c>
    </row>
    <row r="18" spans="2:8" ht="15.75" thickBot="1" x14ac:dyDescent="0.3">
      <c r="B18" s="196" t="s">
        <v>354</v>
      </c>
      <c r="C18" s="197">
        <f t="shared" ref="C18:H18" ca="1" si="0">SUM(C$4:C$17)</f>
        <v>141.14326040931545</v>
      </c>
      <c r="D18" s="198">
        <f t="shared" ca="1" si="0"/>
        <v>200</v>
      </c>
      <c r="E18" s="197">
        <f>SUM(E$4:E$17)</f>
        <v>141.14326040931545</v>
      </c>
      <c r="F18" s="198">
        <f>SUM(F$4:F$17)</f>
        <v>200</v>
      </c>
      <c r="G18" s="197">
        <f t="shared" ca="1" si="0"/>
        <v>141.14326040931545</v>
      </c>
      <c r="H18" s="199">
        <f t="shared" ca="1" si="0"/>
        <v>200</v>
      </c>
    </row>
    <row r="19" spans="2:8" ht="15.75" thickTop="1" x14ac:dyDescent="0.25"/>
  </sheetData>
  <sheetProtection algorithmName="SHA-512" hashValue="l+XOaSxC+Ag43zq69l+E1fiYeIyC0YI68F0VCu9XeuV9k+49Esm4iZUSQ+KAj4Ulamia1m7/UKoCwLKc5zPMsA==" saltValue="PE/6OzAYkiKjFS44QeGN9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4OIDYQDRJNZMZIYR2ZHZ64CNQT2AQ3K4:ms-officescript%3A%2F%2Fonedrive_business_sharinglink%2Fu!aHR0cHM6Ly91bml0ZWRuYXRpb25zLW15LnNoYXJlcG9pbnQuY29tLzp1Oi9nL3BlcnNvbmFsL21lZWNoYWlfdW5fb3JnL0lRQnhTM0xNb3hIV1Q1OXdUWVQwQ0cxY0FSNG15WjY3OTAwVjFldi1wMTU3TElV"/>
</scriptIds>
</file>

<file path=customXml/item3.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E76554-DD2F-4139-9D17-FA63301D00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C22EC3-6A3A-4ADF-BD09-8ED19891C7D0}">
  <ds:schemaRefs>
    <ds:schemaRef ds:uri="http://schemas.microsoft.com/office/extensibility/maker/v1.0"/>
  </ds:schemaRefs>
</ds:datastoreItem>
</file>

<file path=customXml/itemProps3.xml><?xml version="1.0" encoding="utf-8"?>
<ds:datastoreItem xmlns:ds="http://schemas.openxmlformats.org/officeDocument/2006/customXml" ds:itemID="{E254AAB7-12C1-461F-A09C-835134FFD31E}">
  <ds:schemaRefs>
    <ds:schemaRef ds:uri="http://schemas.microsoft.com/office/2006/metadata/properties"/>
    <ds:schemaRef ds:uri="http://schemas.microsoft.com/office/infopath/2007/PartnerControls"/>
    <ds:schemaRef ds:uri="b39aa90b-6a50-4408-9fec-c65c7502654e"/>
    <ds:schemaRef ds:uri="985ec44e-1bab-4c0b-9df0-6ba128686fc9"/>
  </ds:schemaRefs>
</ds:datastoreItem>
</file>

<file path=customXml/itemProps4.xml><?xml version="1.0" encoding="utf-8"?>
<ds:datastoreItem xmlns:ds="http://schemas.openxmlformats.org/officeDocument/2006/customXml" ds:itemID="{84559F58-7E50-4B1F-9329-1EB9705950A6}">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Data Table</vt:lpstr>
      <vt:lpstr>Summary</vt:lpstr>
      <vt:lpstr>Monthly Expenses</vt:lpstr>
      <vt:lpstr>Yearly and Education Expenses</vt:lpstr>
      <vt:lpstr>Infrequent Expenses</vt:lpstr>
      <vt:lpstr>FX Rates</vt:lpstr>
      <vt:lpstr>UN Treasury</vt:lpstr>
      <vt:lpstr>Reference</vt:lpstr>
      <vt:lpstr>Summary Table Toggle</vt:lpstr>
      <vt:lpstr>Alcohol_and_Tobacco</vt:lpstr>
      <vt:lpstr>Clothing_and_Footwear</vt:lpstr>
      <vt:lpstr>DS_Country_List</vt:lpstr>
      <vt:lpstr>DS_Currency_List</vt:lpstr>
      <vt:lpstr>DSCountry</vt:lpstr>
      <vt:lpstr>Education</vt:lpstr>
      <vt:lpstr>Food_and_Non_Alcoholic_Beverages</vt:lpstr>
      <vt:lpstr>Furniture_Household_and_Routine_Home_Maintenance</vt:lpstr>
      <vt:lpstr>FXRatesTable</vt:lpstr>
      <vt:lpstr>Health_Out_of_Pocket</vt:lpstr>
      <vt:lpstr>Housing</vt:lpstr>
      <vt:lpstr>Information_and_Communication</vt:lpstr>
      <vt:lpstr>InsideOutsideList</vt:lpstr>
      <vt:lpstr>Insurance_and_Financial_Services</vt:lpstr>
      <vt:lpstr>ISOCodeList</vt:lpstr>
      <vt:lpstr>Item_List</vt:lpstr>
      <vt:lpstr>Item_List_Number</vt:lpstr>
      <vt:lpstr>ItemCategoryList</vt:lpstr>
      <vt:lpstr>Month_List</vt:lpstr>
      <vt:lpstr>Month_Number</vt:lpstr>
      <vt:lpstr>Other</vt:lpstr>
      <vt:lpstr>Personal_and_Miscellaneous_Goods_and_Services</vt:lpstr>
      <vt:lpstr>Recreation_and_Culture</vt:lpstr>
      <vt:lpstr>Restaurants_and_Accommodation_Services</vt:lpstr>
      <vt:lpstr>Summary_View_Explainer</vt:lpstr>
      <vt:lpstr>Summary_View_List</vt:lpstr>
      <vt:lpstr>SummaryTableToggleTable</vt:lpstr>
      <vt:lpstr>SummaryToggleAllTime</vt:lpstr>
      <vt:lpstr>SummaryToggleAllTimeLC</vt:lpstr>
      <vt:lpstr>SummaryToggleCategory</vt:lpstr>
      <vt:lpstr>SummaryToggleEstimatedMonth</vt:lpstr>
      <vt:lpstr>SummaryToggleEstimatedMonthLC</vt:lpstr>
      <vt:lpstr>SummaryTogglePast30</vt:lpstr>
      <vt:lpstr>SummaryTogglePast30LC</vt:lpstr>
      <vt:lpstr>SummaryView</vt:lpstr>
      <vt:lpstr>Time_Span</vt:lpstr>
      <vt:lpstr>Transport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Joyance Meechai</dc:creator>
  <cp:lastModifiedBy>Joyance Meechai</cp:lastModifiedBy>
  <dcterms:created xsi:type="dcterms:W3CDTF">2026-06-29T21:58:21Z</dcterms:created>
  <dcterms:modified xsi:type="dcterms:W3CDTF">2026-08-26T20:48:11Z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